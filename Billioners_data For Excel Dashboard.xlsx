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-108" yWindow="-108" windowWidth="23256" windowHeight="12456" firstSheet="3" activeTab="7"/>
  </bookViews>
  <sheets>
    <sheet name="category and Final worth" sheetId="4" r:id="rId1"/>
    <sheet name="Self made proportion" sheetId="5" r:id="rId2"/>
    <sheet name="Industries &amp; final worth" sheetId="6" r:id="rId3"/>
    <sheet name="Dominant age range" sheetId="7" r:id="rId4"/>
    <sheet name="Gender " sheetId="14" r:id="rId5"/>
    <sheet name="Sheet1" sheetId="19" r:id="rId6"/>
    <sheet name="Sheet2" sheetId="20" r:id="rId7"/>
    <sheet name="DATA" sheetId="1" r:id="rId8"/>
    <sheet name="Top 10" sheetId="8" r:id="rId9"/>
    <sheet name="oldest &amp; youngest billionnaires" sheetId="9" r:id="rId10"/>
    <sheet name="DASHBORAD" sheetId="18" r:id="rId11"/>
  </sheets>
  <definedNames>
    <definedName name="_xlnm._FilterDatabase" localSheetId="7" hidden="1">DATA!$A$1:$AB$2641</definedName>
    <definedName name="Slicer_age_category">#N/A</definedName>
    <definedName name="Slicer_category">#N/A</definedName>
    <definedName name="Slicer_finalWorth">#N/A</definedName>
    <definedName name="Slicer_gender">#N/A</definedName>
  </definedNames>
  <calcPr calcId="124519"/>
  <pivotCaches>
    <pivotCache cacheId="1" r:id="rId12"/>
  </pivotCaches>
  <extLst>
    <ext xmlns:x14="http://schemas.microsoft.com/office/spreadsheetml/2009/9/main" uri="{BBE1A952-AA13-448e-AADC-164F8A28A991}">
      <x14:slicerCaches>
        <x14:slicerCache r:id=""/>
        <x14:slicerCache r:id=""/>
        <x14:slicerCache r:id=""/>
        <x14:slicerCache r:id="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U2610" i="1"/>
  <c r="U2604"/>
  <c r="U2594"/>
  <c r="U2583"/>
  <c r="U2578"/>
  <c r="U2568"/>
  <c r="U2521"/>
  <c r="U2493"/>
  <c r="U2476"/>
  <c r="U2471"/>
  <c r="U2456"/>
  <c r="U2442"/>
  <c r="U2436"/>
  <c r="U2432"/>
  <c r="U2416"/>
  <c r="U2412"/>
  <c r="U2411"/>
  <c r="U2364"/>
  <c r="U2353"/>
  <c r="U2344"/>
  <c r="U2324"/>
  <c r="U2316"/>
  <c r="U2306"/>
  <c r="U2302"/>
  <c r="U2300"/>
  <c r="U2278"/>
  <c r="U2265"/>
  <c r="U2193"/>
  <c r="U2191"/>
  <c r="U2189"/>
  <c r="U2187"/>
  <c r="U2186"/>
  <c r="U2185"/>
  <c r="U2148"/>
  <c r="U2128"/>
  <c r="U2121"/>
  <c r="U2091"/>
  <c r="U2064"/>
  <c r="U2052"/>
  <c r="U2048"/>
  <c r="U2036"/>
  <c r="U2001"/>
  <c r="U1996"/>
  <c r="U1986"/>
  <c r="U1984"/>
  <c r="U1982"/>
  <c r="U1975"/>
  <c r="U1947"/>
  <c r="U1943"/>
  <c r="U1942"/>
  <c r="U1926"/>
  <c r="U1920"/>
  <c r="U1874"/>
  <c r="U1839"/>
  <c r="U1833"/>
  <c r="U1825"/>
  <c r="U1818"/>
  <c r="U1810"/>
  <c r="U1809"/>
  <c r="U1801"/>
  <c r="U1781"/>
  <c r="U1770"/>
  <c r="U1763"/>
  <c r="U1754"/>
  <c r="U1732"/>
  <c r="U1731"/>
  <c r="U1727"/>
  <c r="U1726"/>
  <c r="U1717"/>
  <c r="U1706"/>
  <c r="U1698"/>
  <c r="U1687"/>
  <c r="U1671"/>
  <c r="U1669"/>
  <c r="U1660"/>
  <c r="U1644"/>
  <c r="U1642"/>
  <c r="U1626"/>
  <c r="U1623"/>
  <c r="U1613"/>
  <c r="U1611"/>
  <c r="U1604"/>
  <c r="U1593"/>
  <c r="U1510"/>
  <c r="U1504"/>
  <c r="U1499"/>
  <c r="U1482"/>
  <c r="U1471"/>
  <c r="U1454"/>
  <c r="U1451"/>
  <c r="U1431"/>
  <c r="U1416"/>
  <c r="U1413"/>
  <c r="U1402"/>
  <c r="U1400"/>
  <c r="U1399"/>
  <c r="U1383"/>
  <c r="U1382"/>
  <c r="U1373"/>
  <c r="U1369"/>
  <c r="U1359"/>
  <c r="U1332"/>
  <c r="U1331"/>
  <c r="U1326"/>
  <c r="U1325"/>
  <c r="U1313"/>
  <c r="U1312"/>
  <c r="U1309"/>
  <c r="U1286"/>
  <c r="U1282"/>
  <c r="U1281"/>
  <c r="U1273"/>
  <c r="U1253"/>
  <c r="U1238"/>
  <c r="U1235"/>
  <c r="U1230"/>
  <c r="U1222"/>
  <c r="U1218"/>
  <c r="U1208"/>
  <c r="U1201"/>
  <c r="U1157"/>
  <c r="U1152"/>
  <c r="U1123"/>
  <c r="U1101"/>
  <c r="U1073"/>
  <c r="U1070"/>
  <c r="U1065"/>
  <c r="U1061"/>
  <c r="U1057"/>
  <c r="U1038"/>
  <c r="U1034"/>
  <c r="U1033"/>
  <c r="U1013"/>
  <c r="U995"/>
  <c r="U994"/>
  <c r="U975"/>
  <c r="U971"/>
  <c r="U960"/>
  <c r="U947"/>
  <c r="U934"/>
  <c r="U922"/>
  <c r="U917"/>
  <c r="U916"/>
  <c r="U910"/>
  <c r="U901"/>
  <c r="U897"/>
  <c r="U894"/>
  <c r="U888"/>
  <c r="U880"/>
  <c r="U877"/>
  <c r="U871"/>
  <c r="U865"/>
  <c r="U863"/>
  <c r="U860"/>
  <c r="U853"/>
  <c r="U845"/>
  <c r="U837"/>
  <c r="U836"/>
  <c r="U809"/>
  <c r="U804"/>
  <c r="U801"/>
  <c r="U797"/>
  <c r="U785"/>
  <c r="U783"/>
  <c r="U780"/>
  <c r="U768"/>
  <c r="U764"/>
  <c r="U756"/>
  <c r="U753"/>
  <c r="U738"/>
  <c r="U732"/>
  <c r="U715"/>
  <c r="U714"/>
  <c r="U706"/>
  <c r="U679"/>
  <c r="U672"/>
  <c r="U669"/>
  <c r="U665"/>
  <c r="U656"/>
  <c r="U644"/>
  <c r="U634"/>
  <c r="U607"/>
  <c r="U595"/>
  <c r="U594"/>
  <c r="U593"/>
  <c r="U586"/>
  <c r="U575"/>
  <c r="U571"/>
  <c r="U562"/>
  <c r="U553"/>
  <c r="U551"/>
  <c r="U534"/>
  <c r="U532"/>
  <c r="U527"/>
  <c r="U526"/>
  <c r="U508"/>
  <c r="U504"/>
  <c r="U502"/>
  <c r="U493"/>
  <c r="U492"/>
  <c r="U482"/>
  <c r="U474"/>
  <c r="U471"/>
  <c r="U470"/>
  <c r="U467"/>
  <c r="U465"/>
  <c r="U440"/>
  <c r="U429"/>
  <c r="U400"/>
  <c r="U399"/>
  <c r="U392"/>
  <c r="U389"/>
  <c r="U388"/>
  <c r="U382"/>
  <c r="U380"/>
  <c r="U379"/>
  <c r="U378"/>
  <c r="U377"/>
  <c r="U376"/>
  <c r="U367"/>
  <c r="U365"/>
  <c r="U362"/>
  <c r="U361"/>
  <c r="U360"/>
  <c r="U359"/>
  <c r="U348"/>
  <c r="U343"/>
  <c r="U342"/>
  <c r="U338"/>
  <c r="U333"/>
  <c r="U326"/>
  <c r="U325"/>
  <c r="U322"/>
  <c r="U321"/>
  <c r="U310"/>
  <c r="U306"/>
  <c r="U304"/>
  <c r="U303"/>
  <c r="U300"/>
  <c r="U297"/>
  <c r="U294"/>
  <c r="U288"/>
  <c r="U286"/>
  <c r="U285"/>
  <c r="U274"/>
  <c r="U265"/>
  <c r="U264"/>
  <c r="U259"/>
  <c r="U255"/>
  <c r="U243"/>
  <c r="U240"/>
  <c r="U239"/>
  <c r="U228"/>
  <c r="U227"/>
  <c r="U225"/>
  <c r="U216"/>
  <c r="U214"/>
  <c r="U213"/>
  <c r="U207"/>
  <c r="U204"/>
  <c r="U196"/>
  <c r="U193"/>
  <c r="U192"/>
  <c r="U188"/>
  <c r="U184"/>
  <c r="U177"/>
  <c r="U174"/>
  <c r="U166"/>
  <c r="U163"/>
  <c r="U154"/>
  <c r="U153"/>
  <c r="U146"/>
  <c r="U135"/>
  <c r="U134"/>
  <c r="U133"/>
  <c r="U132"/>
  <c r="U126"/>
  <c r="U118"/>
  <c r="U114"/>
  <c r="U107"/>
  <c r="U105"/>
  <c r="U100"/>
  <c r="U99"/>
  <c r="U98"/>
  <c r="U96"/>
  <c r="U95"/>
  <c r="U94"/>
  <c r="U91"/>
  <c r="U90"/>
  <c r="U84"/>
  <c r="U78"/>
  <c r="U77"/>
  <c r="U73"/>
  <c r="U70"/>
  <c r="U53"/>
  <c r="U51"/>
  <c r="U50"/>
  <c r="U37"/>
  <c r="U35"/>
  <c r="U27"/>
  <c r="U26"/>
  <c r="U24"/>
  <c r="U23"/>
  <c r="U22"/>
  <c r="U21"/>
  <c r="U20"/>
  <c r="U18"/>
  <c r="U17"/>
  <c r="U15"/>
  <c r="U13"/>
  <c r="U11"/>
  <c r="U10"/>
  <c r="U9"/>
  <c r="U8"/>
  <c r="U7"/>
  <c r="U6"/>
  <c r="U5"/>
  <c r="U4"/>
  <c r="U3"/>
  <c r="U2"/>
  <c r="F11" i="8"/>
  <c r="F10"/>
  <c r="F9"/>
  <c r="F8"/>
  <c r="F7"/>
  <c r="F6"/>
  <c r="F5"/>
  <c r="F4"/>
  <c r="F3"/>
  <c r="F2"/>
  <c r="F2610" i="1"/>
  <c r="F2604"/>
  <c r="F2583"/>
  <c r="F2568"/>
  <c r="F2521"/>
  <c r="F2493"/>
  <c r="F2456"/>
  <c r="F2442"/>
  <c r="F2436"/>
  <c r="F2432"/>
  <c r="F2416"/>
  <c r="F2412"/>
  <c r="F2411"/>
  <c r="F2364"/>
  <c r="F2353"/>
  <c r="F2344"/>
  <c r="F2324"/>
  <c r="F2316"/>
  <c r="F2306"/>
  <c r="F2302"/>
  <c r="F2300"/>
  <c r="F2191"/>
  <c r="F2189"/>
  <c r="F2187"/>
  <c r="F2186"/>
  <c r="F2185"/>
  <c r="F2148"/>
  <c r="F2128"/>
  <c r="F2121"/>
  <c r="F2091"/>
  <c r="F2048"/>
  <c r="F2036"/>
  <c r="F2001"/>
  <c r="F1996"/>
  <c r="F1986"/>
  <c r="F1984"/>
  <c r="F1982"/>
  <c r="F1975"/>
  <c r="F1943"/>
  <c r="F1942"/>
  <c r="F1926"/>
  <c r="F1920"/>
  <c r="F1874"/>
  <c r="F1839"/>
  <c r="F1833"/>
  <c r="F1825"/>
  <c r="F1810"/>
  <c r="F1801"/>
  <c r="F1781"/>
  <c r="F1770"/>
  <c r="F1763"/>
  <c r="F1754"/>
  <c r="F1732"/>
  <c r="F1731"/>
  <c r="F1727"/>
  <c r="F1726"/>
  <c r="F1717"/>
  <c r="F1706"/>
  <c r="F1698"/>
  <c r="F1687"/>
  <c r="F1671"/>
  <c r="F1669"/>
  <c r="F1660"/>
  <c r="F1644"/>
  <c r="F1642"/>
  <c r="F1626"/>
  <c r="F1623"/>
  <c r="F1613"/>
  <c r="F1611"/>
  <c r="F1604"/>
  <c r="F1593"/>
  <c r="F1510"/>
  <c r="F1504"/>
  <c r="F1499"/>
  <c r="F1482"/>
  <c r="F1471"/>
  <c r="F1454"/>
  <c r="F1451"/>
  <c r="F1431"/>
  <c r="F1416"/>
  <c r="F1413"/>
  <c r="F1402"/>
  <c r="F1400"/>
  <c r="F1399"/>
  <c r="F1383"/>
  <c r="F1382"/>
  <c r="F1373"/>
  <c r="F1369"/>
  <c r="F1359"/>
  <c r="F1331"/>
  <c r="F1326"/>
  <c r="F1325"/>
  <c r="F1312"/>
  <c r="F1309"/>
  <c r="F1286"/>
  <c r="F1282"/>
  <c r="F1281"/>
  <c r="F1273"/>
  <c r="F1253"/>
  <c r="F1238"/>
  <c r="F1235"/>
  <c r="F1230"/>
  <c r="F1222"/>
  <c r="F1218"/>
  <c r="F1208"/>
  <c r="F1201"/>
  <c r="F1157"/>
  <c r="F1152"/>
  <c r="F1123"/>
  <c r="F1101"/>
  <c r="F1070"/>
  <c r="F1065"/>
  <c r="F1061"/>
  <c r="F1057"/>
  <c r="F1038"/>
  <c r="F1034"/>
  <c r="F1033"/>
  <c r="F1013"/>
  <c r="F995"/>
  <c r="F994"/>
  <c r="F975"/>
  <c r="F971"/>
  <c r="F960"/>
  <c r="F947"/>
  <c r="F934"/>
  <c r="F922"/>
  <c r="F917"/>
  <c r="F916"/>
  <c r="F910"/>
  <c r="F901"/>
  <c r="F897"/>
  <c r="F894"/>
  <c r="F888"/>
  <c r="F880"/>
  <c r="F877"/>
  <c r="F871"/>
  <c r="F865"/>
  <c r="F863"/>
  <c r="F853"/>
  <c r="F845"/>
  <c r="F837"/>
  <c r="F836"/>
  <c r="F809"/>
  <c r="F804"/>
  <c r="F801"/>
  <c r="F797"/>
  <c r="F785"/>
  <c r="F783"/>
  <c r="F780"/>
  <c r="F768"/>
  <c r="F764"/>
  <c r="F756"/>
  <c r="F753"/>
  <c r="F738"/>
  <c r="F732"/>
  <c r="F715"/>
  <c r="F714"/>
  <c r="F706"/>
  <c r="F679"/>
  <c r="F672"/>
  <c r="F669"/>
  <c r="F665"/>
  <c r="F656"/>
  <c r="F644"/>
  <c r="F634"/>
  <c r="F607"/>
  <c r="F595"/>
  <c r="F594"/>
  <c r="F593"/>
  <c r="F586"/>
  <c r="F575"/>
  <c r="F571"/>
  <c r="F562"/>
  <c r="F553"/>
  <c r="F551"/>
  <c r="F534"/>
  <c r="F532"/>
  <c r="F526"/>
  <c r="F508"/>
  <c r="F504"/>
  <c r="F502"/>
  <c r="F493"/>
  <c r="F492"/>
  <c r="F482"/>
  <c r="F474"/>
  <c r="F471"/>
  <c r="F470"/>
  <c r="F467"/>
  <c r="F440"/>
  <c r="F429"/>
  <c r="F400"/>
  <c r="F399"/>
  <c r="F392"/>
  <c r="F389"/>
  <c r="F388"/>
  <c r="F382"/>
  <c r="F380"/>
  <c r="F379"/>
  <c r="F378"/>
  <c r="F377"/>
  <c r="F376"/>
  <c r="F367"/>
  <c r="F365"/>
  <c r="F362"/>
  <c r="F361"/>
  <c r="F360"/>
  <c r="F359"/>
  <c r="F348"/>
  <c r="F343"/>
  <c r="F342"/>
  <c r="F338"/>
  <c r="F333"/>
  <c r="F326"/>
  <c r="F325"/>
  <c r="F322"/>
  <c r="F321"/>
  <c r="F310"/>
  <c r="F306"/>
  <c r="F304"/>
  <c r="F303"/>
  <c r="F300"/>
  <c r="F297"/>
  <c r="F294"/>
  <c r="F288"/>
  <c r="F286"/>
  <c r="F285"/>
  <c r="F274"/>
  <c r="F265"/>
  <c r="F264"/>
  <c r="F259"/>
  <c r="F255"/>
  <c r="F243"/>
  <c r="F240"/>
  <c r="F239"/>
  <c r="F228"/>
  <c r="F227"/>
  <c r="F225"/>
  <c r="F216"/>
  <c r="F214"/>
  <c r="F213"/>
  <c r="F207"/>
  <c r="F204"/>
  <c r="F196"/>
  <c r="F193"/>
  <c r="F188"/>
  <c r="F184"/>
  <c r="F177"/>
  <c r="F174"/>
  <c r="F166"/>
  <c r="F163"/>
  <c r="F154"/>
  <c r="F153"/>
  <c r="F146"/>
  <c r="F135"/>
  <c r="F134"/>
  <c r="F133"/>
  <c r="F132"/>
  <c r="F126"/>
  <c r="F118"/>
  <c r="F114"/>
  <c r="F107"/>
  <c r="F105"/>
  <c r="F100"/>
  <c r="F99"/>
  <c r="F98"/>
  <c r="F96"/>
  <c r="F95"/>
  <c r="F94"/>
  <c r="F91"/>
  <c r="F90"/>
  <c r="F84"/>
  <c r="F78"/>
  <c r="F77"/>
  <c r="F73"/>
  <c r="F70"/>
  <c r="F53"/>
  <c r="F51"/>
  <c r="F50"/>
  <c r="F37"/>
  <c r="F35"/>
  <c r="F27"/>
  <c r="F26"/>
  <c r="F24"/>
  <c r="F23"/>
  <c r="F22"/>
  <c r="F21"/>
  <c r="F20"/>
  <c r="F18"/>
  <c r="F17"/>
  <c r="F15"/>
  <c r="F13"/>
  <c r="F11"/>
  <c r="F10"/>
  <c r="F9"/>
  <c r="F8"/>
  <c r="F7"/>
  <c r="F6"/>
  <c r="F5"/>
  <c r="F4"/>
  <c r="F3"/>
  <c r="F2"/>
  <c r="F12"/>
  <c r="F14"/>
  <c r="F16"/>
  <c r="F19"/>
  <c r="F25"/>
  <c r="F28"/>
  <c r="F29"/>
  <c r="F30"/>
  <c r="F31"/>
  <c r="F32"/>
  <c r="F33"/>
  <c r="F34"/>
  <c r="F36"/>
  <c r="F38"/>
  <c r="F39"/>
  <c r="F40"/>
  <c r="F41"/>
  <c r="F42"/>
  <c r="F43"/>
  <c r="F44"/>
  <c r="F45"/>
  <c r="F46"/>
  <c r="F47"/>
  <c r="F48"/>
  <c r="F49"/>
  <c r="F52"/>
  <c r="F54"/>
  <c r="F55"/>
  <c r="F56"/>
  <c r="F57"/>
  <c r="F58"/>
  <c r="F59"/>
  <c r="F60"/>
  <c r="F61"/>
  <c r="F62"/>
  <c r="F63"/>
  <c r="F64"/>
  <c r="F65"/>
  <c r="F66"/>
  <c r="F67"/>
  <c r="F68"/>
  <c r="F69"/>
  <c r="F71"/>
  <c r="F72"/>
  <c r="F74"/>
  <c r="F75"/>
  <c r="F76"/>
  <c r="F79"/>
  <c r="F80"/>
  <c r="F81"/>
  <c r="F82"/>
  <c r="F83"/>
  <c r="F85"/>
  <c r="F86"/>
  <c r="F87"/>
  <c r="F88"/>
  <c r="F89"/>
  <c r="F92"/>
  <c r="F93"/>
  <c r="F97"/>
  <c r="F101"/>
  <c r="F102"/>
  <c r="F103"/>
  <c r="F104"/>
  <c r="F106"/>
  <c r="F108"/>
</calcChain>
</file>

<file path=xl/sharedStrings.xml><?xml version="1.0" encoding="utf-8"?>
<sst xmlns="http://schemas.openxmlformats.org/spreadsheetml/2006/main" count="27170" uniqueCount="4869">
  <si>
    <t>rank</t>
  </si>
  <si>
    <t>finalWorth</t>
  </si>
  <si>
    <t>category</t>
  </si>
  <si>
    <t>personName</t>
  </si>
  <si>
    <t>age</t>
  </si>
  <si>
    <t>country</t>
  </si>
  <si>
    <t>city</t>
  </si>
  <si>
    <t>source</t>
  </si>
  <si>
    <t>industries</t>
  </si>
  <si>
    <t>countryOfCitizenship</t>
  </si>
  <si>
    <t>organization</t>
  </si>
  <si>
    <t>selfMade</t>
  </si>
  <si>
    <t>status</t>
  </si>
  <si>
    <t>gender</t>
  </si>
  <si>
    <t>title</t>
  </si>
  <si>
    <t>cpi_country</t>
  </si>
  <si>
    <t>cpi_change_country</t>
  </si>
  <si>
    <t>gdp_country</t>
  </si>
  <si>
    <t>gross_tertiary_education_enrollment</t>
  </si>
  <si>
    <t>gross_primary_education_enrollment_country</t>
  </si>
  <si>
    <t>life_expectancy_country</t>
  </si>
  <si>
    <t>tax_revenue_country_country</t>
  </si>
  <si>
    <t>total_tax_rate_country</t>
  </si>
  <si>
    <t>population_country</t>
  </si>
  <si>
    <t>latitude_country</t>
  </si>
  <si>
    <t>longitude_country</t>
  </si>
  <si>
    <t>Fashion &amp; Retail</t>
  </si>
  <si>
    <t>Bernard Arnault &amp; family</t>
  </si>
  <si>
    <t>France</t>
  </si>
  <si>
    <t>Paris</t>
  </si>
  <si>
    <t>LVMH</t>
  </si>
  <si>
    <t>LVMH MoÃ«t Hennessy Louis Vuitton</t>
  </si>
  <si>
    <t>U</t>
  </si>
  <si>
    <t>M</t>
  </si>
  <si>
    <t>Chairman and CEO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</si>
  <si>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</si>
  <si>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</si>
  <si>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</si>
  <si>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</si>
  <si>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</si>
  <si>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</si>
  <si>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Tesla</t>
  </si>
  <si>
    <t>D</t>
  </si>
  <si>
    <t>CEO</t>
  </si>
  <si>
    <t xml:space="preserve">$21,427,700,000,000 </t>
  </si>
  <si>
    <t>Technology</t>
  </si>
  <si>
    <t>Jeff Bezos</t>
  </si>
  <si>
    <t>Medina</t>
  </si>
  <si>
    <t>Amazon</t>
  </si>
  <si>
    <t>Chairman and Founder</t>
  </si>
  <si>
    <t>Larry Ellison</t>
  </si>
  <si>
    <t>Lanai</t>
  </si>
  <si>
    <t>Oracle</t>
  </si>
  <si>
    <t>CTO and Founder</t>
  </si>
  <si>
    <t>Finance &amp; Investments</t>
  </si>
  <si>
    <t>Warren Buffett</t>
  </si>
  <si>
    <t>Omaha</t>
  </si>
  <si>
    <t>Berkshire Hathaway</t>
  </si>
  <si>
    <t>Berkshire Hathaway Inc. (Cl A)</t>
  </si>
  <si>
    <t>Bill Gates</t>
  </si>
  <si>
    <t>Microsoft</t>
  </si>
  <si>
    <t>Bill &amp; Melinda Gates Foundation</t>
  </si>
  <si>
    <t>Cochair</t>
  </si>
  <si>
    <t>Media &amp; Entertainment</t>
  </si>
  <si>
    <t>Michael Bloomberg</t>
  </si>
  <si>
    <t>New York</t>
  </si>
  <si>
    <t>Bloomberg LP</t>
  </si>
  <si>
    <t>Bloomberg</t>
  </si>
  <si>
    <t>Telecom</t>
  </si>
  <si>
    <t>Carlos Slim Helu &amp; family</t>
  </si>
  <si>
    <t>Mexico</t>
  </si>
  <si>
    <t>Mexico City</t>
  </si>
  <si>
    <t>AmÃ©rica MÃ³vil</t>
  </si>
  <si>
    <t>Honorary Chairman</t>
  </si>
  <si>
    <t xml:space="preserve">$1,258,286,717,125 </t>
  </si>
  <si>
    <t>Diversified</t>
  </si>
  <si>
    <t>Mukesh Ambani</t>
  </si>
  <si>
    <t>India</t>
  </si>
  <si>
    <t>Mumbai</t>
  </si>
  <si>
    <t>Reliance Industries</t>
  </si>
  <si>
    <t>Founder and Chairman</t>
  </si>
  <si>
    <t xml:space="preserve">$2,611,000,000,000 </t>
  </si>
  <si>
    <t>Steve Ballmer</t>
  </si>
  <si>
    <t>Hunts Point</t>
  </si>
  <si>
    <t>Los Angeles Clippers</t>
  </si>
  <si>
    <t>Owner</t>
  </si>
  <si>
    <t>Francoise Bettencourt Meyers &amp; family</t>
  </si>
  <si>
    <t>L'OrÃ©al</t>
  </si>
  <si>
    <t>F</t>
  </si>
  <si>
    <t>Larry Page</t>
  </si>
  <si>
    <t>Palo Alto</t>
  </si>
  <si>
    <t>Google</t>
  </si>
  <si>
    <t>Alphabet</t>
  </si>
  <si>
    <t>Cofounder and board member</t>
  </si>
  <si>
    <t>Amancio Ortega</t>
  </si>
  <si>
    <t>Spain</t>
  </si>
  <si>
    <t>La Coruna</t>
  </si>
  <si>
    <t>Zara</t>
  </si>
  <si>
    <t xml:space="preserve">$1,394,116,310,769 </t>
  </si>
  <si>
    <t>Sergey Brin</t>
  </si>
  <si>
    <t>Los Altos</t>
  </si>
  <si>
    <t>Food &amp; Beverage</t>
  </si>
  <si>
    <t>Zhong Shanshan</t>
  </si>
  <si>
    <t>China</t>
  </si>
  <si>
    <t>Hangzhou</t>
  </si>
  <si>
    <t>Beverages, pharmaceuticals</t>
  </si>
  <si>
    <t xml:space="preserve">$19,910,000,000,000 </t>
  </si>
  <si>
    <t>Mark Zuckerberg</t>
  </si>
  <si>
    <t>Facebook</t>
  </si>
  <si>
    <t>Meta Platforms</t>
  </si>
  <si>
    <t>Cofounder</t>
  </si>
  <si>
    <t>Charles Koch &amp; family</t>
  </si>
  <si>
    <t>Wichita</t>
  </si>
  <si>
    <t>Koch Industries</t>
  </si>
  <si>
    <t>Koch Industries, Inc.</t>
  </si>
  <si>
    <t>Julia Koch &amp; family</t>
  </si>
  <si>
    <t>Jim Walton</t>
  </si>
  <si>
    <t>Bentonville</t>
  </si>
  <si>
    <t>Walmart</t>
  </si>
  <si>
    <t>Arvest Bank Group, Inc.</t>
  </si>
  <si>
    <t>Rob Walton &amp; family</t>
  </si>
  <si>
    <t>Director</t>
  </si>
  <si>
    <t>Alice Walton</t>
  </si>
  <si>
    <t>Fort Worth</t>
  </si>
  <si>
    <t>Crystal Bridges Museum of American Art</t>
  </si>
  <si>
    <t>Philanthropist</t>
  </si>
  <si>
    <t>David Thomson &amp; family</t>
  </si>
  <si>
    <t>Canada</t>
  </si>
  <si>
    <t>Toronto</t>
  </si>
  <si>
    <t>Media</t>
  </si>
  <si>
    <t>Thomson Reuters Corporation</t>
  </si>
  <si>
    <t>Chairman</t>
  </si>
  <si>
    <t xml:space="preserve">$1,736,425,629,520 </t>
  </si>
  <si>
    <t>Michael Dell</t>
  </si>
  <si>
    <t>Dell Technologies</t>
  </si>
  <si>
    <t>Dell Inc.</t>
  </si>
  <si>
    <t>Gautam Adani</t>
  </si>
  <si>
    <t>Ahmedabad</t>
  </si>
  <si>
    <t>Infrastructure, commodities</t>
  </si>
  <si>
    <t>Phil Knight &amp; family</t>
  </si>
  <si>
    <t>Hillsboro</t>
  </si>
  <si>
    <t>Nike</t>
  </si>
  <si>
    <t>Zhang Yiming</t>
  </si>
  <si>
    <t>Beijing</t>
  </si>
  <si>
    <t>TikTok</t>
  </si>
  <si>
    <t>ByteDance</t>
  </si>
  <si>
    <t>Founder</t>
  </si>
  <si>
    <t>Dieter Schwarz</t>
  </si>
  <si>
    <t>Germany</t>
  </si>
  <si>
    <t>Neckarsulm</t>
  </si>
  <si>
    <t>Retail</t>
  </si>
  <si>
    <t xml:space="preserve">$3,845,630,030,824 </t>
  </si>
  <si>
    <t>FranÃ§ois Pinault &amp; family</t>
  </si>
  <si>
    <t>Luxury goods</t>
  </si>
  <si>
    <t>Logistics</t>
  </si>
  <si>
    <t>Klaus-Michael Kuehne</t>
  </si>
  <si>
    <t>Switzerland</t>
  </si>
  <si>
    <t>Schindellegi</t>
  </si>
  <si>
    <t>Shipping</t>
  </si>
  <si>
    <t xml:space="preserve">$703,082,435,360 </t>
  </si>
  <si>
    <t>Giovanni Ferrero</t>
  </si>
  <si>
    <t>Belgium</t>
  </si>
  <si>
    <t>Brussels</t>
  </si>
  <si>
    <t>Nutella, chocolates</t>
  </si>
  <si>
    <t>Italy</t>
  </si>
  <si>
    <t xml:space="preserve">$529,606,710,418 </t>
  </si>
  <si>
    <t>Jacqueline Mars</t>
  </si>
  <si>
    <t>The Plains</t>
  </si>
  <si>
    <t>Candy, pet food</t>
  </si>
  <si>
    <t>John Mars</t>
  </si>
  <si>
    <t>Jackson</t>
  </si>
  <si>
    <t>Li Ka-shing</t>
  </si>
  <si>
    <t>Hong Kong</t>
  </si>
  <si>
    <t>CK Hutchison Holdings</t>
  </si>
  <si>
    <t>Senior Advisor</t>
  </si>
  <si>
    <t>Ma Huateng</t>
  </si>
  <si>
    <t>Shenzhen</t>
  </si>
  <si>
    <t>Internet media</t>
  </si>
  <si>
    <t>Tencent Holdings</t>
  </si>
  <si>
    <t>Gambling &amp; Casinos</t>
  </si>
  <si>
    <t>Miriam Adelson &amp; family</t>
  </si>
  <si>
    <t>Las Vegas</t>
  </si>
  <si>
    <t>Casinos</t>
  </si>
  <si>
    <t>Ken Griffin</t>
  </si>
  <si>
    <t>Miami</t>
  </si>
  <si>
    <t>Hedge funds</t>
  </si>
  <si>
    <t>Citadel LLC</t>
  </si>
  <si>
    <t>Founder &amp; CEO</t>
  </si>
  <si>
    <t>Mark Mateschitz</t>
  </si>
  <si>
    <t>Austria</t>
  </si>
  <si>
    <t>Salzburg</t>
  </si>
  <si>
    <t>Red Bull</t>
  </si>
  <si>
    <t>N</t>
  </si>
  <si>
    <t xml:space="preserve">$446,314,739,528 </t>
  </si>
  <si>
    <t>Robin Zeng</t>
  </si>
  <si>
    <t>Ningde</t>
  </si>
  <si>
    <t>Batteries</t>
  </si>
  <si>
    <t>Tadashi Yanai &amp; family</t>
  </si>
  <si>
    <t>Japan</t>
  </si>
  <si>
    <t>Tokyo</t>
  </si>
  <si>
    <t>Fashion retail</t>
  </si>
  <si>
    <t xml:space="preserve">$5,081,769,542,380 </t>
  </si>
  <si>
    <t>Len Blavatnik</t>
  </si>
  <si>
    <t>United Kingdom</t>
  </si>
  <si>
    <t>London</t>
  </si>
  <si>
    <t>Music, chemicals</t>
  </si>
  <si>
    <t xml:space="preserve">$2,827,113,184,696 </t>
  </si>
  <si>
    <t>Alain Wertheimer</t>
  </si>
  <si>
    <t>Chanel</t>
  </si>
  <si>
    <t>Gerard Wertheimer</t>
  </si>
  <si>
    <t>Gianluigi Aponte</t>
  </si>
  <si>
    <t>Geneva</t>
  </si>
  <si>
    <t>Split Family Fortune</t>
  </si>
  <si>
    <t>Rafaela Aponte-Diamant</t>
  </si>
  <si>
    <t>Colin Zheng Huang</t>
  </si>
  <si>
    <t>Shanghai</t>
  </si>
  <si>
    <t>E-commerce</t>
  </si>
  <si>
    <t>Manufacturing</t>
  </si>
  <si>
    <t>Reinhold Wuerth &amp; family</t>
  </si>
  <si>
    <t>Kuenzelsau</t>
  </si>
  <si>
    <t>Fasteners</t>
  </si>
  <si>
    <t>Real Estate</t>
  </si>
  <si>
    <t>Lee Shau Kee</t>
  </si>
  <si>
    <t>Real estate</t>
  </si>
  <si>
    <t>Jeff Yass</t>
  </si>
  <si>
    <t>Haverford</t>
  </si>
  <si>
    <t>Trading, investments</t>
  </si>
  <si>
    <t>Jim Simons</t>
  </si>
  <si>
    <t>East Setauket</t>
  </si>
  <si>
    <t>Renaissance Technologies Corp.</t>
  </si>
  <si>
    <t>Stephen Schwarzman</t>
  </si>
  <si>
    <t>Investments</t>
  </si>
  <si>
    <t>Blackstone Group</t>
  </si>
  <si>
    <t>Susanne Klatten</t>
  </si>
  <si>
    <t>Bad Homburg</t>
  </si>
  <si>
    <t>BMW, pharmaceuticals</t>
  </si>
  <si>
    <t>Metals &amp; Mining</t>
  </si>
  <si>
    <t>Gina Rinehart</t>
  </si>
  <si>
    <t>Australia</t>
  </si>
  <si>
    <t>Perth</t>
  </si>
  <si>
    <t>Mining</t>
  </si>
  <si>
    <t>Hancock Prospecting</t>
  </si>
  <si>
    <t>Executive Chairman</t>
  </si>
  <si>
    <t xml:space="preserve">$1,392,680,589,329 </t>
  </si>
  <si>
    <t>William Ding</t>
  </si>
  <si>
    <t>Online games</t>
  </si>
  <si>
    <t>GermÃ¡n Larrea Mota Velasco &amp; family</t>
  </si>
  <si>
    <t>Shiv Nadar</t>
  </si>
  <si>
    <t>Delhi</t>
  </si>
  <si>
    <t>software services</t>
  </si>
  <si>
    <t>Energy</t>
  </si>
  <si>
    <t>Low Tuck Kwong</t>
  </si>
  <si>
    <t>Indonesia</t>
  </si>
  <si>
    <t>Jakarta</t>
  </si>
  <si>
    <t>Coal</t>
  </si>
  <si>
    <t xml:space="preserve">$1,119,190,780,753 </t>
  </si>
  <si>
    <t>Thomas Peterffy</t>
  </si>
  <si>
    <t>Palm Beach</t>
  </si>
  <si>
    <t>Discount brokerage</t>
  </si>
  <si>
    <t>Andrey Melnichenko &amp; family</t>
  </si>
  <si>
    <t>United Arab Emirates</t>
  </si>
  <si>
    <t>Ras Al Khaimah</t>
  </si>
  <si>
    <t>Fertilizers, coal</t>
  </si>
  <si>
    <t>Russia</t>
  </si>
  <si>
    <t xml:space="preserve">$421,142,267,938 </t>
  </si>
  <si>
    <t>Stefan Quandt</t>
  </si>
  <si>
    <t>Frankfurt</t>
  </si>
  <si>
    <t>BMW</t>
  </si>
  <si>
    <t>MacKenzie Scott</t>
  </si>
  <si>
    <t>Seattle</t>
  </si>
  <si>
    <t>R. Budi Hartono</t>
  </si>
  <si>
    <t>Kudus</t>
  </si>
  <si>
    <t>Banking, tobacco</t>
  </si>
  <si>
    <t>Vladimir Potanin</t>
  </si>
  <si>
    <t>Moscow</t>
  </si>
  <si>
    <t>Metals</t>
  </si>
  <si>
    <t xml:space="preserve">$1,699,876,578,871 </t>
  </si>
  <si>
    <t>Jack Ma</t>
  </si>
  <si>
    <t>He Xiangjian &amp; family</t>
  </si>
  <si>
    <t>Foshan</t>
  </si>
  <si>
    <t>Home appliances</t>
  </si>
  <si>
    <t>Iris Fontbona &amp; family</t>
  </si>
  <si>
    <t>Chile</t>
  </si>
  <si>
    <t>Santiago</t>
  </si>
  <si>
    <t xml:space="preserve">$282,318,159,745 </t>
  </si>
  <si>
    <t>Michael Hartono</t>
  </si>
  <si>
    <t>James Ratcliffe</t>
  </si>
  <si>
    <t>Chemicals</t>
  </si>
  <si>
    <t>Healthcare</t>
  </si>
  <si>
    <t>Cyrus Poonawalla</t>
  </si>
  <si>
    <t>Pune</t>
  </si>
  <si>
    <t>Vaccines</t>
  </si>
  <si>
    <t>Masayoshi Son</t>
  </si>
  <si>
    <t>Internet, telecom</t>
  </si>
  <si>
    <t>SoftBank Group Corp.</t>
  </si>
  <si>
    <t>Vladimir Lisin</t>
  </si>
  <si>
    <t>Steel, transport</t>
  </si>
  <si>
    <t>Emmanuel Besnier</t>
  </si>
  <si>
    <t>Laval</t>
  </si>
  <si>
    <t>Cheese</t>
  </si>
  <si>
    <t>Abigail Johnson</t>
  </si>
  <si>
    <t>Milton</t>
  </si>
  <si>
    <t>Fidelity</t>
  </si>
  <si>
    <t>Fidelity Investments</t>
  </si>
  <si>
    <t>Leonid Mikhelson &amp; family</t>
  </si>
  <si>
    <t>Gas, chemicals</t>
  </si>
  <si>
    <t>Lukas Walton</t>
  </si>
  <si>
    <t>Chicago</t>
  </si>
  <si>
    <t>Service</t>
  </si>
  <si>
    <t>Wang Wei</t>
  </si>
  <si>
    <t>Package delivery</t>
  </si>
  <si>
    <t>Jensen Huang</t>
  </si>
  <si>
    <t>Semiconductors</t>
  </si>
  <si>
    <t>Nvidia</t>
  </si>
  <si>
    <t>CEO &amp; President</t>
  </si>
  <si>
    <t>Leonard Lauder</t>
  </si>
  <si>
    <t>Estee Lauder</t>
  </si>
  <si>
    <t>The EstÃ©e Lauder Companies</t>
  </si>
  <si>
    <t>Chairman Emeritus</t>
  </si>
  <si>
    <t>Takemitsu Takizaki</t>
  </si>
  <si>
    <t>Osaka</t>
  </si>
  <si>
    <t>Sensors</t>
  </si>
  <si>
    <t>Alexey Mordashov &amp; family</t>
  </si>
  <si>
    <t>Steel, investments</t>
  </si>
  <si>
    <t>Vagit Alekperov</t>
  </si>
  <si>
    <t>Oil</t>
  </si>
  <si>
    <t>Thomas Frist, Jr. &amp; family</t>
  </si>
  <si>
    <t>Nashville</t>
  </si>
  <si>
    <t>Hospitals</t>
  </si>
  <si>
    <t>Andrew Forrest</t>
  </si>
  <si>
    <t>Ray Dalio</t>
  </si>
  <si>
    <t>Greenwich</t>
  </si>
  <si>
    <t>Bridgewater Associates</t>
  </si>
  <si>
    <t>Founder &amp; Co-Chief Investment Officer</t>
  </si>
  <si>
    <t>Eric Li</t>
  </si>
  <si>
    <t>Automobiles</t>
  </si>
  <si>
    <t>Wang Wenyin</t>
  </si>
  <si>
    <t>Mining, copper products</t>
  </si>
  <si>
    <t>Eyal Ofer</t>
  </si>
  <si>
    <t>Monaco</t>
  </si>
  <si>
    <t>Monte Carlo</t>
  </si>
  <si>
    <t>Real estate, shipping</t>
  </si>
  <si>
    <t>Israel</t>
  </si>
  <si>
    <t xml:space="preserve">$7,184,844,193 </t>
  </si>
  <si>
    <t>Qin Yinglin</t>
  </si>
  <si>
    <t>Nanyang</t>
  </si>
  <si>
    <t>Pig breeding</t>
  </si>
  <si>
    <t>Wang Chuanfu</t>
  </si>
  <si>
    <t>Batteries, automobiles</t>
  </si>
  <si>
    <t>Harold Hamm &amp; family</t>
  </si>
  <si>
    <t>Oklahoma City</t>
  </si>
  <si>
    <t>Oil &amp; gas</t>
  </si>
  <si>
    <t xml:space="preserve">Continental Resources Inc. </t>
  </si>
  <si>
    <t>David Tepper</t>
  </si>
  <si>
    <t>Appaloosa Management</t>
  </si>
  <si>
    <t>President and Founder</t>
  </si>
  <si>
    <t>Gennady Timchenko</t>
  </si>
  <si>
    <t>Oil, gas</t>
  </si>
  <si>
    <t>Daniel Gilbert</t>
  </si>
  <si>
    <t>Franklin</t>
  </si>
  <si>
    <t>Quicken Loans</t>
  </si>
  <si>
    <t>Lakshmi Mittal</t>
  </si>
  <si>
    <t>Steel</t>
  </si>
  <si>
    <t>ArcelorMittal (ADR)</t>
  </si>
  <si>
    <t>Steve Cohen</t>
  </si>
  <si>
    <t>Point72 Asset Management</t>
  </si>
  <si>
    <t>Carl Icahn</t>
  </si>
  <si>
    <t>Indian Creek</t>
  </si>
  <si>
    <t>Icahn Capital Management</t>
  </si>
  <si>
    <t>Savitri Jindal &amp; family</t>
  </si>
  <si>
    <t>Hisar</t>
  </si>
  <si>
    <t>Donald Bren</t>
  </si>
  <si>
    <t>Newport Beach</t>
  </si>
  <si>
    <t>Irvine Company</t>
  </si>
  <si>
    <t>John Menard, Jr.</t>
  </si>
  <si>
    <t>Eau Claire</t>
  </si>
  <si>
    <t>Home improvement stores</t>
  </si>
  <si>
    <t>Menard, Inc.</t>
  </si>
  <si>
    <t>Rupert Murdoch &amp; family</t>
  </si>
  <si>
    <t>Newspapers, TV network</t>
  </si>
  <si>
    <t>News Corp Class A</t>
  </si>
  <si>
    <t>Vicky Safra &amp; family</t>
  </si>
  <si>
    <t>Crans-Montana</t>
  </si>
  <si>
    <t>Banking</t>
  </si>
  <si>
    <t>Brazil</t>
  </si>
  <si>
    <t>Theo Albrecht, Jr. &amp; family</t>
  </si>
  <si>
    <t>Mulheim an der Ruhr</t>
  </si>
  <si>
    <t>Aldi, Trader Joe's</t>
  </si>
  <si>
    <t>Renata Kellnerova &amp; family</t>
  </si>
  <si>
    <t>Czech Republic</t>
  </si>
  <si>
    <t>Prague</t>
  </si>
  <si>
    <t>Finance, telecommunications</t>
  </si>
  <si>
    <t xml:space="preserve">$246,489,245,495 </t>
  </si>
  <si>
    <t>Li Xiting</t>
  </si>
  <si>
    <t>medical devices</t>
  </si>
  <si>
    <t>Singapore</t>
  </si>
  <si>
    <t>Stefan Persson</t>
  </si>
  <si>
    <t>Sweden</t>
  </si>
  <si>
    <t>Stockholm</t>
  </si>
  <si>
    <t>H&amp;M</t>
  </si>
  <si>
    <t>Hennes &amp; Mauritz Unsponsored ADR</t>
  </si>
  <si>
    <t xml:space="preserve">$530,832,908,738 </t>
  </si>
  <si>
    <t>Eric Schmidt</t>
  </si>
  <si>
    <t>Atherton</t>
  </si>
  <si>
    <t>Michael Platt</t>
  </si>
  <si>
    <t>BlueCrest Capital Management</t>
  </si>
  <si>
    <t xml:space="preserve">Founder </t>
  </si>
  <si>
    <t>Pang Kang</t>
  </si>
  <si>
    <t>Soy sauce</t>
  </si>
  <si>
    <t>Karl Albrecht Jr. &amp; family</t>
  </si>
  <si>
    <t>Supermarkets</t>
  </si>
  <si>
    <t>Beate Heister</t>
  </si>
  <si>
    <t>Jorge Paulo Lemann &amp; family</t>
  </si>
  <si>
    <t>Zurich</t>
  </si>
  <si>
    <t>Beer</t>
  </si>
  <si>
    <t>Investor, Philanthropist</t>
  </si>
  <si>
    <t>Peter Woo</t>
  </si>
  <si>
    <t>Dilip Shanghvi</t>
  </si>
  <si>
    <t>Pharmaceuticals</t>
  </si>
  <si>
    <t>E</t>
  </si>
  <si>
    <t>Robert Pera</t>
  </si>
  <si>
    <t>San Jose</t>
  </si>
  <si>
    <t>Wireless networking</t>
  </si>
  <si>
    <t>Ubiquiti</t>
  </si>
  <si>
    <t>Chief Executive Officer</t>
  </si>
  <si>
    <t>Radhakishan Damani</t>
  </si>
  <si>
    <t>Retail, investments</t>
  </si>
  <si>
    <t>Huang Shilin</t>
  </si>
  <si>
    <t>Dhanin Chearavanont</t>
  </si>
  <si>
    <t>Thailand</t>
  </si>
  <si>
    <t>Bangkok</t>
  </si>
  <si>
    <t xml:space="preserve">$543,649,976,166 </t>
  </si>
  <si>
    <t>David Green &amp; family</t>
  </si>
  <si>
    <t>Hobby Lobby</t>
  </si>
  <si>
    <t>Charoen Sirivadhanabhakdi</t>
  </si>
  <si>
    <t>Alcohol, real estate</t>
  </si>
  <si>
    <t>Charlene de Carvalho-Heineken &amp; family</t>
  </si>
  <si>
    <t>Heineken</t>
  </si>
  <si>
    <t>Netherlands</t>
  </si>
  <si>
    <t>Xu Hang</t>
  </si>
  <si>
    <t>Medical devices</t>
  </si>
  <si>
    <t>Wei Jianjun &amp; family</t>
  </si>
  <si>
    <t>Baoding</t>
  </si>
  <si>
    <t>Alisher Usmanov</t>
  </si>
  <si>
    <t>Uzbekistan</t>
  </si>
  <si>
    <t>Tashkent</t>
  </si>
  <si>
    <t>Steel, telecom, investments</t>
  </si>
  <si>
    <t>Metalloinvest</t>
  </si>
  <si>
    <t xml:space="preserve">$57,921,286,440 </t>
  </si>
  <si>
    <t>Goh Cheng Liang</t>
  </si>
  <si>
    <t>Paints</t>
  </si>
  <si>
    <t xml:space="preserve">$372,062,527,489 </t>
  </si>
  <si>
    <t>Kumar Birla</t>
  </si>
  <si>
    <t>Commodities</t>
  </si>
  <si>
    <t>Aliko Dangote</t>
  </si>
  <si>
    <t>Nigeria</t>
  </si>
  <si>
    <t>Lagos</t>
  </si>
  <si>
    <t>Cement, sugar</t>
  </si>
  <si>
    <t>Dangote Group</t>
  </si>
  <si>
    <t xml:space="preserve">$448,120,428,859 </t>
  </si>
  <si>
    <t>Kwong Siu-hing</t>
  </si>
  <si>
    <t>Idan Ofer</t>
  </si>
  <si>
    <t>Chen Bang</t>
  </si>
  <si>
    <t>Changsha</t>
  </si>
  <si>
    <t>Lui Che Woo</t>
  </si>
  <si>
    <t>Casinos/hotels</t>
  </si>
  <si>
    <t>John Fredriksen</t>
  </si>
  <si>
    <t>Cyprus</t>
  </si>
  <si>
    <t>Investor</t>
  </si>
  <si>
    <t>Construction &amp; Engineering</t>
  </si>
  <si>
    <t>Diane Hendricks</t>
  </si>
  <si>
    <t>Afton</t>
  </si>
  <si>
    <t>Building supplies</t>
  </si>
  <si>
    <t>ABC Supply</t>
  </si>
  <si>
    <t>Jan Koum</t>
  </si>
  <si>
    <t>WhatsApp</t>
  </si>
  <si>
    <t>WhatsApp Inc.</t>
  </si>
  <si>
    <t>CEO, cofounder</t>
  </si>
  <si>
    <t>Sports</t>
  </si>
  <si>
    <t>Jerry Jones</t>
  </si>
  <si>
    <t>Dallas</t>
  </si>
  <si>
    <t>Dallas Cowboys</t>
  </si>
  <si>
    <t>President and General Manager</t>
  </si>
  <si>
    <t>George Kaiser</t>
  </si>
  <si>
    <t>Tulsa</t>
  </si>
  <si>
    <t>Oil &amp; gas, banking</t>
  </si>
  <si>
    <t>BOK Financial Corp.</t>
  </si>
  <si>
    <t>Joseph Lau</t>
  </si>
  <si>
    <t>Lu Xiangyang</t>
  </si>
  <si>
    <t>Guangzhou</t>
  </si>
  <si>
    <t>Automobiles, batteries</t>
  </si>
  <si>
    <t>Harry Triguboff</t>
  </si>
  <si>
    <t>Sydney</t>
  </si>
  <si>
    <t>Uday Kotak</t>
  </si>
  <si>
    <t>Stanley Kroenke</t>
  </si>
  <si>
    <t>Electra</t>
  </si>
  <si>
    <t>Sports, real estate</t>
  </si>
  <si>
    <t>Mikhail Fridman</t>
  </si>
  <si>
    <t>Oil, banking, telecom</t>
  </si>
  <si>
    <t>Sarath Ratanavadi</t>
  </si>
  <si>
    <t>Dang Yanbao</t>
  </si>
  <si>
    <t>Yinchuan</t>
  </si>
  <si>
    <t>Jiang Rensheng &amp; family</t>
  </si>
  <si>
    <t>Chongqing</t>
  </si>
  <si>
    <t>Shahid Khan</t>
  </si>
  <si>
    <t>Naples</t>
  </si>
  <si>
    <t>Auto parts</t>
  </si>
  <si>
    <t>Laurene Powell Jobs &amp; family</t>
  </si>
  <si>
    <t>Apple, Disney</t>
  </si>
  <si>
    <t>Emerson Collective</t>
  </si>
  <si>
    <t>Robert Kuok</t>
  </si>
  <si>
    <t>Palm oil, shipping, property</t>
  </si>
  <si>
    <t>Malaysia</t>
  </si>
  <si>
    <t>Stephen Ross</t>
  </si>
  <si>
    <t>Pavel Durov</t>
  </si>
  <si>
    <t>Dubai</t>
  </si>
  <si>
    <t>Messaging app</t>
  </si>
  <si>
    <t>Andreas Struengmann &amp; family</t>
  </si>
  <si>
    <t>Tegernsee</t>
  </si>
  <si>
    <t>Thomas Struengmann &amp; family</t>
  </si>
  <si>
    <t>Liu Hanyuan</t>
  </si>
  <si>
    <t>Chengdu</t>
  </si>
  <si>
    <t>Agribusiness</t>
  </si>
  <si>
    <t>Michael Rubin</t>
  </si>
  <si>
    <t>Bryn Mawr</t>
  </si>
  <si>
    <t>Online retail</t>
  </si>
  <si>
    <t>Kynetic</t>
  </si>
  <si>
    <t>Israel Englander</t>
  </si>
  <si>
    <t>Millennium Management, L.L.C.</t>
  </si>
  <si>
    <t>Viatcheslav Kantor</t>
  </si>
  <si>
    <t>Herzliya</t>
  </si>
  <si>
    <t>Fertilizer, real estate</t>
  </si>
  <si>
    <t xml:space="preserve">$395,098,666,122 </t>
  </si>
  <si>
    <t>Anthony Pratt</t>
  </si>
  <si>
    <t>Melbourne</t>
  </si>
  <si>
    <t>Mikhail Prokhorov</t>
  </si>
  <si>
    <t>Frauenfeld</t>
  </si>
  <si>
    <t>Giorgio Armani</t>
  </si>
  <si>
    <t>Milan</t>
  </si>
  <si>
    <t xml:space="preserve">$2,001,244,392,042 </t>
  </si>
  <si>
    <t>Johann Rupert &amp; family</t>
  </si>
  <si>
    <t>South Africa</t>
  </si>
  <si>
    <t>Cape Town</t>
  </si>
  <si>
    <t xml:space="preserve">$351,431,649,241 </t>
  </si>
  <si>
    <t>Gong Hongjia &amp; family</t>
  </si>
  <si>
    <t>Video surveillance</t>
  </si>
  <si>
    <t>Zhang Zhidong</t>
  </si>
  <si>
    <t>Philip Anschutz</t>
  </si>
  <si>
    <t>Denver</t>
  </si>
  <si>
    <t>Energy, sports, entertainment</t>
  </si>
  <si>
    <t>Judy Love &amp; family</t>
  </si>
  <si>
    <t>Gas stations</t>
  </si>
  <si>
    <t>Love's Travel Stops and Country Stores</t>
  </si>
  <si>
    <t>Ricardo Salinas Pliego &amp; family</t>
  </si>
  <si>
    <t>Retail, media</t>
  </si>
  <si>
    <t>Donald Newhouse</t>
  </si>
  <si>
    <t>Robert Kraft</t>
  </si>
  <si>
    <t>Brookline</t>
  </si>
  <si>
    <t>Manufacturing, New England Patriots</t>
  </si>
  <si>
    <t>The Kraft Group</t>
  </si>
  <si>
    <t>Chairman &amp; CEO</t>
  </si>
  <si>
    <t>Marcel Herrmann Telles</t>
  </si>
  <si>
    <t>Sao Paulo</t>
  </si>
  <si>
    <t xml:space="preserve">$1,839,758,040,766 </t>
  </si>
  <si>
    <t>Suleiman Kerimov &amp; family</t>
  </si>
  <si>
    <t>Gold</t>
  </si>
  <si>
    <t>Sky Xu</t>
  </si>
  <si>
    <t>Changpeng Zhao</t>
  </si>
  <si>
    <t>Cryptocurrency exchange</t>
  </si>
  <si>
    <t>Andrew Beal</t>
  </si>
  <si>
    <t>Banks, real estate</t>
  </si>
  <si>
    <t>Mike Cannon-Brookes</t>
  </si>
  <si>
    <t>Software</t>
  </si>
  <si>
    <t>Carl Cook</t>
  </si>
  <si>
    <t>Bloomington</t>
  </si>
  <si>
    <t>David Duffield</t>
  </si>
  <si>
    <t>Incline Village</t>
  </si>
  <si>
    <t>Business software</t>
  </si>
  <si>
    <t>Workday</t>
  </si>
  <si>
    <t>Chairman and Cofounder</t>
  </si>
  <si>
    <t>Jeffery Hildebrand</t>
  </si>
  <si>
    <t>Houston</t>
  </si>
  <si>
    <t>Viktor Rashnikov</t>
  </si>
  <si>
    <t>Magnitogorsk</t>
  </si>
  <si>
    <t>Eduardo Saverin</t>
  </si>
  <si>
    <t>Georg Schaeffler</t>
  </si>
  <si>
    <t>Herzogenaurach</t>
  </si>
  <si>
    <t>Christy Walton</t>
  </si>
  <si>
    <t>Scott Farquhar</t>
  </si>
  <si>
    <t>Quek Leng Chan</t>
  </si>
  <si>
    <t>Kuala Lumpur</t>
  </si>
  <si>
    <t>Banking, property</t>
  </si>
  <si>
    <t xml:space="preserve">$364,701,517,788 </t>
  </si>
  <si>
    <t>Wu Yajun</t>
  </si>
  <si>
    <t>Autry Stephens</t>
  </si>
  <si>
    <t>Midland</t>
  </si>
  <si>
    <t>Liu Yongxing</t>
  </si>
  <si>
    <t>East Hope Group</t>
  </si>
  <si>
    <t>Vinod Adani</t>
  </si>
  <si>
    <t>Nicolas Puech</t>
  </si>
  <si>
    <t>Martigny</t>
  </si>
  <si>
    <t>Hermes</t>
  </si>
  <si>
    <t>Jacques SaadÃ©, Jr.</t>
  </si>
  <si>
    <t>Marseille</t>
  </si>
  <si>
    <t>Rodolphe SaadÃ©</t>
  </si>
  <si>
    <t>CMA CGM</t>
  </si>
  <si>
    <t>Tanya SaadÃ© Zeenny</t>
  </si>
  <si>
    <t>Melker Schorling &amp; family</t>
  </si>
  <si>
    <t>Andrei Guriev &amp; family</t>
  </si>
  <si>
    <t>Fertilizers</t>
  </si>
  <si>
    <t>Michael Kim</t>
  </si>
  <si>
    <t>South Korea</t>
  </si>
  <si>
    <t>Seoul</t>
  </si>
  <si>
    <t>Private equity</t>
  </si>
  <si>
    <t>MBK Partners</t>
  </si>
  <si>
    <t xml:space="preserve">$2,029,000,000,000 </t>
  </si>
  <si>
    <t>Lei Jun</t>
  </si>
  <si>
    <t>Smartphones</t>
  </si>
  <si>
    <t>Xiaomi</t>
  </si>
  <si>
    <t>Founder and CEO</t>
  </si>
  <si>
    <t>Friedhelm Loh</t>
  </si>
  <si>
    <t>Haiger</t>
  </si>
  <si>
    <t>Sun Piaoyang</t>
  </si>
  <si>
    <t>Lianyungang</t>
  </si>
  <si>
    <t>Rick Cohen &amp; family</t>
  </si>
  <si>
    <t>Keene</t>
  </si>
  <si>
    <t>Warehouse automation</t>
  </si>
  <si>
    <t>C&amp;S Wholesale Grocers</t>
  </si>
  <si>
    <t>Entrepreneur</t>
  </si>
  <si>
    <t>Jin Baofang</t>
  </si>
  <si>
    <t>Xingtai</t>
  </si>
  <si>
    <t>Solar panels</t>
  </si>
  <si>
    <t>Luo Liguo &amp; family</t>
  </si>
  <si>
    <t>Ningbo</t>
  </si>
  <si>
    <t>Marijke Mars</t>
  </si>
  <si>
    <t>Los Angeles</t>
  </si>
  <si>
    <t>Pamela Mars</t>
  </si>
  <si>
    <t>Alexandria</t>
  </si>
  <si>
    <t>Valerie Mars</t>
  </si>
  <si>
    <t>Victoria Mars</t>
  </si>
  <si>
    <t>Philadelphia</t>
  </si>
  <si>
    <t>Vincent BollorÃ© &amp; family</t>
  </si>
  <si>
    <t>Jim Pattison</t>
  </si>
  <si>
    <t>Vancouver</t>
  </si>
  <si>
    <t>Jim Pattison Group</t>
  </si>
  <si>
    <t>Founder, Chairman and CEO</t>
  </si>
  <si>
    <t>Ernesto Bertarelli</t>
  </si>
  <si>
    <t>Gstaad</t>
  </si>
  <si>
    <t>Biotech, investments</t>
  </si>
  <si>
    <t>Wang Xing</t>
  </si>
  <si>
    <t>Food delivery</t>
  </si>
  <si>
    <t>Brian Chesky</t>
  </si>
  <si>
    <t>San Francisco</t>
  </si>
  <si>
    <t>Airbnb</t>
  </si>
  <si>
    <t>Airbnb, Inc.</t>
  </si>
  <si>
    <t>CEO and Cofounder</t>
  </si>
  <si>
    <t>James Dyson</t>
  </si>
  <si>
    <t>Gloucestershire</t>
  </si>
  <si>
    <t>Vacuums</t>
  </si>
  <si>
    <t>Roman Abramovich &amp; family</t>
  </si>
  <si>
    <t>Antonia Ax:son Johnson &amp; family</t>
  </si>
  <si>
    <t>Daniel Kretinsky</t>
  </si>
  <si>
    <t>Energy, investments</t>
  </si>
  <si>
    <t>John Malone</t>
  </si>
  <si>
    <t>Elizabeth</t>
  </si>
  <si>
    <t>Cable television</t>
  </si>
  <si>
    <t>Azim Premji</t>
  </si>
  <si>
    <t>Bangalore</t>
  </si>
  <si>
    <t>Software services</t>
  </si>
  <si>
    <t>Wipro Ltd.</t>
  </si>
  <si>
    <t>Founder Chairman</t>
  </si>
  <si>
    <t>Charles Schwab</t>
  </si>
  <si>
    <t>Woodside</t>
  </si>
  <si>
    <t>Charles Schwab Corp.</t>
  </si>
  <si>
    <t>Eric Smidt</t>
  </si>
  <si>
    <t>Beverly Hills</t>
  </si>
  <si>
    <t>Hardware stores</t>
  </si>
  <si>
    <t>David Cheriton</t>
  </si>
  <si>
    <t>Stanford University</t>
  </si>
  <si>
    <t>Professor</t>
  </si>
  <si>
    <t>Ivan Glasenberg</t>
  </si>
  <si>
    <t>Ruschlikon</t>
  </si>
  <si>
    <t>Alexander Otto</t>
  </si>
  <si>
    <t>Hamburg</t>
  </si>
  <si>
    <t>Anthony von Mandl</t>
  </si>
  <si>
    <t>Alcoholic beverages</t>
  </si>
  <si>
    <t>Wang Liping &amp; family</t>
  </si>
  <si>
    <t>Changzhou</t>
  </si>
  <si>
    <t>Hydraulic machinery</t>
  </si>
  <si>
    <t>Finn Rausing</t>
  </si>
  <si>
    <t>Packaging</t>
  </si>
  <si>
    <t>Jorn Rausing</t>
  </si>
  <si>
    <t>Surrey</t>
  </si>
  <si>
    <t>Kirsten Rausing</t>
  </si>
  <si>
    <t>Newmarket</t>
  </si>
  <si>
    <t>Tatyana Bakalchuk</t>
  </si>
  <si>
    <t>Moscow region</t>
  </si>
  <si>
    <t>Ecommerce</t>
  </si>
  <si>
    <t>John Doerr</t>
  </si>
  <si>
    <t>Venture capital</t>
  </si>
  <si>
    <t>Kleiner Perkins</t>
  </si>
  <si>
    <t>Richard Liu</t>
  </si>
  <si>
    <t>Dustin Moskovitz</t>
  </si>
  <si>
    <t>Asana</t>
  </si>
  <si>
    <t>Pierre Omidyar</t>
  </si>
  <si>
    <t>Honolulu</t>
  </si>
  <si>
    <t>EBay, PayPal</t>
  </si>
  <si>
    <t>eBay</t>
  </si>
  <si>
    <t>Pei Zhenhua</t>
  </si>
  <si>
    <t>Carrie Perrodo &amp; family</t>
  </si>
  <si>
    <t>Chen Jianhua</t>
  </si>
  <si>
    <t>Wujiang</t>
  </si>
  <si>
    <t>Michael Otto</t>
  </si>
  <si>
    <t>Retail, real estate</t>
  </si>
  <si>
    <t>Leon Black</t>
  </si>
  <si>
    <t>Graeme Hart</t>
  </si>
  <si>
    <t>New Zealand</t>
  </si>
  <si>
    <t>Auckland</t>
  </si>
  <si>
    <t xml:space="preserve">$206,928,765,544 </t>
  </si>
  <si>
    <t>Ravi Jaipuria</t>
  </si>
  <si>
    <t>Soft drinks, fast food</t>
  </si>
  <si>
    <t>Hasso Plattner &amp; family</t>
  </si>
  <si>
    <t>Heidelberg</t>
  </si>
  <si>
    <t>Carlos Alberto Sicupira &amp; family</t>
  </si>
  <si>
    <t>St. Gallen</t>
  </si>
  <si>
    <t>Manuel Villar</t>
  </si>
  <si>
    <t>Philippines</t>
  </si>
  <si>
    <t>Manila</t>
  </si>
  <si>
    <t xml:space="preserve">$376,795,508,680 </t>
  </si>
  <si>
    <t>Andreas von Bechtolsheim &amp; family</t>
  </si>
  <si>
    <t>Arista Networks</t>
  </si>
  <si>
    <t>Cofounder, Chief Development Officer and Chairman</t>
  </si>
  <si>
    <t>Chase Coleman, III.</t>
  </si>
  <si>
    <t>Tiger Global Management</t>
  </si>
  <si>
    <t>Ann Walton Kroenke</t>
  </si>
  <si>
    <t>Li Zhenguo &amp; family</t>
  </si>
  <si>
    <t>Xi'an</t>
  </si>
  <si>
    <t>Solar wafers and modules</t>
  </si>
  <si>
    <t>Jim Kennedy</t>
  </si>
  <si>
    <t>Atlanta</t>
  </si>
  <si>
    <t>Media, automotive</t>
  </si>
  <si>
    <t>Cox Enterprises</t>
  </si>
  <si>
    <t>Georgia</t>
  </si>
  <si>
    <t>Nicky Oppenheimer &amp; family</t>
  </si>
  <si>
    <t>Johannesburg</t>
  </si>
  <si>
    <t>Diamonds</t>
  </si>
  <si>
    <t>Blair Parry-Okeden</t>
  </si>
  <si>
    <t>New South Wales</t>
  </si>
  <si>
    <t>Zheng Shuliang &amp; family</t>
  </si>
  <si>
    <t>Binzhou</t>
  </si>
  <si>
    <t>Aluminum products</t>
  </si>
  <si>
    <t>John Morris</t>
  </si>
  <si>
    <t>Springfield</t>
  </si>
  <si>
    <t>Sporting goods retail</t>
  </si>
  <si>
    <t>Stefano Pessina</t>
  </si>
  <si>
    <t>Drugstores</t>
  </si>
  <si>
    <t>Francine von Finck &amp; family</t>
  </si>
  <si>
    <t>Thurgau</t>
  </si>
  <si>
    <t>Francis Choi</t>
  </si>
  <si>
    <t>German Khan</t>
  </si>
  <si>
    <t>Abdulsamad Rabiu</t>
  </si>
  <si>
    <t>George Roberts</t>
  </si>
  <si>
    <t>Kushal Pal Singh</t>
  </si>
  <si>
    <t>Wang Jianlin</t>
  </si>
  <si>
    <t>Dalian Wanda Group</t>
  </si>
  <si>
    <t>Yang Huiyan &amp; family</t>
  </si>
  <si>
    <t>Laurent Dassault</t>
  </si>
  <si>
    <t>Thierry Dassault</t>
  </si>
  <si>
    <t>Tilman Fertitta</t>
  </si>
  <si>
    <t>Houston Rockets, entertainment</t>
  </si>
  <si>
    <t>Landry's Inc</t>
  </si>
  <si>
    <t>Marie-HÃ©lÃ¨ne Habert-Dassault</t>
  </si>
  <si>
    <t>Karel Komarek</t>
  </si>
  <si>
    <t>Verbier</t>
  </si>
  <si>
    <t>Oil and gas, IT, lotteries</t>
  </si>
  <si>
    <t>Nathan Blecharczyk</t>
  </si>
  <si>
    <t>Leonid Fedun</t>
  </si>
  <si>
    <t>Bernard Marcus</t>
  </si>
  <si>
    <t>Home Depot</t>
  </si>
  <si>
    <t>Co-founder, ex chairman of the board</t>
  </si>
  <si>
    <t>Patrick Ryan</t>
  </si>
  <si>
    <t>Winnetka</t>
  </si>
  <si>
    <t>Insurance</t>
  </si>
  <si>
    <t>Ryan Specialty Group</t>
  </si>
  <si>
    <t>Robert F. Smith</t>
  </si>
  <si>
    <t>Pavel Tykac</t>
  </si>
  <si>
    <t>Coal mines</t>
  </si>
  <si>
    <t>Eric Wittouck</t>
  </si>
  <si>
    <t>Orlando Bravo</t>
  </si>
  <si>
    <t>Miami Beach</t>
  </si>
  <si>
    <t>Ding Shizhong</t>
  </si>
  <si>
    <t>Quanzhou</t>
  </si>
  <si>
    <t>Sports apparel</t>
  </si>
  <si>
    <t>Nancy Walton Laurie</t>
  </si>
  <si>
    <t>Henderson</t>
  </si>
  <si>
    <t>Jay Y. Lee</t>
  </si>
  <si>
    <t>Samsung</t>
  </si>
  <si>
    <t>Ramzi Musallam</t>
  </si>
  <si>
    <t>David Shaw</t>
  </si>
  <si>
    <t>D. E. Shaw &amp; Co., L.P.</t>
  </si>
  <si>
    <t>Andrei Skoch &amp; family</t>
  </si>
  <si>
    <t>Metals and mining</t>
  </si>
  <si>
    <t>Georg Stumpf</t>
  </si>
  <si>
    <t>Vienna</t>
  </si>
  <si>
    <t>Real estate, construction</t>
  </si>
  <si>
    <t>Rocco Commisso</t>
  </si>
  <si>
    <t>Saddle River</t>
  </si>
  <si>
    <t>Li Shuirong &amp; family</t>
  </si>
  <si>
    <t>Petrochemicals</t>
  </si>
  <si>
    <t>Lin Shu-hong</t>
  </si>
  <si>
    <t>Taiwan</t>
  </si>
  <si>
    <t>Taipei</t>
  </si>
  <si>
    <t>Qi Shi &amp; family</t>
  </si>
  <si>
    <t>Financial information</t>
  </si>
  <si>
    <t>Yao Liangsong</t>
  </si>
  <si>
    <t>Furniture</t>
  </si>
  <si>
    <t>Zhang Congyuan</t>
  </si>
  <si>
    <t>Taoyuan</t>
  </si>
  <si>
    <t>Shoes</t>
  </si>
  <si>
    <t>Jean-Michel Besnier</t>
  </si>
  <si>
    <t>Marie Besnier Beauvalot</t>
  </si>
  <si>
    <t>David Geffen</t>
  </si>
  <si>
    <t>Movies, record labels</t>
  </si>
  <si>
    <t>DreamWorks Animation SKG Inc. (Cl A)</t>
  </si>
  <si>
    <t>Robin Li</t>
  </si>
  <si>
    <t>Internet search</t>
  </si>
  <si>
    <t>Baidu</t>
  </si>
  <si>
    <t>Liu Yonghao &amp; family</t>
  </si>
  <si>
    <t>Henry Samueli</t>
  </si>
  <si>
    <t>Broadcom</t>
  </si>
  <si>
    <t>Cofounder, Chief Technology Officer and Chairman</t>
  </si>
  <si>
    <t>Reinhold Schmieding</t>
  </si>
  <si>
    <t>Ivar Tollefsen</t>
  </si>
  <si>
    <t>Norway</t>
  </si>
  <si>
    <t>Oslo</t>
  </si>
  <si>
    <t xml:space="preserve">$403,336,363,636 </t>
  </si>
  <si>
    <t>Cao Renxian</t>
  </si>
  <si>
    <t>Hefei</t>
  </si>
  <si>
    <t>Photovoltaic equipment</t>
  </si>
  <si>
    <t>Hasmukh Chudgar &amp; family</t>
  </si>
  <si>
    <t>Andrew Currie</t>
  </si>
  <si>
    <t>Joe Gebbia</t>
  </si>
  <si>
    <t>Cofounder &amp; Chair of Airbnb.org</t>
  </si>
  <si>
    <t>Philip Ng</t>
  </si>
  <si>
    <t>John Reece</t>
  </si>
  <si>
    <t>Leonard Stern</t>
  </si>
  <si>
    <t>Hartz Mountain Industries, Inc.</t>
  </si>
  <si>
    <t>Joseph Tsai</t>
  </si>
  <si>
    <t>Zhong Huijuan</t>
  </si>
  <si>
    <t>Arthur Blank</t>
  </si>
  <si>
    <t>Atlanta Falcons</t>
  </si>
  <si>
    <t>Charles Butt</t>
  </si>
  <si>
    <t>San Antonio</t>
  </si>
  <si>
    <t>R</t>
  </si>
  <si>
    <t>Ding Shijia</t>
  </si>
  <si>
    <t>Paul Tudor Jones, II.</t>
  </si>
  <si>
    <t>Tudor Investment Corporation</t>
  </si>
  <si>
    <t>Henry Kravis</t>
  </si>
  <si>
    <t>KKR &amp; Co.</t>
  </si>
  <si>
    <t>Co-Chair and Co-CEO</t>
  </si>
  <si>
    <t>Zhang Yong</t>
  </si>
  <si>
    <t>Restaurants</t>
  </si>
  <si>
    <t>James Goodnight</t>
  </si>
  <si>
    <t>Cary</t>
  </si>
  <si>
    <t>SAS Institute</t>
  </si>
  <si>
    <t>Sri Prakash Lohia</t>
  </si>
  <si>
    <t>Ma Jianrong</t>
  </si>
  <si>
    <t>Textiles, apparel</t>
  </si>
  <si>
    <t>Robert Ng</t>
  </si>
  <si>
    <t>Steven Rales</t>
  </si>
  <si>
    <t>Santa Barbara</t>
  </si>
  <si>
    <t>Manufacturing, investments</t>
  </si>
  <si>
    <t>Danaher</t>
  </si>
  <si>
    <t>Nassef Sawiris</t>
  </si>
  <si>
    <t>Egypt</t>
  </si>
  <si>
    <t>Cairo</t>
  </si>
  <si>
    <t>Construction, investments</t>
  </si>
  <si>
    <t xml:space="preserve">$303,175,127,598 </t>
  </si>
  <si>
    <t>Harry Stine</t>
  </si>
  <si>
    <t>Adel</t>
  </si>
  <si>
    <t>Agriculture</t>
  </si>
  <si>
    <t>Benu Gopal Bangur</t>
  </si>
  <si>
    <t>Kolkata</t>
  </si>
  <si>
    <t>Cement</t>
  </si>
  <si>
    <t>Iskander Makhmudov</t>
  </si>
  <si>
    <t>Mining, metals, machinery</t>
  </si>
  <si>
    <t>Anders Holch Povlsen</t>
  </si>
  <si>
    <t>Denmark</t>
  </si>
  <si>
    <t>Aarhus</t>
  </si>
  <si>
    <t xml:space="preserve">$348,078,018,464 </t>
  </si>
  <si>
    <t>Enrique Razon Jr.</t>
  </si>
  <si>
    <t>Ports</t>
  </si>
  <si>
    <t>Wang Laichun</t>
  </si>
  <si>
    <t>Electronics components</t>
  </si>
  <si>
    <t>Arthur Dantchik</t>
  </si>
  <si>
    <t>Gladwyne</t>
  </si>
  <si>
    <t>Terry Gou</t>
  </si>
  <si>
    <t>Electronics</t>
  </si>
  <si>
    <t>Hon Hai Precision Industries</t>
  </si>
  <si>
    <t>Jeff Greene</t>
  </si>
  <si>
    <t>Real estate, investments</t>
  </si>
  <si>
    <t>Don Hankey</t>
  </si>
  <si>
    <t>Malibu</t>
  </si>
  <si>
    <t>Auto loans</t>
  </si>
  <si>
    <t>Hankey Group</t>
  </si>
  <si>
    <t>Richard Kinder</t>
  </si>
  <si>
    <t>Pipelines</t>
  </si>
  <si>
    <t>Kinder Morgan Inc</t>
  </si>
  <si>
    <t>Guillaume Pousaz</t>
  </si>
  <si>
    <t>Fintech</t>
  </si>
  <si>
    <t>Takahisa Takahara</t>
  </si>
  <si>
    <t>Personal care goods</t>
  </si>
  <si>
    <t>Zong Qinghou</t>
  </si>
  <si>
    <t>Beverages</t>
  </si>
  <si>
    <t>Hangzhou Wahaha Group</t>
  </si>
  <si>
    <t>Judy Faulkner</t>
  </si>
  <si>
    <t>Madison</t>
  </si>
  <si>
    <t>Healthcare software</t>
  </si>
  <si>
    <t>Epic Systems</t>
  </si>
  <si>
    <t>Johann Graf</t>
  </si>
  <si>
    <t>Gambling</t>
  </si>
  <si>
    <t>Tamara Gustavson</t>
  </si>
  <si>
    <t>Lexington</t>
  </si>
  <si>
    <t>Self storage</t>
  </si>
  <si>
    <t>Liang Wengen</t>
  </si>
  <si>
    <t>Construction equipment</t>
  </si>
  <si>
    <t>Frederik Paulsen</t>
  </si>
  <si>
    <t>Lausanne</t>
  </si>
  <si>
    <t>Health care</t>
  </si>
  <si>
    <t>Wee Cho Yaw</t>
  </si>
  <si>
    <t>Zhang Hejun</t>
  </si>
  <si>
    <t>Marc Benioff</t>
  </si>
  <si>
    <t>Salesforce.com</t>
  </si>
  <si>
    <t>Dmitri Bukhman</t>
  </si>
  <si>
    <t>Igor Bukhman</t>
  </si>
  <si>
    <t>Jack Dangermond</t>
  </si>
  <si>
    <t>Redlands</t>
  </si>
  <si>
    <t>Mapping software</t>
  </si>
  <si>
    <t>Ashwin Dani &amp; family</t>
  </si>
  <si>
    <t>Ralph Lauren</t>
  </si>
  <si>
    <t>Apparel</t>
  </si>
  <si>
    <t xml:space="preserve">Chairman </t>
  </si>
  <si>
    <t>Law Kar Po</t>
  </si>
  <si>
    <t>Rohiqa Cyrus Mistry</t>
  </si>
  <si>
    <t>Shapoor Mistry</t>
  </si>
  <si>
    <t>Ireland</t>
  </si>
  <si>
    <t>J. Christopher Reyes</t>
  </si>
  <si>
    <t>Hobe Sound</t>
  </si>
  <si>
    <t>Food distribution</t>
  </si>
  <si>
    <t>Reyes Holdings, LLC</t>
  </si>
  <si>
    <t>Co-Chairman</t>
  </si>
  <si>
    <t>Jude Reyes</t>
  </si>
  <si>
    <t>Don Vultaggio &amp; family</t>
  </si>
  <si>
    <t>Port Washington</t>
  </si>
  <si>
    <t>Alejandro Bailleres Gual &amp; family</t>
  </si>
  <si>
    <t>Edythe Broad &amp; family</t>
  </si>
  <si>
    <t>Homebuilding, insurance</t>
  </si>
  <si>
    <t>Pauline MacMillan Keinath</t>
  </si>
  <si>
    <t>St. Louis</t>
  </si>
  <si>
    <t>Cargill</t>
  </si>
  <si>
    <t>Philippe Laffont</t>
  </si>
  <si>
    <t>Hedge fund</t>
  </si>
  <si>
    <t>Coatue Management</t>
  </si>
  <si>
    <t>Liu Jincheng &amp; family</t>
  </si>
  <si>
    <t>Huizhou</t>
  </si>
  <si>
    <t>Lithium batteries</t>
  </si>
  <si>
    <t>Igor Olenicoff</t>
  </si>
  <si>
    <t>Lighthouse Point</t>
  </si>
  <si>
    <t>Sandra Ortega Mera</t>
  </si>
  <si>
    <t>Ronda Stryker</t>
  </si>
  <si>
    <t>Portage</t>
  </si>
  <si>
    <t>Medical equipment</t>
  </si>
  <si>
    <t>Dannine Avara</t>
  </si>
  <si>
    <t>Silvio Berlusconi &amp; family</t>
  </si>
  <si>
    <t>Denise Coates</t>
  </si>
  <si>
    <t>Stoke-on-Trent</t>
  </si>
  <si>
    <t>Online gambling</t>
  </si>
  <si>
    <t>Scott Duncan</t>
  </si>
  <si>
    <t>Milane Frantz</t>
  </si>
  <si>
    <t>Edward Johnson, IV.</t>
  </si>
  <si>
    <t>Boston</t>
  </si>
  <si>
    <t>Yuri Milner</t>
  </si>
  <si>
    <t>Tech investments</t>
  </si>
  <si>
    <t>DST Global</t>
  </si>
  <si>
    <t>Gordon Moore</t>
  </si>
  <si>
    <t>Intel</t>
  </si>
  <si>
    <t>Intel Corp.</t>
  </si>
  <si>
    <t>Cofounder and Chairman Emeritus</t>
  </si>
  <si>
    <t>John Overdeck</t>
  </si>
  <si>
    <t>Millburn</t>
  </si>
  <si>
    <t>Two Sigma</t>
  </si>
  <si>
    <t>David Siegel</t>
  </si>
  <si>
    <t>Scarsdale</t>
  </si>
  <si>
    <t>Viktor Vekselberg</t>
  </si>
  <si>
    <t>Metals, investments</t>
  </si>
  <si>
    <t>Wang Laisheng</t>
  </si>
  <si>
    <t>Randa Duncan Williams</t>
  </si>
  <si>
    <t>Enterprise GP Holdings</t>
  </si>
  <si>
    <t>Non-Executive Chairman of the Board</t>
  </si>
  <si>
    <t>Ken Fisher</t>
  </si>
  <si>
    <t>Money management</t>
  </si>
  <si>
    <t>Christopher Hohn</t>
  </si>
  <si>
    <t>The Children's Investment Fund Management</t>
  </si>
  <si>
    <t>Kjeld Kirk Kristiansen</t>
  </si>
  <si>
    <t>Billund</t>
  </si>
  <si>
    <t>Lego</t>
  </si>
  <si>
    <t>Sofie Kirk Kristiansen</t>
  </si>
  <si>
    <t>Thomas Kirk Kristiansen</t>
  </si>
  <si>
    <t>Massimiliana Landini Aleotti &amp; family</t>
  </si>
  <si>
    <t>Fiesole</t>
  </si>
  <si>
    <t>Li Ping</t>
  </si>
  <si>
    <t>Lin Jianhua</t>
  </si>
  <si>
    <t>Solar panel components</t>
  </si>
  <si>
    <t>Magdalena Martullo-Blocher</t>
  </si>
  <si>
    <t>Feldmeilen</t>
  </si>
  <si>
    <t>Xavier Niel</t>
  </si>
  <si>
    <t>Terrence Pegula</t>
  </si>
  <si>
    <t>Boca Raton</t>
  </si>
  <si>
    <t>Natural gas</t>
  </si>
  <si>
    <t>Buffalo Sabres</t>
  </si>
  <si>
    <t>Edward Roski, Jr.</t>
  </si>
  <si>
    <t>Majestic Realty, Co.</t>
  </si>
  <si>
    <t>President and Chairman</t>
  </si>
  <si>
    <t>John A. Sobrato &amp; family</t>
  </si>
  <si>
    <t>Sobrato Development Cos.</t>
  </si>
  <si>
    <t>George Soros</t>
  </si>
  <si>
    <t>Katonah</t>
  </si>
  <si>
    <t>Soros Fund Management LLC</t>
  </si>
  <si>
    <t>David Sun</t>
  </si>
  <si>
    <t>Irvine</t>
  </si>
  <si>
    <t>Computer hardware</t>
  </si>
  <si>
    <t>Kingston Technology Corporation</t>
  </si>
  <si>
    <t>COO</t>
  </si>
  <si>
    <t>Agnete Kirk Thinggaard</t>
  </si>
  <si>
    <t>John Tu</t>
  </si>
  <si>
    <t>Rolling Hills</t>
  </si>
  <si>
    <t>President</t>
  </si>
  <si>
    <t>Xu Shihui</t>
  </si>
  <si>
    <t>Snacks, beverages</t>
  </si>
  <si>
    <t>Rahel Blocher</t>
  </si>
  <si>
    <t>Wilen bei Wollerau</t>
  </si>
  <si>
    <t>Bubba Cathy</t>
  </si>
  <si>
    <t>Chick-fil-A</t>
  </si>
  <si>
    <t>Dan Cathy</t>
  </si>
  <si>
    <t>Trudy Cathy White</t>
  </si>
  <si>
    <t>Hampton</t>
  </si>
  <si>
    <t>Bruce Kovner</t>
  </si>
  <si>
    <t>Caxton Associates LP</t>
  </si>
  <si>
    <t>Henry Nicholas, III.</t>
  </si>
  <si>
    <t>Newport Coast</t>
  </si>
  <si>
    <t>Nadia Thiele</t>
  </si>
  <si>
    <t>Munich</t>
  </si>
  <si>
    <t>David Bonderman</t>
  </si>
  <si>
    <t>Melinda French Gates</t>
  </si>
  <si>
    <t>Nathan Kirsh</t>
  </si>
  <si>
    <t>Eswatini (Swaziland)</t>
  </si>
  <si>
    <t>Ezulwini</t>
  </si>
  <si>
    <t>Annette Lerner &amp; family</t>
  </si>
  <si>
    <t>Chevy Chase</t>
  </si>
  <si>
    <t>David Reuben</t>
  </si>
  <si>
    <t>Investments, real estate</t>
  </si>
  <si>
    <t>Simon Reuben</t>
  </si>
  <si>
    <t>Radovan Vitek</t>
  </si>
  <si>
    <t>Crans Montana</t>
  </si>
  <si>
    <t>Carl Bennet</t>
  </si>
  <si>
    <t>Gothenberg</t>
  </si>
  <si>
    <t>Stephen Bisciotti</t>
  </si>
  <si>
    <t>Staffing, Baltimore Ravens</t>
  </si>
  <si>
    <t>Baltimore Ravens</t>
  </si>
  <si>
    <t>Stanley Druckenmiller</t>
  </si>
  <si>
    <t>Duquesne Family Office</t>
  </si>
  <si>
    <t>Jian Jun</t>
  </si>
  <si>
    <t>Biomedical products</t>
  </si>
  <si>
    <t>Alexei Kuzmichev</t>
  </si>
  <si>
    <t>Dmitry Rybolovlev &amp; family</t>
  </si>
  <si>
    <t>Fertilizer</t>
  </si>
  <si>
    <t>Luis Carlos Sarmiento</t>
  </si>
  <si>
    <t>Colombia</t>
  </si>
  <si>
    <t>Bogota</t>
  </si>
  <si>
    <t xml:space="preserve">$323,802,808,108 </t>
  </si>
  <si>
    <t>Dennis Washington</t>
  </si>
  <si>
    <t>Missoula</t>
  </si>
  <si>
    <t>Construction, mining</t>
  </si>
  <si>
    <t>Anthony Bamford &amp; family</t>
  </si>
  <si>
    <t>Gao Jifan &amp; family</t>
  </si>
  <si>
    <t>Solar equipment</t>
  </si>
  <si>
    <t>John Grayken</t>
  </si>
  <si>
    <t>Alain Merieux &amp; family</t>
  </si>
  <si>
    <t>Lyon</t>
  </si>
  <si>
    <t>Wang Yusuo &amp; family</t>
  </si>
  <si>
    <t>Langfang</t>
  </si>
  <si>
    <t>Natural gas distribution</t>
  </si>
  <si>
    <t>Stef Wertheimer &amp; family</t>
  </si>
  <si>
    <t>Tel Aviv</t>
  </si>
  <si>
    <t>Metalworking tools</t>
  </si>
  <si>
    <t>Maria Asuncion Aramburuzabala &amp; family</t>
  </si>
  <si>
    <t>Beer, investments</t>
  </si>
  <si>
    <t>Gustaf Douglas</t>
  </si>
  <si>
    <t>Frits Goldschmeding</t>
  </si>
  <si>
    <t>Amsterdam</t>
  </si>
  <si>
    <t>Temp agency</t>
  </si>
  <si>
    <t xml:space="preserve">$909,070,395,161 </t>
  </si>
  <si>
    <t>Lin Muqin &amp; family</t>
  </si>
  <si>
    <t>Ruan Liping</t>
  </si>
  <si>
    <t>Power strips</t>
  </si>
  <si>
    <t>Ruan Xueping</t>
  </si>
  <si>
    <t>Power strip</t>
  </si>
  <si>
    <t>Michal Solowow</t>
  </si>
  <si>
    <t>Poland</t>
  </si>
  <si>
    <t>Kielce</t>
  </si>
  <si>
    <t xml:space="preserve">$592,164,400,688 </t>
  </si>
  <si>
    <t>Mike Adenuga</t>
  </si>
  <si>
    <t>Telecom, oil</t>
  </si>
  <si>
    <t>Tom Gores</t>
  </si>
  <si>
    <t>Michael Herz</t>
  </si>
  <si>
    <t>Coffee</t>
  </si>
  <si>
    <t>Wolfgang Herz</t>
  </si>
  <si>
    <t>Michael Kadoorie</t>
  </si>
  <si>
    <t>Hotels, energy</t>
  </si>
  <si>
    <t>Sunil Mittal</t>
  </si>
  <si>
    <t>Zhou Qunfei</t>
  </si>
  <si>
    <t>Smartphone screens</t>
  </si>
  <si>
    <t>Lens Technology</t>
  </si>
  <si>
    <t>Alexander Abramov</t>
  </si>
  <si>
    <t>Steel, mining</t>
  </si>
  <si>
    <t>Rene Benko</t>
  </si>
  <si>
    <t>Real estate, retail</t>
  </si>
  <si>
    <t>Neil Bluhm</t>
  </si>
  <si>
    <t>Alain Bouchard</t>
  </si>
  <si>
    <t>Montreal</t>
  </si>
  <si>
    <t>Convinience stores</t>
  </si>
  <si>
    <t>Alimentation Couche Tard Inc. Cl A</t>
  </si>
  <si>
    <t>Jay Chaudhry</t>
  </si>
  <si>
    <t>Reno</t>
  </si>
  <si>
    <t>Security software</t>
  </si>
  <si>
    <t>Gopikishan Damani</t>
  </si>
  <si>
    <t>Sumet Jiaravanon</t>
  </si>
  <si>
    <t>Joe Lewis</t>
  </si>
  <si>
    <t>Bahamas</t>
  </si>
  <si>
    <t>Albany</t>
  </si>
  <si>
    <t>Frank Lowy</t>
  </si>
  <si>
    <t>Michael Milken</t>
  </si>
  <si>
    <t>David Steward</t>
  </si>
  <si>
    <t>IT provider</t>
  </si>
  <si>
    <t>Les Wexner &amp; family</t>
  </si>
  <si>
    <t>New Albany</t>
  </si>
  <si>
    <t>Cai Kui</t>
  </si>
  <si>
    <t>Jaran Chiaravanont</t>
  </si>
  <si>
    <t>Andreas Halvorsen</t>
  </si>
  <si>
    <t>Darien</t>
  </si>
  <si>
    <t>Viking Global Investors</t>
  </si>
  <si>
    <t>Antony Ressler</t>
  </si>
  <si>
    <t>Finance</t>
  </si>
  <si>
    <t>Tsai Eng-meng</t>
  </si>
  <si>
    <t>Food, beverages</t>
  </si>
  <si>
    <t>Josh Harris</t>
  </si>
  <si>
    <t>Niels Peter Louis-Hansen</t>
  </si>
  <si>
    <t>Humlebaek</t>
  </si>
  <si>
    <t>Patrick Soon-Shiong</t>
  </si>
  <si>
    <t>Rinat Akhmetov</t>
  </si>
  <si>
    <t>Ukraine</t>
  </si>
  <si>
    <t>Donetsk</t>
  </si>
  <si>
    <t>Steel, coal</t>
  </si>
  <si>
    <t xml:space="preserve">$153,781,069,118 </t>
  </si>
  <si>
    <t>John Brown</t>
  </si>
  <si>
    <t>Clive Calder</t>
  </si>
  <si>
    <t>Cayman Islands</t>
  </si>
  <si>
    <t>Grand Cayman</t>
  </si>
  <si>
    <t>Record label</t>
  </si>
  <si>
    <t>Arthur Irving</t>
  </si>
  <si>
    <t>Saint John</t>
  </si>
  <si>
    <t>Fredrik Lundberg</t>
  </si>
  <si>
    <t>Thomas Schmidheiny</t>
  </si>
  <si>
    <t>Jona</t>
  </si>
  <si>
    <t>Helmut Sohmen</t>
  </si>
  <si>
    <t>Daniel Ziff</t>
  </si>
  <si>
    <t>Dirk Ziff</t>
  </si>
  <si>
    <t>North Palm Beach</t>
  </si>
  <si>
    <t>Robert Ziff</t>
  </si>
  <si>
    <t>Maria Angelicoussis</t>
  </si>
  <si>
    <t>Greece</t>
  </si>
  <si>
    <t xml:space="preserve">$209,852,761,469 </t>
  </si>
  <si>
    <t>Ray Lee Hunt</t>
  </si>
  <si>
    <t>Oil, real estate</t>
  </si>
  <si>
    <t>Lai Meisong</t>
  </si>
  <si>
    <t>Vikram Lal &amp; family</t>
  </si>
  <si>
    <t>Motorcycles</t>
  </si>
  <si>
    <t>Ken Langone</t>
  </si>
  <si>
    <t>Sands Point</t>
  </si>
  <si>
    <t>Li Ge</t>
  </si>
  <si>
    <t>Pharmaceutical ingredients</t>
  </si>
  <si>
    <t>Karen Pritzker</t>
  </si>
  <si>
    <t>Branford</t>
  </si>
  <si>
    <t>Hotels, investments</t>
  </si>
  <si>
    <t>Robert Rowling</t>
  </si>
  <si>
    <t>Teddy Sagi</t>
  </si>
  <si>
    <t>Gambling software</t>
  </si>
  <si>
    <t>Seo Jung-jin</t>
  </si>
  <si>
    <t>Biotech</t>
  </si>
  <si>
    <t>Celltrion Inc.</t>
  </si>
  <si>
    <t>Wu Jianshu</t>
  </si>
  <si>
    <t>Micky Arison</t>
  </si>
  <si>
    <t>Bal Harbour</t>
  </si>
  <si>
    <t>Carnival Cruises</t>
  </si>
  <si>
    <t>Carnival Corp.</t>
  </si>
  <si>
    <t>James Chambers</t>
  </si>
  <si>
    <t>Palisades</t>
  </si>
  <si>
    <t>Pierre Chen</t>
  </si>
  <si>
    <t>John Collison</t>
  </si>
  <si>
    <t>Payments software</t>
  </si>
  <si>
    <t>Stripe</t>
  </si>
  <si>
    <t>Patrick Collison</t>
  </si>
  <si>
    <t>Payment software</t>
  </si>
  <si>
    <t>Archie Aldis Emmerson &amp; family</t>
  </si>
  <si>
    <t>Redding</t>
  </si>
  <si>
    <t>Timberland, lumber mills</t>
  </si>
  <si>
    <t>Piero Ferrari</t>
  </si>
  <si>
    <t>Modena</t>
  </si>
  <si>
    <t>Dan Friedkin</t>
  </si>
  <si>
    <t>Toyota dealerships</t>
  </si>
  <si>
    <t>Gulf States Toyota</t>
  </si>
  <si>
    <t>owner and ceo</t>
  </si>
  <si>
    <t>James Irving</t>
  </si>
  <si>
    <t>Jiang Weiping &amp; family</t>
  </si>
  <si>
    <t>Wolfgang Marguerre &amp; family</t>
  </si>
  <si>
    <t>Ludwig Merckle</t>
  </si>
  <si>
    <t>Ulm</t>
  </si>
  <si>
    <t>Mitchell Rales</t>
  </si>
  <si>
    <t>Potomac</t>
  </si>
  <si>
    <t>Katharine Rayner</t>
  </si>
  <si>
    <t>East Hampton</t>
  </si>
  <si>
    <t>Jean Salata</t>
  </si>
  <si>
    <t>Paul Singer</t>
  </si>
  <si>
    <t>Elliott Management</t>
  </si>
  <si>
    <t>Sergio Stevanato &amp; family</t>
  </si>
  <si>
    <t>Venice</t>
  </si>
  <si>
    <t>Medical packaging</t>
  </si>
  <si>
    <t>Margaretta Taylor</t>
  </si>
  <si>
    <t>Southampton</t>
  </si>
  <si>
    <t>Richard White</t>
  </si>
  <si>
    <t>Zhao Yan</t>
  </si>
  <si>
    <t>Patrizio Bertelli</t>
  </si>
  <si>
    <t>Mahendra Choksi &amp; family</t>
  </si>
  <si>
    <t>Mat Ishbia</t>
  </si>
  <si>
    <t>Bloomfield Hills</t>
  </si>
  <si>
    <t>Mortgage lender</t>
  </si>
  <si>
    <t>Leo Koguan</t>
  </si>
  <si>
    <t>Miao Hangen</t>
  </si>
  <si>
    <t>Suzhou</t>
  </si>
  <si>
    <t>Textiles, petrochemicals</t>
  </si>
  <si>
    <t>Michael Pieper</t>
  </si>
  <si>
    <t>Lucerne</t>
  </si>
  <si>
    <t>Kitchen appliances</t>
  </si>
  <si>
    <t>Artemis Real Estate Partners</t>
  </si>
  <si>
    <t>CEO of Artemis Group</t>
  </si>
  <si>
    <t>Miuccia Prada</t>
  </si>
  <si>
    <t>Prada</t>
  </si>
  <si>
    <t>CEO, Fashion Designer</t>
  </si>
  <si>
    <t>Wolfgang Reimann</t>
  </si>
  <si>
    <t>Passau</t>
  </si>
  <si>
    <t>Consumer goods</t>
  </si>
  <si>
    <t>Matthias Reimann-Andersen</t>
  </si>
  <si>
    <t>Stefan Reimann-Andersen</t>
  </si>
  <si>
    <t>Renate Reimann-Haas</t>
  </si>
  <si>
    <t>Todd Boehly</t>
  </si>
  <si>
    <t>Rick Caruso</t>
  </si>
  <si>
    <t>Ibrahim Erdemoglu</t>
  </si>
  <si>
    <t>Turkey</t>
  </si>
  <si>
    <t>Istanbul</t>
  </si>
  <si>
    <t>Carpet</t>
  </si>
  <si>
    <t xml:space="preserve">$754,411,708,203 </t>
  </si>
  <si>
    <t>Elizabeth Johnson</t>
  </si>
  <si>
    <t>Douglas Leone</t>
  </si>
  <si>
    <t>Sequoia</t>
  </si>
  <si>
    <t>Global Managing Partner</t>
  </si>
  <si>
    <t>Prajogo Pangestu</t>
  </si>
  <si>
    <t>Thomas Pritzker</t>
  </si>
  <si>
    <t>Hyatt Hotels</t>
  </si>
  <si>
    <t>Lynda Resnick</t>
  </si>
  <si>
    <t>Stewart Resnick</t>
  </si>
  <si>
    <t>Gary Rollins</t>
  </si>
  <si>
    <t>Pest control</t>
  </si>
  <si>
    <t>Mark Walter</t>
  </si>
  <si>
    <t>Finance, asset management</t>
  </si>
  <si>
    <t>Guggenheim Partners LLC</t>
  </si>
  <si>
    <t>Ronald Wanek</t>
  </si>
  <si>
    <t>Saint Petersburg</t>
  </si>
  <si>
    <t>Erich Wesjohann &amp; family</t>
  </si>
  <si>
    <t>Visbek</t>
  </si>
  <si>
    <t>Poultry genetics</t>
  </si>
  <si>
    <t>M.A. Yusuff Ali</t>
  </si>
  <si>
    <t>Abu Dhabi</t>
  </si>
  <si>
    <t>Alexandre Behring</t>
  </si>
  <si>
    <t>Cheng Xue</t>
  </si>
  <si>
    <t>Robert Faith</t>
  </si>
  <si>
    <t>Charleston</t>
  </si>
  <si>
    <t>Real estate management</t>
  </si>
  <si>
    <t>Gao Dekang &amp; family</t>
  </si>
  <si>
    <t>Changshu</t>
  </si>
  <si>
    <t>Micky Jagtiani</t>
  </si>
  <si>
    <t>Ananda Krishnan</t>
  </si>
  <si>
    <t>Telecoms, media, oil-services</t>
  </si>
  <si>
    <t>Barry Lam</t>
  </si>
  <si>
    <t>Robert Rich, Jr.</t>
  </si>
  <si>
    <t>Islamorada</t>
  </si>
  <si>
    <t>Frozen foods</t>
  </si>
  <si>
    <t>Mark Scheinberg</t>
  </si>
  <si>
    <t>Isle of Man</t>
  </si>
  <si>
    <t>Charles Simonyi</t>
  </si>
  <si>
    <t>Ty Warner</t>
  </si>
  <si>
    <t>Oak Brook</t>
  </si>
  <si>
    <t>Plush toys, real estate</t>
  </si>
  <si>
    <t>Sam Zell</t>
  </si>
  <si>
    <t>Real estate, private equity</t>
  </si>
  <si>
    <t>Fang Wei</t>
  </si>
  <si>
    <t>Rekha Jhunjhunwala</t>
  </si>
  <si>
    <t>Charles B. Johnson</t>
  </si>
  <si>
    <t>Franklin Templeton</t>
  </si>
  <si>
    <t>Franklin Resources Inc.</t>
  </si>
  <si>
    <t>Former Chairman and CEO</t>
  </si>
  <si>
    <t>Kwon Hyuk-bin</t>
  </si>
  <si>
    <t>Smilegate Holdings</t>
  </si>
  <si>
    <t>Sami Mnaymneh</t>
  </si>
  <si>
    <t>Kjell Inge Rokke</t>
  </si>
  <si>
    <t>Vettre</t>
  </si>
  <si>
    <t>Shipping, seafood</t>
  </si>
  <si>
    <t>Tony Tamer</t>
  </si>
  <si>
    <t>Tse Ping &amp; family</t>
  </si>
  <si>
    <t>Romesh T. Wadhwani</t>
  </si>
  <si>
    <t>Symphony Technology Group</t>
  </si>
  <si>
    <t>Hansjoerg Wyss</t>
  </si>
  <si>
    <t>Wilson</t>
  </si>
  <si>
    <t>Denise York &amp; family</t>
  </si>
  <si>
    <t>Youngstown</t>
  </si>
  <si>
    <t>San Francisco 49ers</t>
  </si>
  <si>
    <t>Ron Baron</t>
  </si>
  <si>
    <t>Robert Bass</t>
  </si>
  <si>
    <t>Oil, investments</t>
  </si>
  <si>
    <t>Dona Bertarelli</t>
  </si>
  <si>
    <t>Biotech and investments</t>
  </si>
  <si>
    <t>Alexander Gerko</t>
  </si>
  <si>
    <t>Trading</t>
  </si>
  <si>
    <t>Martin Haefner</t>
  </si>
  <si>
    <t>Software, investments</t>
  </si>
  <si>
    <t>Robert Hale, Jr.</t>
  </si>
  <si>
    <t>Viktor Kharitonin</t>
  </si>
  <si>
    <t>Kim Beom-su</t>
  </si>
  <si>
    <t>Online services</t>
  </si>
  <si>
    <t>Jane Lauder</t>
  </si>
  <si>
    <t>EstÃ©e Lauder</t>
  </si>
  <si>
    <t>Michel Leclercq &amp; family</t>
  </si>
  <si>
    <t>Lille</t>
  </si>
  <si>
    <t>Sporting goods</t>
  </si>
  <si>
    <t>George Lucas</t>
  </si>
  <si>
    <t>San Anselmo</t>
  </si>
  <si>
    <t>Star Wars</t>
  </si>
  <si>
    <t>Janice McNair</t>
  </si>
  <si>
    <t>Energy, sports</t>
  </si>
  <si>
    <t>Ugur Sahin</t>
  </si>
  <si>
    <t>Mainz</t>
  </si>
  <si>
    <t>Biotechnology</t>
  </si>
  <si>
    <t>Alexandra Schoerghuber &amp; family</t>
  </si>
  <si>
    <t>Thomas Straumann</t>
  </si>
  <si>
    <t>Basel</t>
  </si>
  <si>
    <t>Dental implants</t>
  </si>
  <si>
    <t>Murat Ulker</t>
  </si>
  <si>
    <t>Food</t>
  </si>
  <si>
    <t>Chip Wilson</t>
  </si>
  <si>
    <t>Lululemon</t>
  </si>
  <si>
    <t>Zhu Yan &amp; family</t>
  </si>
  <si>
    <t>Jim Davis &amp; family</t>
  </si>
  <si>
    <t>Newton</t>
  </si>
  <si>
    <t>New Balance</t>
  </si>
  <si>
    <t>Murali Divi &amp; family</t>
  </si>
  <si>
    <t>Hyderabad</t>
  </si>
  <si>
    <t>Dagmar Dolby &amp; family</t>
  </si>
  <si>
    <t>Dolby Laboratories</t>
  </si>
  <si>
    <t>Marcos Galperin</t>
  </si>
  <si>
    <t>Argentina</t>
  </si>
  <si>
    <t>Buenos Aires</t>
  </si>
  <si>
    <t xml:space="preserve">$449,663,446,954 </t>
  </si>
  <si>
    <t>Tom Golisano</t>
  </si>
  <si>
    <t>Payroll services</t>
  </si>
  <si>
    <t>Jonathan Gray</t>
  </si>
  <si>
    <t>Bidzina Ivanishvili</t>
  </si>
  <si>
    <t>Tbilisi</t>
  </si>
  <si>
    <t xml:space="preserve">$17,743,195,770 </t>
  </si>
  <si>
    <t>Lim Hariyanto Wijaya Sarwono</t>
  </si>
  <si>
    <t>Palm oil, nickel mining</t>
  </si>
  <si>
    <t>Rudolf Maag</t>
  </si>
  <si>
    <t>Binningen</t>
  </si>
  <si>
    <t>Emanuele (Lino) Saputo &amp; family</t>
  </si>
  <si>
    <t>Saputo</t>
  </si>
  <si>
    <t>Mark Shoen</t>
  </si>
  <si>
    <t>Phoenix</t>
  </si>
  <si>
    <t>U-Haul</t>
  </si>
  <si>
    <t>Dan Snyder</t>
  </si>
  <si>
    <t>Washington Commanders</t>
  </si>
  <si>
    <t>Chairul Tanjung</t>
  </si>
  <si>
    <t>Kelcy Warren</t>
  </si>
  <si>
    <t>Zhang Tao</t>
  </si>
  <si>
    <t>Michael Ashley</t>
  </si>
  <si>
    <t>Hertfordshire</t>
  </si>
  <si>
    <t>Sports retailing</t>
  </si>
  <si>
    <t>Tomasz Biernacki</t>
  </si>
  <si>
    <t>Krotoszyn,</t>
  </si>
  <si>
    <t>Bernard Broermann</t>
  </si>
  <si>
    <t>Koenigstein</t>
  </si>
  <si>
    <t>Jimmy Haslam</t>
  </si>
  <si>
    <t>Knoxville</t>
  </si>
  <si>
    <t>Gas stations, retail</t>
  </si>
  <si>
    <t>Pilot Flying J</t>
  </si>
  <si>
    <t>H. Fisk Johnson</t>
  </si>
  <si>
    <t>Racine</t>
  </si>
  <si>
    <t>Cleaning products</t>
  </si>
  <si>
    <t>S. Curtis Johnson</t>
  </si>
  <si>
    <t>Helen Johnson-Leipold</t>
  </si>
  <si>
    <t>Vinod Khosla</t>
  </si>
  <si>
    <t>Portola Valley</t>
  </si>
  <si>
    <t>Khosla Ventures</t>
  </si>
  <si>
    <t>Thai Lee</t>
  </si>
  <si>
    <t>Winifred J. Marquart</t>
  </si>
  <si>
    <t>Virginia Beach</t>
  </si>
  <si>
    <t>Pankaj Patel</t>
  </si>
  <si>
    <t>Horst Julius Pudwill</t>
  </si>
  <si>
    <t>Yu Yong</t>
  </si>
  <si>
    <t>Maria Fernanda Amorim &amp; family</t>
  </si>
  <si>
    <t>Portugal</t>
  </si>
  <si>
    <t>Grijo</t>
  </si>
  <si>
    <t xml:space="preserve">$237,686,075,635 </t>
  </si>
  <si>
    <t>Gayle Benson</t>
  </si>
  <si>
    <t>New Orleans</t>
  </si>
  <si>
    <t>New Orleans Saints</t>
  </si>
  <si>
    <t>Jason Chang</t>
  </si>
  <si>
    <t>Ali Erdemoglu</t>
  </si>
  <si>
    <t>Andre Esteves</t>
  </si>
  <si>
    <t>Sao paulo</t>
  </si>
  <si>
    <t>Carlo Fidani</t>
  </si>
  <si>
    <t>Orlando Corporation</t>
  </si>
  <si>
    <t>Hong Ra-hee</t>
  </si>
  <si>
    <t>Li Gaiteng</t>
  </si>
  <si>
    <t>Hair dryers</t>
  </si>
  <si>
    <t>Thomas Secunda</t>
  </si>
  <si>
    <t>Croton-on-Hudson</t>
  </si>
  <si>
    <t>Zuowen Song</t>
  </si>
  <si>
    <t>Longkou</t>
  </si>
  <si>
    <t>Aluminum, diversified</t>
  </si>
  <si>
    <t>Tim Sweeney</t>
  </si>
  <si>
    <t>Video games</t>
  </si>
  <si>
    <t>Bert Beveridge</t>
  </si>
  <si>
    <t>Vodka</t>
  </si>
  <si>
    <t>Mark Cuban</t>
  </si>
  <si>
    <t>Online media, Dallas Mavericks</t>
  </si>
  <si>
    <t>Dallas Mavericks</t>
  </si>
  <si>
    <t>Charles Dolan &amp; family</t>
  </si>
  <si>
    <t>Oyster Bay</t>
  </si>
  <si>
    <t>Cablevision Systems Corp.</t>
  </si>
  <si>
    <t>Jack Dorsey</t>
  </si>
  <si>
    <t>Twitter, Square</t>
  </si>
  <si>
    <t>Twitter</t>
  </si>
  <si>
    <t>Fan Hongwei</t>
  </si>
  <si>
    <t>Vladimir Kim</t>
  </si>
  <si>
    <t>Kazakhstan</t>
  </si>
  <si>
    <t>Almaty</t>
  </si>
  <si>
    <t xml:space="preserve">$180,161,741,180 </t>
  </si>
  <si>
    <t>Andre Koo, Sr.</t>
  </si>
  <si>
    <t>Financial services</t>
  </si>
  <si>
    <t>Ronald Lauder</t>
  </si>
  <si>
    <t>Li Chunan</t>
  </si>
  <si>
    <t>Fushun</t>
  </si>
  <si>
    <t>Renewable energy</t>
  </si>
  <si>
    <t>Forrest Li</t>
  </si>
  <si>
    <t>Gaming</t>
  </si>
  <si>
    <t>Richard Li</t>
  </si>
  <si>
    <t>Doug Meijer &amp; family</t>
  </si>
  <si>
    <t>Grand Rapids</t>
  </si>
  <si>
    <t>Hank Meijer &amp; family</t>
  </si>
  <si>
    <t>Mark Meijer &amp; family</t>
  </si>
  <si>
    <t>Issad Rebrab &amp; family</t>
  </si>
  <si>
    <t>Algeria</t>
  </si>
  <si>
    <t>Algiers</t>
  </si>
  <si>
    <t xml:space="preserve">$169,988,236,398 </t>
  </si>
  <si>
    <t>Fred Smith</t>
  </si>
  <si>
    <t>Memphis</t>
  </si>
  <si>
    <t>FedEx</t>
  </si>
  <si>
    <t>FedEx Corp.</t>
  </si>
  <si>
    <t>Barry Sternlicht</t>
  </si>
  <si>
    <t>Maximilian Viessmann</t>
  </si>
  <si>
    <t>Battenberg</t>
  </si>
  <si>
    <t>Heating, cooling equipment</t>
  </si>
  <si>
    <t>Russ Weiner</t>
  </si>
  <si>
    <t>Delray Beach</t>
  </si>
  <si>
    <t>Energy drinks</t>
  </si>
  <si>
    <t>Xue Min</t>
  </si>
  <si>
    <t>Wuhan</t>
  </si>
  <si>
    <t>Juan Domingo Beckmann Legorreta &amp; family</t>
  </si>
  <si>
    <t>Tequila</t>
  </si>
  <si>
    <t>Dietmar Hopp &amp; family</t>
  </si>
  <si>
    <t>Walldorf</t>
  </si>
  <si>
    <t>Jiang Bin</t>
  </si>
  <si>
    <t>Weifang</t>
  </si>
  <si>
    <t>Acoustic components</t>
  </si>
  <si>
    <t>Joseph Liemandt</t>
  </si>
  <si>
    <t>Theo Mueller</t>
  </si>
  <si>
    <t>Dairy</t>
  </si>
  <si>
    <t>N.R. Narayana Murthy</t>
  </si>
  <si>
    <t>Odd Reitan &amp; family</t>
  </si>
  <si>
    <t>Trondheim</t>
  </si>
  <si>
    <t>Marc Rowan</t>
  </si>
  <si>
    <t>Hussain Sajwani</t>
  </si>
  <si>
    <t>David Velez &amp; family</t>
  </si>
  <si>
    <t>Xu Jinfu</t>
  </si>
  <si>
    <t>Samuel Yin</t>
  </si>
  <si>
    <t>You Xiaoping &amp; family</t>
  </si>
  <si>
    <t>Wenzhou</t>
  </si>
  <si>
    <t>Chemicals, spandex</t>
  </si>
  <si>
    <t>StÃ©phane Bancel</t>
  </si>
  <si>
    <t>Biotech, vaccines</t>
  </si>
  <si>
    <t>Margot Birmingham Perot</t>
  </si>
  <si>
    <t>Computer services, real estate</t>
  </si>
  <si>
    <t>Neal Blue &amp; family</t>
  </si>
  <si>
    <t>San Diego</t>
  </si>
  <si>
    <t>Defense</t>
  </si>
  <si>
    <t>Jim Davis</t>
  </si>
  <si>
    <t>Cockeysville</t>
  </si>
  <si>
    <t>Staffing &amp; recruiting</t>
  </si>
  <si>
    <t>Rafael Del Pino</t>
  </si>
  <si>
    <t>Madrid</t>
  </si>
  <si>
    <t>Construction</t>
  </si>
  <si>
    <t>Peter Grogg</t>
  </si>
  <si>
    <t>Liestal</t>
  </si>
  <si>
    <t>Biochemicals</t>
  </si>
  <si>
    <t>Christian Haub</t>
  </si>
  <si>
    <t>Mangal Prabhat Lodha</t>
  </si>
  <si>
    <t>Jeffrey Lurie &amp; family</t>
  </si>
  <si>
    <t>Wynnewood</t>
  </si>
  <si>
    <t>Philadelphia Eagles</t>
  </si>
  <si>
    <t>Joe Mansueto</t>
  </si>
  <si>
    <t>Investment research</t>
  </si>
  <si>
    <t>Morningstar Inc.</t>
  </si>
  <si>
    <t>Entrepreneur, Investor</t>
  </si>
  <si>
    <t>Qian Dongqi &amp; family</t>
  </si>
  <si>
    <t>Home-cleaning robots</t>
  </si>
  <si>
    <t>Mikhail Shelkov</t>
  </si>
  <si>
    <t>Titanium</t>
  </si>
  <si>
    <t>Patrick Drahi</t>
  </si>
  <si>
    <t>Zermatt</t>
  </si>
  <si>
    <t>Behdad Eghbali</t>
  </si>
  <si>
    <t>Juan Carlos Escotet</t>
  </si>
  <si>
    <t>A CoruÃ±a</t>
  </si>
  <si>
    <t>Venezuela</t>
  </si>
  <si>
    <t>Jose E. Feliciano</t>
  </si>
  <si>
    <t>Hu Kaijun</t>
  </si>
  <si>
    <t>Johnelle Hunt</t>
  </si>
  <si>
    <t>Fayetteville</t>
  </si>
  <si>
    <t>Trucking</t>
  </si>
  <si>
    <t>Marian Ilitch</t>
  </si>
  <si>
    <t>Bingham Farms</t>
  </si>
  <si>
    <t>Little Caesars Pizza</t>
  </si>
  <si>
    <t>Daryl Katz</t>
  </si>
  <si>
    <t>Edmonton</t>
  </si>
  <si>
    <t>Pharmacies</t>
  </si>
  <si>
    <t>Katz Group</t>
  </si>
  <si>
    <t>Andrei Kozitsyn</t>
  </si>
  <si>
    <t>Verkhniaya Pyshma</t>
  </si>
  <si>
    <t>Timur Kulibaev</t>
  </si>
  <si>
    <t>Dinara Kulibaeva</t>
  </si>
  <si>
    <t>Ian Livingstone</t>
  </si>
  <si>
    <t>Richard Livingstone</t>
  </si>
  <si>
    <t>Gwendolyn Sontheim Meyer</t>
  </si>
  <si>
    <t>Rancho Santa Fe</t>
  </si>
  <si>
    <t>Jay Paul</t>
  </si>
  <si>
    <t>Pham Nhat Vuong</t>
  </si>
  <si>
    <t>Vietnam</t>
  </si>
  <si>
    <t>Hanoi</t>
  </si>
  <si>
    <t xml:space="preserve">$261,921,244,843 </t>
  </si>
  <si>
    <t>Jon Stryker</t>
  </si>
  <si>
    <t>Daniel Tsai</t>
  </si>
  <si>
    <t>Richard Tsai</t>
  </si>
  <si>
    <t>Frank Wang</t>
  </si>
  <si>
    <t>Drones</t>
  </si>
  <si>
    <t>DJI Technology Co.</t>
  </si>
  <si>
    <t>Wang Junshi &amp; family</t>
  </si>
  <si>
    <t>Solar inverters</t>
  </si>
  <si>
    <t>Wang Wenjing</t>
  </si>
  <si>
    <t>Herbert Wertheim</t>
  </si>
  <si>
    <t>Coral Gables</t>
  </si>
  <si>
    <t>Shari Arison</t>
  </si>
  <si>
    <t>Pyotr Aven</t>
  </si>
  <si>
    <t>Latvia</t>
  </si>
  <si>
    <t xml:space="preserve">$34,117,202,555 </t>
  </si>
  <si>
    <t>Chan Laiwa &amp; family</t>
  </si>
  <si>
    <t>Chen Hua</t>
  </si>
  <si>
    <t>Thomas Hagen</t>
  </si>
  <si>
    <t>Erie</t>
  </si>
  <si>
    <t>Rupert Johnson, Jr.</t>
  </si>
  <si>
    <t>Burlingame</t>
  </si>
  <si>
    <t>Vice Chairman and Director</t>
  </si>
  <si>
    <t>Dewi Kam</t>
  </si>
  <si>
    <t>Min Kao &amp; family</t>
  </si>
  <si>
    <t>Leawood</t>
  </si>
  <si>
    <t>Navigation equipment</t>
  </si>
  <si>
    <t>Marc Ladreit de Lacharriere</t>
  </si>
  <si>
    <t>Eric Lefkofsky</t>
  </si>
  <si>
    <t>Glencoe</t>
  </si>
  <si>
    <t>Groupon, investments</t>
  </si>
  <si>
    <t>Groupon</t>
  </si>
  <si>
    <t>Lin Bin</t>
  </si>
  <si>
    <t>Lin Li</t>
  </si>
  <si>
    <t>Michael Moritz</t>
  </si>
  <si>
    <t>Jean (Gigi) Pritzker</t>
  </si>
  <si>
    <t>E. Joe Shoen</t>
  </si>
  <si>
    <t>Jeff Skoll</t>
  </si>
  <si>
    <t>EBay</t>
  </si>
  <si>
    <t>Lynsi Snyder</t>
  </si>
  <si>
    <t>Glendora</t>
  </si>
  <si>
    <t>In-N-Out Burger</t>
  </si>
  <si>
    <t>Djoko Susanto</t>
  </si>
  <si>
    <t>Tahir &amp; family</t>
  </si>
  <si>
    <t>Peter Thiel</t>
  </si>
  <si>
    <t>Facebook, investments</t>
  </si>
  <si>
    <t>Founders Fund</t>
  </si>
  <si>
    <t>Andrej Babis</t>
  </si>
  <si>
    <t>Danielle Bellon &amp; family</t>
  </si>
  <si>
    <t>Food services</t>
  </si>
  <si>
    <t>Hubert Burda</t>
  </si>
  <si>
    <t>Publishing</t>
  </si>
  <si>
    <t>Nick Caporella</t>
  </si>
  <si>
    <t>Plantation</t>
  </si>
  <si>
    <t>John Catsimatidis</t>
  </si>
  <si>
    <t>Scott Cook</t>
  </si>
  <si>
    <t>Luca Garavoglia</t>
  </si>
  <si>
    <t>Spirits</t>
  </si>
  <si>
    <t>Antti Herlin</t>
  </si>
  <si>
    <t>Finland</t>
  </si>
  <si>
    <t>Kirkkonummi</t>
  </si>
  <si>
    <t>Elevators, escalators</t>
  </si>
  <si>
    <t xml:space="preserve">$268,761,201,365 </t>
  </si>
  <si>
    <t>Hong Jie</t>
  </si>
  <si>
    <t>Putian</t>
  </si>
  <si>
    <t>Paint</t>
  </si>
  <si>
    <t>Jeremy Jacobs, Sr. &amp; family</t>
  </si>
  <si>
    <t>East Aurora</t>
  </si>
  <si>
    <t>Food service</t>
  </si>
  <si>
    <t>Igor Kesaev</t>
  </si>
  <si>
    <t>Tobacco distribution, retail</t>
  </si>
  <si>
    <t>Mary Alice Dorrance Malone</t>
  </si>
  <si>
    <t>Coatesville</t>
  </si>
  <si>
    <t>Campbell Soup</t>
  </si>
  <si>
    <t>Joao Moreira Salles</t>
  </si>
  <si>
    <t>Rio de Janeiro</t>
  </si>
  <si>
    <t>Banking, minerals</t>
  </si>
  <si>
    <t>Walther Moreira Salles Junior</t>
  </si>
  <si>
    <t>Arturo Moreno</t>
  </si>
  <si>
    <t>Billboards, Los Angeles Angels</t>
  </si>
  <si>
    <t>Peter Spuhler</t>
  </si>
  <si>
    <t>Weiningen</t>
  </si>
  <si>
    <t>Train cars</t>
  </si>
  <si>
    <t>Donald Sterling</t>
  </si>
  <si>
    <t>Kerry Stokes</t>
  </si>
  <si>
    <t>Construction equipment, media</t>
  </si>
  <si>
    <t>Ken Xie</t>
  </si>
  <si>
    <t>Los Altos Hills</t>
  </si>
  <si>
    <t>Cybersecurity</t>
  </si>
  <si>
    <t>Liangzhi Xie &amp; family</t>
  </si>
  <si>
    <t>Sid Bass</t>
  </si>
  <si>
    <t>Ben Chestnut</t>
  </si>
  <si>
    <t>Email marketing</t>
  </si>
  <si>
    <t>Elisabeth DeLuca &amp; family</t>
  </si>
  <si>
    <t>Subway</t>
  </si>
  <si>
    <t>Guangchang Guo</t>
  </si>
  <si>
    <t>Conglomerate</t>
  </si>
  <si>
    <t>Vinod Rai Gupta</t>
  </si>
  <si>
    <t>Electrical equipment</t>
  </si>
  <si>
    <t>John Henry</t>
  </si>
  <si>
    <t>Travis Kalanick</t>
  </si>
  <si>
    <t>Uber</t>
  </si>
  <si>
    <t>Uber Technologies Inc.</t>
  </si>
  <si>
    <t>Koon Poh Keong</t>
  </si>
  <si>
    <t>Petaling Jaya</t>
  </si>
  <si>
    <t>Aluminum</t>
  </si>
  <si>
    <t>Dan Kurzius</t>
  </si>
  <si>
    <t>Paul Lee</t>
  </si>
  <si>
    <t>Yuxi</t>
  </si>
  <si>
    <t>Battery separators</t>
  </si>
  <si>
    <t>Tobi Lutke</t>
  </si>
  <si>
    <t>Ottawa</t>
  </si>
  <si>
    <t>Gail Miller</t>
  </si>
  <si>
    <t>Salt Lake City</t>
  </si>
  <si>
    <t>Car dealerships</t>
  </si>
  <si>
    <t>Rajan Mittal</t>
  </si>
  <si>
    <t>Rakesh Mittal</t>
  </si>
  <si>
    <t>Isaac Perlmutter</t>
  </si>
  <si>
    <t>Marvel comics</t>
  </si>
  <si>
    <t>Marvel Entertainment</t>
  </si>
  <si>
    <t>Bernard Saul, II.</t>
  </si>
  <si>
    <t>Banking, real estate</t>
  </si>
  <si>
    <t>Saul Centers</t>
  </si>
  <si>
    <t>Shaul Shani</t>
  </si>
  <si>
    <t>Steven Spielberg</t>
  </si>
  <si>
    <t>Pacific Palisades</t>
  </si>
  <si>
    <t>Movies</t>
  </si>
  <si>
    <t>Jerzy Starak</t>
  </si>
  <si>
    <t>Konstancin</t>
  </si>
  <si>
    <t>Torbjorn Tornqvist</t>
  </si>
  <si>
    <t>Oil trading</t>
  </si>
  <si>
    <t>Rufino Vigil Gonzalez</t>
  </si>
  <si>
    <t>Zhang Daocai</t>
  </si>
  <si>
    <t>Shaoxing</t>
  </si>
  <si>
    <t>Valves</t>
  </si>
  <si>
    <t>Juergen Blickle</t>
  </si>
  <si>
    <t>Bruchsal</t>
  </si>
  <si>
    <t>Austen Cargill, II.</t>
  </si>
  <si>
    <t>Livingston</t>
  </si>
  <si>
    <t>James Cargill, II.</t>
  </si>
  <si>
    <t>Birchwood</t>
  </si>
  <si>
    <t>Vanich Chaiyawan</t>
  </si>
  <si>
    <t>Insurance, beverages</t>
  </si>
  <si>
    <t>Chen Dongsheng</t>
  </si>
  <si>
    <t>Mong-Koo Chung</t>
  </si>
  <si>
    <t>Hyundai</t>
  </si>
  <si>
    <t>Kenneth Dart</t>
  </si>
  <si>
    <t>George Town</t>
  </si>
  <si>
    <t>Belize</t>
  </si>
  <si>
    <t>Giuseppe De'Longhi &amp; family</t>
  </si>
  <si>
    <t>Treviso</t>
  </si>
  <si>
    <t>Coffee makers</t>
  </si>
  <si>
    <t>Guenther Fielmann &amp; family</t>
  </si>
  <si>
    <t>Optometry</t>
  </si>
  <si>
    <t>W. Herbert Hunt</t>
  </si>
  <si>
    <t>James Irsay</t>
  </si>
  <si>
    <t>Carmel</t>
  </si>
  <si>
    <t>Indianapolis Colts</t>
  </si>
  <si>
    <t>Somurai Jaruphnit</t>
  </si>
  <si>
    <t>Marianne Liebmann</t>
  </si>
  <si>
    <t>Bozeman</t>
  </si>
  <si>
    <t>Jorge Moll Filho &amp; family</t>
  </si>
  <si>
    <t>Fernando Roberto Moreira Salles</t>
  </si>
  <si>
    <t>Pedro Moreira Salles</t>
  </si>
  <si>
    <t>Gabe Newell</t>
  </si>
  <si>
    <t>Videogames</t>
  </si>
  <si>
    <t>Valve Corporation</t>
  </si>
  <si>
    <t>Cofounder and CEO</t>
  </si>
  <si>
    <t>Alfred Oetker</t>
  </si>
  <si>
    <t>Bielefeld</t>
  </si>
  <si>
    <t>Carl Ferdinand Oetker</t>
  </si>
  <si>
    <t>Julia Oetker</t>
  </si>
  <si>
    <t>Ruan Hongliang &amp; family</t>
  </si>
  <si>
    <t>Jiaxing</t>
  </si>
  <si>
    <t>Glass</t>
  </si>
  <si>
    <t>Mark Stevens</t>
  </si>
  <si>
    <t>Steamboat Springs</t>
  </si>
  <si>
    <t>Tsai Hong-tu</t>
  </si>
  <si>
    <t>Nusli Wadia</t>
  </si>
  <si>
    <t>Wu Yiling</t>
  </si>
  <si>
    <t>Shijiazhuang</t>
  </si>
  <si>
    <t>Yu Renrong</t>
  </si>
  <si>
    <t>Zhu Baoguo &amp; family</t>
  </si>
  <si>
    <t>Rahul Bhatia</t>
  </si>
  <si>
    <t>Aviation</t>
  </si>
  <si>
    <t>Francesco Gaetano Caltagirone</t>
  </si>
  <si>
    <t>Rome</t>
  </si>
  <si>
    <t>Cement, diversified</t>
  </si>
  <si>
    <t>Barry Diller</t>
  </si>
  <si>
    <t>Online media</t>
  </si>
  <si>
    <t>Wesley Edens</t>
  </si>
  <si>
    <t>Stephen Feinberg</t>
  </si>
  <si>
    <t>Cerberus Capital Management</t>
  </si>
  <si>
    <t>Co-founder and CEO</t>
  </si>
  <si>
    <t>Rakesh Gangwal</t>
  </si>
  <si>
    <t>Airline</t>
  </si>
  <si>
    <t>Joseph Grendys</t>
  </si>
  <si>
    <t>Poultry processing</t>
  </si>
  <si>
    <t>Martha Ingram &amp; family</t>
  </si>
  <si>
    <t>Book distribution, transportation</t>
  </si>
  <si>
    <t>Ingram Industries, Inc.</t>
  </si>
  <si>
    <t>Former Chairman</t>
  </si>
  <si>
    <t>Li Xiang</t>
  </si>
  <si>
    <t>Electric vehicles</t>
  </si>
  <si>
    <t>H. Ross Perot, Jr.</t>
  </si>
  <si>
    <t>Chandru Raheja</t>
  </si>
  <si>
    <t>Trevor Rees-Jones</t>
  </si>
  <si>
    <t>Yasumitsu Shigeta</t>
  </si>
  <si>
    <t>Mobile phone retailer</t>
  </si>
  <si>
    <t>Su Qingcan</t>
  </si>
  <si>
    <t>Xiamen</t>
  </si>
  <si>
    <t>Tsai Cheng-ta</t>
  </si>
  <si>
    <t>Steven Udvar-Hazy</t>
  </si>
  <si>
    <t>Westlake</t>
  </si>
  <si>
    <t>Aircraft leasing</t>
  </si>
  <si>
    <t>Air Lease Corp.</t>
  </si>
  <si>
    <t>CEO and Chairman</t>
  </si>
  <si>
    <t>Elizabeth Uihlein</t>
  </si>
  <si>
    <t>Lake Forest</t>
  </si>
  <si>
    <t>Packaging materials</t>
  </si>
  <si>
    <t>Richard Uihlein</t>
  </si>
  <si>
    <t>Hayes Barnard</t>
  </si>
  <si>
    <t>William Berkley</t>
  </si>
  <si>
    <t>Coconut Grove</t>
  </si>
  <si>
    <t>WR Berkley</t>
  </si>
  <si>
    <t>Charles Cohen</t>
  </si>
  <si>
    <t>Yakir Gabay</t>
  </si>
  <si>
    <t>Huang Li</t>
  </si>
  <si>
    <t>Imaging systems</t>
  </si>
  <si>
    <t>Brad Jacobs</t>
  </si>
  <si>
    <t>Ji Qi</t>
  </si>
  <si>
    <t>Hotels, motels</t>
  </si>
  <si>
    <t>Jason Jiang</t>
  </si>
  <si>
    <t>Advertising</t>
  </si>
  <si>
    <t>Jim Kavanaugh</t>
  </si>
  <si>
    <t>Richard LeFrak &amp; family</t>
  </si>
  <si>
    <t>Mikhail Lomtadze</t>
  </si>
  <si>
    <t>Tom Morris</t>
  </si>
  <si>
    <t>Merseyside</t>
  </si>
  <si>
    <t>Shigenobu Nagamori</t>
  </si>
  <si>
    <t>Kyoto</t>
  </si>
  <si>
    <t>Motors</t>
  </si>
  <si>
    <t>Daniel Och</t>
  </si>
  <si>
    <t>Och-Ziff Capital Management</t>
  </si>
  <si>
    <t>Horst Paulmann &amp; family</t>
  </si>
  <si>
    <t>Anthony Pritzker</t>
  </si>
  <si>
    <t>John Sall</t>
  </si>
  <si>
    <t>Co-Founder, Executive Vice President</t>
  </si>
  <si>
    <t>Howard Schultz</t>
  </si>
  <si>
    <t>Starbucks</t>
  </si>
  <si>
    <t>Richard Schulze</t>
  </si>
  <si>
    <t>Best Buy</t>
  </si>
  <si>
    <t>Best Buy Co. Inc.</t>
  </si>
  <si>
    <t>Yitzhak Tshuva</t>
  </si>
  <si>
    <t>Netanya</t>
  </si>
  <si>
    <t>Wang Yanqing &amp; family</t>
  </si>
  <si>
    <t>Wuxi</t>
  </si>
  <si>
    <t>Rajiv Bajaj</t>
  </si>
  <si>
    <t>Sanjiv Bajaj</t>
  </si>
  <si>
    <t>Leonid Boguslavsky</t>
  </si>
  <si>
    <t>Florence</t>
  </si>
  <si>
    <t>Jim Coulter</t>
  </si>
  <si>
    <t>Nicolas D'Ieteren</t>
  </si>
  <si>
    <t>Anzere</t>
  </si>
  <si>
    <t>Auto parts, distribution</t>
  </si>
  <si>
    <t>Beatriz Davila de Santo Domingo</t>
  </si>
  <si>
    <t>Bermuda</t>
  </si>
  <si>
    <t>Bob Gaglardi</t>
  </si>
  <si>
    <t>Hotels</t>
  </si>
  <si>
    <t>Jaime Gilinski Bacal</t>
  </si>
  <si>
    <t>Pansy Ho</t>
  </si>
  <si>
    <t>Alan Howard</t>
  </si>
  <si>
    <t>Brevan Howard Asset Management</t>
  </si>
  <si>
    <t>Huang Yi</t>
  </si>
  <si>
    <t>Peter Kellogg</t>
  </si>
  <si>
    <t>Short Hills</t>
  </si>
  <si>
    <t>Vyacheslav Kim</t>
  </si>
  <si>
    <t>Josh Kushner</t>
  </si>
  <si>
    <t>New York City</t>
  </si>
  <si>
    <t>Thrive Capital</t>
  </si>
  <si>
    <t>Managing Partner</t>
  </si>
  <si>
    <t>Samuel Tak Lee</t>
  </si>
  <si>
    <t>Edwin Leong</t>
  </si>
  <si>
    <t>Stephen Mandel, Jr.</t>
  </si>
  <si>
    <t>Lone Pine Capital</t>
  </si>
  <si>
    <t>Mohamed Mansour</t>
  </si>
  <si>
    <t>Masahiro Miki</t>
  </si>
  <si>
    <t>Masahiro Noda</t>
  </si>
  <si>
    <t>Cliff Obrecht</t>
  </si>
  <si>
    <t>Melanie Perkins</t>
  </si>
  <si>
    <t>Canva</t>
  </si>
  <si>
    <t>Cofounder &amp; CEO</t>
  </si>
  <si>
    <t>J.B. Pritzker</t>
  </si>
  <si>
    <t>Juan Roig</t>
  </si>
  <si>
    <t>Valencia</t>
  </si>
  <si>
    <t>Jerry Speyer &amp; family</t>
  </si>
  <si>
    <t>Lawrence Stroll</t>
  </si>
  <si>
    <t>Fashion investments</t>
  </si>
  <si>
    <t>Tung Chee Chen</t>
  </si>
  <si>
    <t>Wang Junlin</t>
  </si>
  <si>
    <t>Liquor</t>
  </si>
  <si>
    <t>Xia Zuoquan</t>
  </si>
  <si>
    <t>Zeng Fangqin</t>
  </si>
  <si>
    <t>Smartphone components</t>
  </si>
  <si>
    <t>Zhang Jian</t>
  </si>
  <si>
    <t>Tianjin</t>
  </si>
  <si>
    <t>Electric bikes, scooters</t>
  </si>
  <si>
    <t>Rocco Basilico</t>
  </si>
  <si>
    <t>Eyeglasses</t>
  </si>
  <si>
    <t>Maurizio Billi</t>
  </si>
  <si>
    <t>Generic drugs</t>
  </si>
  <si>
    <t>Fashu Chen</t>
  </si>
  <si>
    <t>Fuzhou</t>
  </si>
  <si>
    <t>Giuseppe Crippa &amp; family</t>
  </si>
  <si>
    <t>Cernusco Lombardone</t>
  </si>
  <si>
    <t>Microchip testing</t>
  </si>
  <si>
    <t>Daniel D'Aniello</t>
  </si>
  <si>
    <t>Claudio Del Vecchio</t>
  </si>
  <si>
    <t>Muttontown</t>
  </si>
  <si>
    <t>Clemente Del Vecchio</t>
  </si>
  <si>
    <t>Eyeglases</t>
  </si>
  <si>
    <t>Leonardo Maria Del Vecchio</t>
  </si>
  <si>
    <t>Luca Del Vecchio</t>
  </si>
  <si>
    <t>Marisa Del Vecchio</t>
  </si>
  <si>
    <t>Paola Del Vecchio</t>
  </si>
  <si>
    <t>Luxembourg</t>
  </si>
  <si>
    <t xml:space="preserve">$71,104,919,108 </t>
  </si>
  <si>
    <t>Walter P.J. Droege</t>
  </si>
  <si>
    <t>Dusseldorf</t>
  </si>
  <si>
    <t>Investing</t>
  </si>
  <si>
    <t>Fan Daidi</t>
  </si>
  <si>
    <t>Xian</t>
  </si>
  <si>
    <t>Skincare</t>
  </si>
  <si>
    <t>Peter Gassner</t>
  </si>
  <si>
    <t>Pleasanton</t>
  </si>
  <si>
    <t>Mikhail Gutseriev</t>
  </si>
  <si>
    <t>Oil, coal, real estate</t>
  </si>
  <si>
    <t>Patrick Lee</t>
  </si>
  <si>
    <t>Paper</t>
  </si>
  <si>
    <t>Leng Youbin</t>
  </si>
  <si>
    <t>Infant formula</t>
  </si>
  <si>
    <t>Daniel Loeb</t>
  </si>
  <si>
    <t>Third Point</t>
  </si>
  <si>
    <t>Margarita Louis-Dreyfus &amp; family</t>
  </si>
  <si>
    <t>Davos</t>
  </si>
  <si>
    <t>Louis Dreyfus SAS</t>
  </si>
  <si>
    <t>Prasert Prasarttong-Osoth</t>
  </si>
  <si>
    <t>Ira Rennert</t>
  </si>
  <si>
    <t>Dirk Rossmann &amp; family</t>
  </si>
  <si>
    <t>Lower-Saxony</t>
  </si>
  <si>
    <t>Arkady Rotenberg</t>
  </si>
  <si>
    <t>Construction, pipes, banking</t>
  </si>
  <si>
    <t>Remo Ruffini</t>
  </si>
  <si>
    <t>Como</t>
  </si>
  <si>
    <t>Winter jackets</t>
  </si>
  <si>
    <t>Karin Sartorius-Herbst</t>
  </si>
  <si>
    <t>Northeim</t>
  </si>
  <si>
    <t>Biopharmaceuticals</t>
  </si>
  <si>
    <t>Vivek Chaand Sehgal</t>
  </si>
  <si>
    <t>Scott Shleifer</t>
  </si>
  <si>
    <t>Thomas Siebel</t>
  </si>
  <si>
    <t>Wim van der Leegte &amp; family</t>
  </si>
  <si>
    <t>Eindhoven</t>
  </si>
  <si>
    <t>Xiao Yongming &amp; family</t>
  </si>
  <si>
    <t>Michael Xie</t>
  </si>
  <si>
    <t>Yang Shaopeng</t>
  </si>
  <si>
    <t>Qingdao</t>
  </si>
  <si>
    <t>Nicoletta Zampillo</t>
  </si>
  <si>
    <t>Barry Zekelman</t>
  </si>
  <si>
    <t>Windsor</t>
  </si>
  <si>
    <t>William Ackman</t>
  </si>
  <si>
    <t>Pershing Square Capital Management, L.P.</t>
  </si>
  <si>
    <t>Founder, CEO</t>
  </si>
  <si>
    <t>Somphote Ahunai</t>
  </si>
  <si>
    <t>Igor Altushkin</t>
  </si>
  <si>
    <t>Yekaterinburg</t>
  </si>
  <si>
    <t>Ramon Ang</t>
  </si>
  <si>
    <t>Acharya Balkrishna</t>
  </si>
  <si>
    <t>Haridwar</t>
  </si>
  <si>
    <t>Markus Blocher</t>
  </si>
  <si>
    <t>Richard Branson</t>
  </si>
  <si>
    <t>British Virgin Islands</t>
  </si>
  <si>
    <t>Necker Island</t>
  </si>
  <si>
    <t>Virgin</t>
  </si>
  <si>
    <t>Cho Jung-ho</t>
  </si>
  <si>
    <t>Meritz Financial Group</t>
  </si>
  <si>
    <t>Alessandra Garavoglia</t>
  </si>
  <si>
    <t>Laurence Graff &amp; family</t>
  </si>
  <si>
    <t>Diamond jewelry</t>
  </si>
  <si>
    <t>Amos Hostetter, Jr.</t>
  </si>
  <si>
    <t>Pilot House Associates</t>
  </si>
  <si>
    <t>Chair</t>
  </si>
  <si>
    <t>Robert Johnson</t>
  </si>
  <si>
    <t>Johnson &amp; Johnson, sports</t>
  </si>
  <si>
    <t>Steven Klinsky</t>
  </si>
  <si>
    <t>New Mountain Capital</t>
  </si>
  <si>
    <t>William Lauder</t>
  </si>
  <si>
    <t>John Middleton</t>
  </si>
  <si>
    <t>Tobacco</t>
  </si>
  <si>
    <t>Hiroshi Mikitani</t>
  </si>
  <si>
    <t>Bob Parsons</t>
  </si>
  <si>
    <t>Scottsdale</t>
  </si>
  <si>
    <t>Web hosting</t>
  </si>
  <si>
    <t>J. Joe Ricketts &amp; family</t>
  </si>
  <si>
    <t>Little Jackson Hole</t>
  </si>
  <si>
    <t>TD Ameritrade</t>
  </si>
  <si>
    <t>Herb Simon</t>
  </si>
  <si>
    <t>Indianapolis</t>
  </si>
  <si>
    <t>Simon Property Group</t>
  </si>
  <si>
    <t>Chairman Emeritus of the Board of Simon Property Group, Inc.</t>
  </si>
  <si>
    <t>Leena Tewari</t>
  </si>
  <si>
    <t>Stefan von Holtzbrinck</t>
  </si>
  <si>
    <t>Stuttgart</t>
  </si>
  <si>
    <t>Hans Peter Wild</t>
  </si>
  <si>
    <t>Zug</t>
  </si>
  <si>
    <t>Flavorings</t>
  </si>
  <si>
    <t>Wu Guanjiang &amp; family</t>
  </si>
  <si>
    <t>Yi Zheng</t>
  </si>
  <si>
    <t>Eric Yuan &amp; family</t>
  </si>
  <si>
    <t>Santa Clara</t>
  </si>
  <si>
    <t>Zoom Video Communications</t>
  </si>
  <si>
    <t>Charles Zegar</t>
  </si>
  <si>
    <t>Mohed Altrad</t>
  </si>
  <si>
    <t>Montpellier</t>
  </si>
  <si>
    <t>Scaffolding, cement mixers</t>
  </si>
  <si>
    <t>John Arnold</t>
  </si>
  <si>
    <t>Centaurus Advisors</t>
  </si>
  <si>
    <t>Bill Austin</t>
  </si>
  <si>
    <t>Brownsville</t>
  </si>
  <si>
    <t>Hearing aids</t>
  </si>
  <si>
    <t>Chen Shibin</t>
  </si>
  <si>
    <t>Quartz products</t>
  </si>
  <si>
    <t>Bennett Dorrance</t>
  </si>
  <si>
    <t>Paradise Valley</t>
  </si>
  <si>
    <t>Walter Faria</t>
  </si>
  <si>
    <t>Walter Frey</t>
  </si>
  <si>
    <t>KÃ¼snacht</t>
  </si>
  <si>
    <t>Fu Liquan &amp; family</t>
  </si>
  <si>
    <t>Surveillance equipment</t>
  </si>
  <si>
    <t>John Gandel</t>
  </si>
  <si>
    <t>Shopping malls</t>
  </si>
  <si>
    <t>Peter Gilgan</t>
  </si>
  <si>
    <t>Oakville</t>
  </si>
  <si>
    <t>Homebuilding</t>
  </si>
  <si>
    <t>Mattamy Group Corp.</t>
  </si>
  <si>
    <t>Founder, CEO and Chairman</t>
  </si>
  <si>
    <t>Kwek Leng Beng</t>
  </si>
  <si>
    <t>Pablo Legorreta</t>
  </si>
  <si>
    <t>Sag Harbor</t>
  </si>
  <si>
    <t>Arnon Milchan</t>
  </si>
  <si>
    <t>Movie making</t>
  </si>
  <si>
    <t>Akio Nitori</t>
  </si>
  <si>
    <t>Hokkaido</t>
  </si>
  <si>
    <t>Home furnishings</t>
  </si>
  <si>
    <t>Julio Ponce Lerou</t>
  </si>
  <si>
    <t>Rodger Riney &amp; family</t>
  </si>
  <si>
    <t>Scottrade, Inc.</t>
  </si>
  <si>
    <t>Phil Ruffin</t>
  </si>
  <si>
    <t>Casinos, real estate</t>
  </si>
  <si>
    <t>Naguib Sawiris</t>
  </si>
  <si>
    <t>Neil Shen</t>
  </si>
  <si>
    <t>Sequoia China</t>
  </si>
  <si>
    <t>Gil Shwed</t>
  </si>
  <si>
    <t>Stephen Smith</t>
  </si>
  <si>
    <t>Finance and investments</t>
  </si>
  <si>
    <t>Nik Storonsky</t>
  </si>
  <si>
    <t>Jeffrey Talpins</t>
  </si>
  <si>
    <t>Larchmont</t>
  </si>
  <si>
    <t>Element Capital Management</t>
  </si>
  <si>
    <t>Carl Thoma</t>
  </si>
  <si>
    <t>Todd Wanek</t>
  </si>
  <si>
    <t>St. Petersburg</t>
  </si>
  <si>
    <t>Xue Hua</t>
  </si>
  <si>
    <t>Takao Yasuda</t>
  </si>
  <si>
    <t>Karen Virginia Beckmann Legoretta</t>
  </si>
  <si>
    <t>Giuliana Benetton</t>
  </si>
  <si>
    <t>Fashion retail, investments</t>
  </si>
  <si>
    <t>Luciano Benetton</t>
  </si>
  <si>
    <t>Ponzano Veneto</t>
  </si>
  <si>
    <t>Arun Bharat Ram</t>
  </si>
  <si>
    <t>Ron Burkle</t>
  </si>
  <si>
    <t>Supermarkets, investments</t>
  </si>
  <si>
    <t>The Yucaipa Companies, LLC</t>
  </si>
  <si>
    <t>Chen Kaixuan</t>
  </si>
  <si>
    <t>Household chemicals</t>
  </si>
  <si>
    <t>Brunello Cucinelli &amp; family</t>
  </si>
  <si>
    <t>Solomeo</t>
  </si>
  <si>
    <t>Fashion</t>
  </si>
  <si>
    <t>Antonio Del Valle Ruiz &amp; family</t>
  </si>
  <si>
    <t>Gustavo Denegri &amp; family</t>
  </si>
  <si>
    <t>torino</t>
  </si>
  <si>
    <t>Dong Jinggui</t>
  </si>
  <si>
    <t>Electric scooters</t>
  </si>
  <si>
    <t>Charles Ergen</t>
  </si>
  <si>
    <t>Satellite TV</t>
  </si>
  <si>
    <t>DISH Network</t>
  </si>
  <si>
    <t>David Filo</t>
  </si>
  <si>
    <t>Yahoo</t>
  </si>
  <si>
    <t>Yahoo!</t>
  </si>
  <si>
    <t>Chief Yahoo</t>
  </si>
  <si>
    <t>Lindsay Fox</t>
  </si>
  <si>
    <t>Logistics, real estate</t>
  </si>
  <si>
    <t>Sergei Galitsky</t>
  </si>
  <si>
    <t>Krasnodar</t>
  </si>
  <si>
    <t>Senapathy Gopalakrishnan</t>
  </si>
  <si>
    <t>Luciano Hang</t>
  </si>
  <si>
    <t>Brusque</t>
  </si>
  <si>
    <t>Department stores</t>
  </si>
  <si>
    <t>Michael Hintze</t>
  </si>
  <si>
    <t>Investment</t>
  </si>
  <si>
    <t>CQS LLP</t>
  </si>
  <si>
    <t>Hu Baifan</t>
  </si>
  <si>
    <t>Hamilton James &amp; family</t>
  </si>
  <si>
    <t>Lee Boo-jin</t>
  </si>
  <si>
    <t>Li Liangbin</t>
  </si>
  <si>
    <t>Xinyu</t>
  </si>
  <si>
    <t>Lithium</t>
  </si>
  <si>
    <t>Liang Feng</t>
  </si>
  <si>
    <t>Samir Mehta</t>
  </si>
  <si>
    <t>Pharmaceuticals, power</t>
  </si>
  <si>
    <t>Sudhir Mehta</t>
  </si>
  <si>
    <t>Aristotelis Mistakidis</t>
  </si>
  <si>
    <t>Mining, commodities</t>
  </si>
  <si>
    <t>Geoffrey Palmer</t>
  </si>
  <si>
    <t>Roger Penske</t>
  </si>
  <si>
    <t>Birmingham</t>
  </si>
  <si>
    <t>Cars</t>
  </si>
  <si>
    <t>Ravi Pillai</t>
  </si>
  <si>
    <t>David Rubenstein</t>
  </si>
  <si>
    <t>Bethesda</t>
  </si>
  <si>
    <t>Carlyle Group</t>
  </si>
  <si>
    <t>Cofounder and Co-executive Chairman</t>
  </si>
  <si>
    <t>Hilton Schlosberg</t>
  </si>
  <si>
    <t>Klaus-Peter Schulenberg</t>
  </si>
  <si>
    <t>Bremen</t>
  </si>
  <si>
    <t>Ticketing service</t>
  </si>
  <si>
    <t>Lynn Schusterman &amp; family</t>
  </si>
  <si>
    <t>Oil &amp; gas, investments</t>
  </si>
  <si>
    <t>Isabella SerÃ gnoli</t>
  </si>
  <si>
    <t>Bologna</t>
  </si>
  <si>
    <t>Shen Guojun</t>
  </si>
  <si>
    <t>Warren Stephens</t>
  </si>
  <si>
    <t>Little Rock</t>
  </si>
  <si>
    <t>Investment banking</t>
  </si>
  <si>
    <t>Pat Stryker</t>
  </si>
  <si>
    <t>Fort Collins</t>
  </si>
  <si>
    <t>Roman Trotsenko</t>
  </si>
  <si>
    <t>Transport, engineering, real estate</t>
  </si>
  <si>
    <t>Harald Tschira</t>
  </si>
  <si>
    <t>Udo Tschira</t>
  </si>
  <si>
    <t>Wiesloch</t>
  </si>
  <si>
    <t>Vincent Viola</t>
  </si>
  <si>
    <t>Electronic trading</t>
  </si>
  <si>
    <t>Wu Shaoxun</t>
  </si>
  <si>
    <t>Daye</t>
  </si>
  <si>
    <t>Wine</t>
  </si>
  <si>
    <t>Steve Wynn</t>
  </si>
  <si>
    <t>Casinos, hotels</t>
  </si>
  <si>
    <t>Wynn Resorts</t>
  </si>
  <si>
    <t>Jon Yarbrough</t>
  </si>
  <si>
    <t>Zhou Bajin</t>
  </si>
  <si>
    <t>Cho Tak Wong</t>
  </si>
  <si>
    <t>Fuqing</t>
  </si>
  <si>
    <t>John Coates</t>
  </si>
  <si>
    <t>Stoke-On-Trent</t>
  </si>
  <si>
    <t>Ryan Cohen</t>
  </si>
  <si>
    <t>Deng Wen</t>
  </si>
  <si>
    <t>Gurbachan Singh Dhingra</t>
  </si>
  <si>
    <t>Kuldip Singh Dhingra</t>
  </si>
  <si>
    <t>Martin Ebner</t>
  </si>
  <si>
    <t>Wilen</t>
  </si>
  <si>
    <t>Charles Edelstenne</t>
  </si>
  <si>
    <t>Sergei Gordeev</t>
  </si>
  <si>
    <t>Jeff T. Green</t>
  </si>
  <si>
    <t>Newbury Park</t>
  </si>
  <si>
    <t>Digital advertising</t>
  </si>
  <si>
    <t>Reed Hastings</t>
  </si>
  <si>
    <t>Santa Cruz</t>
  </si>
  <si>
    <t>Netflix</t>
  </si>
  <si>
    <t>Bertil Hult</t>
  </si>
  <si>
    <t>Education</t>
  </si>
  <si>
    <t>Miguel Krigsner</t>
  </si>
  <si>
    <t>Sao Jose dos Pinhais</t>
  </si>
  <si>
    <t>Cosmetics</t>
  </si>
  <si>
    <t>Kuok Khoon Hong</t>
  </si>
  <si>
    <t>Palm oil</t>
  </si>
  <si>
    <t>Aerin Lauder</t>
  </si>
  <si>
    <t>Sheldon Lavin</t>
  </si>
  <si>
    <t>Highland Park</t>
  </si>
  <si>
    <t>Meat processing</t>
  </si>
  <si>
    <t>Yin Yee Lee</t>
  </si>
  <si>
    <t>Vladimir Litvinenko &amp; family</t>
  </si>
  <si>
    <t>Chemical industry</t>
  </si>
  <si>
    <t>Daniel Mate</t>
  </si>
  <si>
    <t>Kanton Schwyz</t>
  </si>
  <si>
    <t>Ravi Modi</t>
  </si>
  <si>
    <t>Readymade garments</t>
  </si>
  <si>
    <t>Farhad Moshiri</t>
  </si>
  <si>
    <t>Jonathan Nelson</t>
  </si>
  <si>
    <t>Providence</t>
  </si>
  <si>
    <t>Providence Equity Partners</t>
  </si>
  <si>
    <t xml:space="preserve">Executive Chairman </t>
  </si>
  <si>
    <t>Or Wai Sheun</t>
  </si>
  <si>
    <t>Katharina Otto-Bernstein</t>
  </si>
  <si>
    <t>Sergei Popov</t>
  </si>
  <si>
    <t>Penny Pritzker</t>
  </si>
  <si>
    <t>Inspired Capital</t>
  </si>
  <si>
    <t>Theodore Rachmat</t>
  </si>
  <si>
    <t>Renzo Rosso &amp; family</t>
  </si>
  <si>
    <t>Bassano del Grappa</t>
  </si>
  <si>
    <t>Friede Springer</t>
  </si>
  <si>
    <t>Berlin</t>
  </si>
  <si>
    <t>Rita Tong Liu</t>
  </si>
  <si>
    <t>Timur Turlov</t>
  </si>
  <si>
    <t>Stock brokerage</t>
  </si>
  <si>
    <t>Frank VanderSloot</t>
  </si>
  <si>
    <t>Idaho Falls</t>
  </si>
  <si>
    <t>Nutrition, wellness products</t>
  </si>
  <si>
    <t>Yoo Jung-hyun</t>
  </si>
  <si>
    <t>Jeju-do</t>
  </si>
  <si>
    <t>Abdulla bin Ahmad Al Ghurair &amp; family</t>
  </si>
  <si>
    <t>Athlete</t>
  </si>
  <si>
    <t>Semahat Sevim Arsel</t>
  </si>
  <si>
    <t>Nicolas Berggruen</t>
  </si>
  <si>
    <t>George Bishop</t>
  </si>
  <si>
    <t>The Woodlands</t>
  </si>
  <si>
    <t>Norman Braman</t>
  </si>
  <si>
    <t>Art, car dealerships</t>
  </si>
  <si>
    <t>Eva Maria Bucher-Haefner</t>
  </si>
  <si>
    <t>Cai Dongchen</t>
  </si>
  <si>
    <t>Luancheng</t>
  </si>
  <si>
    <t>Jean-Pierre Cayard</t>
  </si>
  <si>
    <t>Chan Tan Ching-fen</t>
  </si>
  <si>
    <t>Todd Christopher</t>
  </si>
  <si>
    <t>Clearwater</t>
  </si>
  <si>
    <t>Hair care products</t>
  </si>
  <si>
    <t>Mang Yee Chu &amp; family</t>
  </si>
  <si>
    <t>William Conway, Jr.</t>
  </si>
  <si>
    <t>McLean</t>
  </si>
  <si>
    <t>Co-Chief Executive Officer and Co-founder</t>
  </si>
  <si>
    <t>Jean Coutu &amp; family</t>
  </si>
  <si>
    <t>Jean Coutu Group (PJC) Inc. (Cl A)</t>
  </si>
  <si>
    <t>Catheline Perier D'Ieteren</t>
  </si>
  <si>
    <t>Edward DeBartolo, Jr.</t>
  </si>
  <si>
    <t>Tampa</t>
  </si>
  <si>
    <t>Shopping centers</t>
  </si>
  <si>
    <t>Stephen Deckoff</t>
  </si>
  <si>
    <t>St. John</t>
  </si>
  <si>
    <t>Feng Hailiang</t>
  </si>
  <si>
    <t>Zhuji</t>
  </si>
  <si>
    <t>Copper, education</t>
  </si>
  <si>
    <t>Ernest Garcia, II.</t>
  </si>
  <si>
    <t>Tempe</t>
  </si>
  <si>
    <t>Used cars</t>
  </si>
  <si>
    <t>Sam Goi</t>
  </si>
  <si>
    <t>Carlos Hank Rhon</t>
  </si>
  <si>
    <t>Susan Carol Holland</t>
  </si>
  <si>
    <t>Hui Ka Yan</t>
  </si>
  <si>
    <t>Vivek Jain</t>
  </si>
  <si>
    <t>Friedrich Knapp</t>
  </si>
  <si>
    <t>Brunswick</t>
  </si>
  <si>
    <t>Egor Kulkov</t>
  </si>
  <si>
    <t>Grimisuat</t>
  </si>
  <si>
    <t>Lin Ming-hsiung</t>
  </si>
  <si>
    <t>Lin Xiucheng &amp; family</t>
  </si>
  <si>
    <t>Harsh Mariwala</t>
  </si>
  <si>
    <t>Gilles Martin</t>
  </si>
  <si>
    <t>Nantes</t>
  </si>
  <si>
    <t>Laboratory services</t>
  </si>
  <si>
    <t>Maja Oeri</t>
  </si>
  <si>
    <t>John Paulson</t>
  </si>
  <si>
    <t>Paulson &amp; Co. Inc.</t>
  </si>
  <si>
    <t>Ajay Piramal</t>
  </si>
  <si>
    <t>Guanghe Qiu &amp; family</t>
  </si>
  <si>
    <t>Stephen Rubin</t>
  </si>
  <si>
    <t>Robert Sands</t>
  </si>
  <si>
    <t>Erik Selin</t>
  </si>
  <si>
    <t>GÃ¶teborg</t>
  </si>
  <si>
    <t>Yonghong Shi &amp; family</t>
  </si>
  <si>
    <t>Martua Sitorus</t>
  </si>
  <si>
    <t>Guangxin Sun</t>
  </si>
  <si>
    <t>Urumqi</t>
  </si>
  <si>
    <t>Sukanto Tanoto</t>
  </si>
  <si>
    <t>Sunny Varkey</t>
  </si>
  <si>
    <t>Gang Ye</t>
  </si>
  <si>
    <t>Ye Xiaoping</t>
  </si>
  <si>
    <t>Lei Zhang</t>
  </si>
  <si>
    <t>Zhu Gongshan &amp; family</t>
  </si>
  <si>
    <t>Solar panel materials</t>
  </si>
  <si>
    <t>Isak Andic &amp; family</t>
  </si>
  <si>
    <t>Barcelona</t>
  </si>
  <si>
    <t>Alberto Bombassei</t>
  </si>
  <si>
    <t>Bergamo</t>
  </si>
  <si>
    <t>Automotive brakes</t>
  </si>
  <si>
    <t>Cao Longxiang &amp; family</t>
  </si>
  <si>
    <t>Taixing</t>
  </si>
  <si>
    <t>Roy Carroll, II.</t>
  </si>
  <si>
    <t>Greensboro</t>
  </si>
  <si>
    <t>John Caudwell</t>
  </si>
  <si>
    <t>Mobile phones</t>
  </si>
  <si>
    <t>James Clark</t>
  </si>
  <si>
    <t>Netscape, investments</t>
  </si>
  <si>
    <t>Netscape Communications Corporation</t>
  </si>
  <si>
    <t>Jacques D'Amours</t>
  </si>
  <si>
    <t>Convenience stores</t>
  </si>
  <si>
    <t>Vice President and Cofounder</t>
  </si>
  <si>
    <t>John Paul DeJoria</t>
  </si>
  <si>
    <t>Hair products, tequila</t>
  </si>
  <si>
    <t>Bernard Ecclestone &amp; family</t>
  </si>
  <si>
    <t>Formula One</t>
  </si>
  <si>
    <t>Michael Federmann &amp; family</t>
  </si>
  <si>
    <t>Defense, hotels</t>
  </si>
  <si>
    <t>Kenneth Feld &amp; family</t>
  </si>
  <si>
    <t>Sarasota</t>
  </si>
  <si>
    <t>Live entertainment</t>
  </si>
  <si>
    <t>Feld Entertainment</t>
  </si>
  <si>
    <t>Gu Yuhua &amp; family</t>
  </si>
  <si>
    <t>Otto Happel</t>
  </si>
  <si>
    <t>Luzerne</t>
  </si>
  <si>
    <t>Engineering</t>
  </si>
  <si>
    <t>Gudrun Heine</t>
  </si>
  <si>
    <t>Ohningen</t>
  </si>
  <si>
    <t>Donald Horton &amp; family</t>
  </si>
  <si>
    <t>Zarakh Iliev</t>
  </si>
  <si>
    <t>Ipek Kirac</t>
  </si>
  <si>
    <t>Lee Seo-hyun</t>
  </si>
  <si>
    <t>Li Jianquan &amp; family</t>
  </si>
  <si>
    <t>Consumer products</t>
  </si>
  <si>
    <t>Li Li</t>
  </si>
  <si>
    <t>Li Xiaohua &amp; family</t>
  </si>
  <si>
    <t>Liu Xiaodong</t>
  </si>
  <si>
    <t>Martin Lorentzon</t>
  </si>
  <si>
    <t>Spotify</t>
  </si>
  <si>
    <t>Ronald McAulay</t>
  </si>
  <si>
    <t>Erwin Franz Mueller</t>
  </si>
  <si>
    <t>Georg Nemetschek &amp; family</t>
  </si>
  <si>
    <t>God Nisanov</t>
  </si>
  <si>
    <t>Vikas Oberoi</t>
  </si>
  <si>
    <t>Gregorio Perez Companc &amp; family</t>
  </si>
  <si>
    <t>Sebastian PiÃ±era &amp; family</t>
  </si>
  <si>
    <t>Arvind Poddar</t>
  </si>
  <si>
    <t>Tires</t>
  </si>
  <si>
    <t>Alexey Repik</t>
  </si>
  <si>
    <t>Haim Saban</t>
  </si>
  <si>
    <t>TV network, investments</t>
  </si>
  <si>
    <t>Rodney Sacks</t>
  </si>
  <si>
    <t>Laguna Beach</t>
  </si>
  <si>
    <t>Monster Beverage</t>
  </si>
  <si>
    <t>Karthik Sarma</t>
  </si>
  <si>
    <t>Sybill Storz</t>
  </si>
  <si>
    <t>Leipzig</t>
  </si>
  <si>
    <t>Daniel Sundheim</t>
  </si>
  <si>
    <t>William Wrigley, Jr.</t>
  </si>
  <si>
    <t>Chewing gum</t>
  </si>
  <si>
    <t>Wrigley Management, Inc.</t>
  </si>
  <si>
    <t>Zhang Wenzhong</t>
  </si>
  <si>
    <t>Zhou Jianping</t>
  </si>
  <si>
    <t>Jiangyin</t>
  </si>
  <si>
    <t>Joy Alukkas</t>
  </si>
  <si>
    <t>Cochin</t>
  </si>
  <si>
    <t>Jewelry</t>
  </si>
  <si>
    <t>Kang An</t>
  </si>
  <si>
    <t>Xinxiang</t>
  </si>
  <si>
    <t>Garrett Camp</t>
  </si>
  <si>
    <t>Cofounder and Chairman</t>
  </si>
  <si>
    <t>Chen Lip Keong</t>
  </si>
  <si>
    <t>Cambodia</t>
  </si>
  <si>
    <t>Phnom Penh</t>
  </si>
  <si>
    <t>Casinos, property, energy</t>
  </si>
  <si>
    <t xml:space="preserve">$27,089,389,787 </t>
  </si>
  <si>
    <t>Choo Chong Ngen</t>
  </si>
  <si>
    <t>Euisun Chung</t>
  </si>
  <si>
    <t>Hyundai Motor Co. Ltd.</t>
  </si>
  <si>
    <t>Smita Crishna-Godrej</t>
  </si>
  <si>
    <t>Eleanor Butt Crook &amp; family</t>
  </si>
  <si>
    <t>San Marcos</t>
  </si>
  <si>
    <t>Du Jiangtao &amp; family</t>
  </si>
  <si>
    <t>Lorenzo Fertitta</t>
  </si>
  <si>
    <t>Casinos, mixed martial arts</t>
  </si>
  <si>
    <t>Sebastian Glaser</t>
  </si>
  <si>
    <t>Sensor technology</t>
  </si>
  <si>
    <t>Adi Godrej</t>
  </si>
  <si>
    <t>Jamshyd Godrej</t>
  </si>
  <si>
    <t>Lee Yeow Chor</t>
  </si>
  <si>
    <t>Palm oil, property</t>
  </si>
  <si>
    <t>Li Weiguo</t>
  </si>
  <si>
    <t>Construction materials</t>
  </si>
  <si>
    <t>Dmitry Mazepin</t>
  </si>
  <si>
    <t>Drayton McLane, Jr.</t>
  </si>
  <si>
    <t>Temple</t>
  </si>
  <si>
    <t>Walmart, logistics</t>
  </si>
  <si>
    <t>Najib Mikati</t>
  </si>
  <si>
    <t>Lebanon</t>
  </si>
  <si>
    <t>Beirut</t>
  </si>
  <si>
    <t xml:space="preserve">$53,367,042,272 </t>
  </si>
  <si>
    <t>Taha Mikati</t>
  </si>
  <si>
    <t>Akira Mori &amp; family</t>
  </si>
  <si>
    <t>Rishad Naoroji</t>
  </si>
  <si>
    <t>Philip Niarchos</t>
  </si>
  <si>
    <t>Art collection</t>
  </si>
  <si>
    <t>Nandan Nilekani</t>
  </si>
  <si>
    <t>Benjamin Otto</t>
  </si>
  <si>
    <t>Maren Otto</t>
  </si>
  <si>
    <t>Ranjan Pai</t>
  </si>
  <si>
    <t>Madhukar Parekh</t>
  </si>
  <si>
    <t>Adhesives</t>
  </si>
  <si>
    <t>Sean Parker</t>
  </si>
  <si>
    <t>Stewart Rahr</t>
  </si>
  <si>
    <t>Drug distribution</t>
  </si>
  <si>
    <t>Su Hua</t>
  </si>
  <si>
    <t>Video streaming</t>
  </si>
  <si>
    <t>Sun Shoukuan</t>
  </si>
  <si>
    <t>Yingkou</t>
  </si>
  <si>
    <t>Metals, coal</t>
  </si>
  <si>
    <t>Tseng Cheng</t>
  </si>
  <si>
    <t>Tung Chee Hwa</t>
  </si>
  <si>
    <t>Meg Whitman</t>
  </si>
  <si>
    <t>Quibi</t>
  </si>
  <si>
    <t>Wong Luen Hei</t>
  </si>
  <si>
    <t>Building materials</t>
  </si>
  <si>
    <t>Chenghai Ye &amp; family</t>
  </si>
  <si>
    <t>Zhu Xingming</t>
  </si>
  <si>
    <t>Jose Joao Abdalla Filho</t>
  </si>
  <si>
    <t>Juan Abello</t>
  </si>
  <si>
    <t>Suhail Bahwan</t>
  </si>
  <si>
    <t>Oman</t>
  </si>
  <si>
    <t>Muscat</t>
  </si>
  <si>
    <t xml:space="preserve">$76,983,094,928 </t>
  </si>
  <si>
    <t>Madhur Bajaj</t>
  </si>
  <si>
    <t>Niraj Bajaj</t>
  </si>
  <si>
    <t>Shekhar Bajaj</t>
  </si>
  <si>
    <t>Harindarpal Banga</t>
  </si>
  <si>
    <t>Ulrike Baro</t>
  </si>
  <si>
    <t>Anne Beaufour</t>
  </si>
  <si>
    <t>Henri Beaufour</t>
  </si>
  <si>
    <t>Andrei Bokarev</t>
  </si>
  <si>
    <t>Metals, mining</t>
  </si>
  <si>
    <t>Jack Cowin</t>
  </si>
  <si>
    <t>Fast food</t>
  </si>
  <si>
    <t>Glenn Dubin</t>
  </si>
  <si>
    <t>N. Murray Edwards</t>
  </si>
  <si>
    <t>Frank Fertitta, III.</t>
  </si>
  <si>
    <t>Abhay Firodia</t>
  </si>
  <si>
    <t>Bruce Flatt</t>
  </si>
  <si>
    <t>Miguel Fluxa Rossello</t>
  </si>
  <si>
    <t>Esporles</t>
  </si>
  <si>
    <t>Robert Friedland</t>
  </si>
  <si>
    <t>Ivanhoe Mines Ltd.</t>
  </si>
  <si>
    <t>Founder and Executive Chairman</t>
  </si>
  <si>
    <t>Alexander Frolov</t>
  </si>
  <si>
    <t>Mining, steel</t>
  </si>
  <si>
    <t>Nadir Godrej</t>
  </si>
  <si>
    <t>Maggie Hardy</t>
  </si>
  <si>
    <t>Belle Vernon</t>
  </si>
  <si>
    <t>Nithin Kamath</t>
  </si>
  <si>
    <t>Samvel Karapetyan</t>
  </si>
  <si>
    <t>Kei Hoi Pang</t>
  </si>
  <si>
    <t>Mustafa Rahmi Koc</t>
  </si>
  <si>
    <t>Yuri Kovalchuk &amp; family</t>
  </si>
  <si>
    <t>Banking, insurance, media</t>
  </si>
  <si>
    <t>Geoffrey Kwok</t>
  </si>
  <si>
    <t>Jonathan Kwok</t>
  </si>
  <si>
    <t>Hans Langer</t>
  </si>
  <si>
    <t>GrÃ¤felfing</t>
  </si>
  <si>
    <t>3D printing</t>
  </si>
  <si>
    <t>Frank Laukien</t>
  </si>
  <si>
    <t>Scientific equipment</t>
  </si>
  <si>
    <t>Maritsa Lazari &amp; family</t>
  </si>
  <si>
    <t>Angela Leong</t>
  </si>
  <si>
    <t>Li Zhongchu</t>
  </si>
  <si>
    <t>Liang Yunchao</t>
  </si>
  <si>
    <t>Nutritional supplements</t>
  </si>
  <si>
    <t>Vincent McMahon</t>
  </si>
  <si>
    <t>Entertainment</t>
  </si>
  <si>
    <t>Patrice Motsepe</t>
  </si>
  <si>
    <t>Denis O'Brien</t>
  </si>
  <si>
    <t>Dublin</t>
  </si>
  <si>
    <t>Timm Oberwelland</t>
  </si>
  <si>
    <t>Candy</t>
  </si>
  <si>
    <t>Dan Olsson</t>
  </si>
  <si>
    <t>Gothenburg</t>
  </si>
  <si>
    <t>Yuji Otsuka</t>
  </si>
  <si>
    <t>Copy machines, software</t>
  </si>
  <si>
    <t>Pan Dong</t>
  </si>
  <si>
    <t>Karsanbhai Patel</t>
  </si>
  <si>
    <t>Richard Peery</t>
  </si>
  <si>
    <t>Gianfelice Rocca</t>
  </si>
  <si>
    <t>Pipe Manufacturing</t>
  </si>
  <si>
    <t>Paolo Rocca</t>
  </si>
  <si>
    <t>Wayne Rothbaum</t>
  </si>
  <si>
    <t>Biotech investing</t>
  </si>
  <si>
    <t>Jeff Rothschild</t>
  </si>
  <si>
    <t>Advisor</t>
  </si>
  <si>
    <t>Raj Sardana</t>
  </si>
  <si>
    <t>Technology services</t>
  </si>
  <si>
    <t>Christiane Schoeller</t>
  </si>
  <si>
    <t>Salil Singhal</t>
  </si>
  <si>
    <t>Agrochemicals</t>
  </si>
  <si>
    <t>Alexander Skorobogatko</t>
  </si>
  <si>
    <t>Real estate, airport</t>
  </si>
  <si>
    <t>Evan Spiegel</t>
  </si>
  <si>
    <t>Snapchat</t>
  </si>
  <si>
    <t>Snap</t>
  </si>
  <si>
    <t>Glen Taylor</t>
  </si>
  <si>
    <t>Mankato</t>
  </si>
  <si>
    <t>Printing</t>
  </si>
  <si>
    <t>Thomas Tull</t>
  </si>
  <si>
    <t>Pittsburgh</t>
  </si>
  <si>
    <t>Movies, investments</t>
  </si>
  <si>
    <t>Bulat Utemuratov</t>
  </si>
  <si>
    <t>Nur-Sultan</t>
  </si>
  <si>
    <t>Mining, banking, hotels</t>
  </si>
  <si>
    <t>Gustav Magnar Witzoe</t>
  </si>
  <si>
    <t>Kverva</t>
  </si>
  <si>
    <t>Fish farming</t>
  </si>
  <si>
    <t>Wong Man Li</t>
  </si>
  <si>
    <t>Guangming Wu</t>
  </si>
  <si>
    <t>Danyang</t>
  </si>
  <si>
    <t>Zhu Yi</t>
  </si>
  <si>
    <t>Ben Ashkenazy</t>
  </si>
  <si>
    <t>Felix Baker</t>
  </si>
  <si>
    <t>Julian Baker</t>
  </si>
  <si>
    <t>David Baszucki</t>
  </si>
  <si>
    <t>Joesley Batista</t>
  </si>
  <si>
    <t>Beef processing</t>
  </si>
  <si>
    <t>Wesley Batista</t>
  </si>
  <si>
    <t>Beef packing</t>
  </si>
  <si>
    <t>Yvonne Bauer</t>
  </si>
  <si>
    <t>Magazines, media</t>
  </si>
  <si>
    <t>Miriam Baumann-Blocher</t>
  </si>
  <si>
    <t>Rheinfelden</t>
  </si>
  <si>
    <t>Cen Junda</t>
  </si>
  <si>
    <t>Richard Chandler</t>
  </si>
  <si>
    <t>Chen Zhiping</t>
  </si>
  <si>
    <t>E-cigarettes</t>
  </si>
  <si>
    <t>Fernando Chico Pardo</t>
  </si>
  <si>
    <t>Airport management</t>
  </si>
  <si>
    <t>Ray Davis</t>
  </si>
  <si>
    <t>Maria Del Pino</t>
  </si>
  <si>
    <t>Deng Weiming &amp; family</t>
  </si>
  <si>
    <t>Battery components</t>
  </si>
  <si>
    <t>John Dorrance, III.</t>
  </si>
  <si>
    <t>Carl Douglas</t>
  </si>
  <si>
    <t>Eric Douglas</t>
  </si>
  <si>
    <t>Fiona Geminder</t>
  </si>
  <si>
    <t>Stewart Horejsi &amp; family</t>
  </si>
  <si>
    <t>Hou Juncheng</t>
  </si>
  <si>
    <t>Zhenda Huang &amp; family</t>
  </si>
  <si>
    <t>Shantou</t>
  </si>
  <si>
    <t>Dmitry Kamenshchik</t>
  </si>
  <si>
    <t>Airport</t>
  </si>
  <si>
    <t>Alicia Koplowitz</t>
  </si>
  <si>
    <t>Adam Kwok</t>
  </si>
  <si>
    <t>Henry Laufer</t>
  </si>
  <si>
    <t>Lake Worth</t>
  </si>
  <si>
    <t>Louis Le Duff</t>
  </si>
  <si>
    <t>Bakeries</t>
  </si>
  <si>
    <t>Mark Leonard &amp; family</t>
  </si>
  <si>
    <t>Li Guoqiang</t>
  </si>
  <si>
    <t>Auto dealerships</t>
  </si>
  <si>
    <t>Li Yongxin</t>
  </si>
  <si>
    <t>Peter Lim</t>
  </si>
  <si>
    <t>Lu Weiding</t>
  </si>
  <si>
    <t>Sergio Mantegazza</t>
  </si>
  <si>
    <t>Lugano</t>
  </si>
  <si>
    <t>Travel</t>
  </si>
  <si>
    <t>Hans Melchers</t>
  </si>
  <si>
    <t>Vorden</t>
  </si>
  <si>
    <t>Chemicals, investments</t>
  </si>
  <si>
    <t>C. Dean Metropoulos</t>
  </si>
  <si>
    <t>Hans Georg Naeder</t>
  </si>
  <si>
    <t>Duderstadt</t>
  </si>
  <si>
    <t>Prosthetics</t>
  </si>
  <si>
    <t>Falguni Nayar</t>
  </si>
  <si>
    <t>Retailing</t>
  </si>
  <si>
    <t>Nykaa</t>
  </si>
  <si>
    <t>James Packer</t>
  </si>
  <si>
    <t>Alexander Ponomarenko</t>
  </si>
  <si>
    <t>Nicholas Pritzker</t>
  </si>
  <si>
    <t>Nicasio</t>
  </si>
  <si>
    <t>Alejandro Santo Domingo</t>
  </si>
  <si>
    <t>Steven Sarowitz</t>
  </si>
  <si>
    <t>Payroll software</t>
  </si>
  <si>
    <t>Maria-Elisabeth Schaeffler-Thumann</t>
  </si>
  <si>
    <t>Leonard Schleifer</t>
  </si>
  <si>
    <t>Tarrytown</t>
  </si>
  <si>
    <t>Regeneron Pharmaceuticals</t>
  </si>
  <si>
    <t>CEO and Founder</t>
  </si>
  <si>
    <t>Dieter Schnabel</t>
  </si>
  <si>
    <t>Michael S. Smith</t>
  </si>
  <si>
    <t>Liquefied natural gas</t>
  </si>
  <si>
    <t>Julia Thiele-Schuerhoff</t>
  </si>
  <si>
    <t>Brakes, investments</t>
  </si>
  <si>
    <t>John Tyson &amp; family</t>
  </si>
  <si>
    <t>Springdale</t>
  </si>
  <si>
    <t>Food processing</t>
  </si>
  <si>
    <t>Anna Katharina Viessmann</t>
  </si>
  <si>
    <t>Heating and cooling equipment</t>
  </si>
  <si>
    <t>Jurgen Wirtgen</t>
  </si>
  <si>
    <t>Construction Vehicles</t>
  </si>
  <si>
    <t>Stefan Wirtgen</t>
  </si>
  <si>
    <t>Zhao Lixin</t>
  </si>
  <si>
    <t>Hongyi Zhou</t>
  </si>
  <si>
    <t>S. Daniel Abraham</t>
  </si>
  <si>
    <t>Slim-Fast</t>
  </si>
  <si>
    <t>S. Daniel Abraham Center for Middle East Peace</t>
  </si>
  <si>
    <t>Bill Alfond</t>
  </si>
  <si>
    <t>Susan Alfond</t>
  </si>
  <si>
    <t>Scarborough</t>
  </si>
  <si>
    <t>Ted Alfond</t>
  </si>
  <si>
    <t>Weston</t>
  </si>
  <si>
    <t>Riley Bechtel &amp; family</t>
  </si>
  <si>
    <t>Engineering, construction</t>
  </si>
  <si>
    <t>Bechtel Corp.</t>
  </si>
  <si>
    <t>former Chairman and CEO</t>
  </si>
  <si>
    <t>Thor Bjorgolfsson</t>
  </si>
  <si>
    <t>Iceland</t>
  </si>
  <si>
    <t>Charles Bronfman</t>
  </si>
  <si>
    <t>Vivek Chand Burman</t>
  </si>
  <si>
    <t>Herb Chambers</t>
  </si>
  <si>
    <t>Cheng Yixiao</t>
  </si>
  <si>
    <t>Video streaming app</t>
  </si>
  <si>
    <t>Andrew Cherng</t>
  </si>
  <si>
    <t>Peggy Cherng</t>
  </si>
  <si>
    <t>Leon G. Cooperman</t>
  </si>
  <si>
    <t>Omega Advisors, Inc.</t>
  </si>
  <si>
    <t>Yadu Hari Dalmia &amp; family</t>
  </si>
  <si>
    <t>Henry Davis</t>
  </si>
  <si>
    <t>Oleg Deripaska</t>
  </si>
  <si>
    <t>Aluminum, utilities</t>
  </si>
  <si>
    <t>Sergey Dmitriev</t>
  </si>
  <si>
    <t>Paralimni</t>
  </si>
  <si>
    <t xml:space="preserve">$24,564,647,935 </t>
  </si>
  <si>
    <t>Joseph Edelman</t>
  </si>
  <si>
    <t>Perceptive Advisors</t>
  </si>
  <si>
    <t>Sandeep Engineer</t>
  </si>
  <si>
    <t>Plastic pipes</t>
  </si>
  <si>
    <t>Alceu Elias Feldmann &amp; family</t>
  </si>
  <si>
    <t>Curitiba</t>
  </si>
  <si>
    <t>Serge Godin</t>
  </si>
  <si>
    <t>Westmount</t>
  </si>
  <si>
    <t>Information technology</t>
  </si>
  <si>
    <t>CGI Group</t>
  </si>
  <si>
    <t>Alec Gores</t>
  </si>
  <si>
    <t>Bill Haslam</t>
  </si>
  <si>
    <t>J. Tomilson Hill</t>
  </si>
  <si>
    <t>Jay-Z</t>
  </si>
  <si>
    <t>Music</t>
  </si>
  <si>
    <t>Baba Kalyani</t>
  </si>
  <si>
    <t>Saban Cemil Kazanci</t>
  </si>
  <si>
    <t>Brad Kelley</t>
  </si>
  <si>
    <t>Wolfgang Leitner</t>
  </si>
  <si>
    <t>Graz</t>
  </si>
  <si>
    <t>Li Hongxin &amp; family</t>
  </si>
  <si>
    <t>Yanzhou</t>
  </si>
  <si>
    <t>Paper &amp; related products</t>
  </si>
  <si>
    <t>Lin Chen-hai</t>
  </si>
  <si>
    <t>Lu Yiwen</t>
  </si>
  <si>
    <t>Prayudh Mahagitsiri</t>
  </si>
  <si>
    <t>Coffee, shipping</t>
  </si>
  <si>
    <t>Willy Michel</t>
  </si>
  <si>
    <t>Burgdorf</t>
  </si>
  <si>
    <t>Lachhman Das Mittal</t>
  </si>
  <si>
    <t>Tractors</t>
  </si>
  <si>
    <t>Bobby Murphy</t>
  </si>
  <si>
    <t>Tomas Olivo Lopez</t>
  </si>
  <si>
    <t>Marbella</t>
  </si>
  <si>
    <t>Eren Ozmen</t>
  </si>
  <si>
    <t>Aerospace</t>
  </si>
  <si>
    <t>John Pritzker</t>
  </si>
  <si>
    <t>Qiu Minxiu</t>
  </si>
  <si>
    <t>Shangyu</t>
  </si>
  <si>
    <t>Ferit Faik Sahenk</t>
  </si>
  <si>
    <t>Wenrong Shen</t>
  </si>
  <si>
    <t>Zhangjiagang</t>
  </si>
  <si>
    <t>Steel production</t>
  </si>
  <si>
    <t>Yuzhu Shi</t>
  </si>
  <si>
    <t>Online games, investments</t>
  </si>
  <si>
    <t>Jeff Sutton</t>
  </si>
  <si>
    <t>Henry Sy, Jr.</t>
  </si>
  <si>
    <t>Andrew Tan</t>
  </si>
  <si>
    <t>Arvind Tiku</t>
  </si>
  <si>
    <t>Byron Trott</t>
  </si>
  <si>
    <t>Donald Trump</t>
  </si>
  <si>
    <t>Peter Unger</t>
  </si>
  <si>
    <t>Neustadt an der Waldnaab</t>
  </si>
  <si>
    <t>Auto repair</t>
  </si>
  <si>
    <t>Roger Wang</t>
  </si>
  <si>
    <t>Nanjing</t>
  </si>
  <si>
    <t>Oprah Winfrey</t>
  </si>
  <si>
    <t>Montecito</t>
  </si>
  <si>
    <t>TV shows</t>
  </si>
  <si>
    <t>Entrepreneur, Personality, Philanthropist</t>
  </si>
  <si>
    <t>Wu Zhigang &amp; family</t>
  </si>
  <si>
    <t>Shenyang</t>
  </si>
  <si>
    <t>Bakery chain</t>
  </si>
  <si>
    <t>Xie Weitong</t>
  </si>
  <si>
    <t>Cobalt</t>
  </si>
  <si>
    <t>Ye Guofu</t>
  </si>
  <si>
    <t>Brian Acton</t>
  </si>
  <si>
    <t>Abdulla Al Futtaim &amp; family</t>
  </si>
  <si>
    <t>Auto dealers, investments</t>
  </si>
  <si>
    <t>Edward Bass</t>
  </si>
  <si>
    <t>Koos Bekker</t>
  </si>
  <si>
    <t>Media, investments</t>
  </si>
  <si>
    <t>Otto Philipp Braun</t>
  </si>
  <si>
    <t>Melsungen</t>
  </si>
  <si>
    <t>Medical technology</t>
  </si>
  <si>
    <t>Chen Tei-fu</t>
  </si>
  <si>
    <t>Herbal products</t>
  </si>
  <si>
    <t>Abilio dos Santos Diniz</t>
  </si>
  <si>
    <t>Marcel Erni</t>
  </si>
  <si>
    <t>Doris Fisher</t>
  </si>
  <si>
    <t>Gap</t>
  </si>
  <si>
    <t>Gap Inc.</t>
  </si>
  <si>
    <t>Gerald Ford</t>
  </si>
  <si>
    <t>Ford Financial Fund</t>
  </si>
  <si>
    <t>Managing Member</t>
  </si>
  <si>
    <t>Bernard Fraisse &amp; family</t>
  </si>
  <si>
    <t>Alfred Gantner</t>
  </si>
  <si>
    <t>Paul Gauselmann &amp; family</t>
  </si>
  <si>
    <t>Espelkamp</t>
  </si>
  <si>
    <t>Mitchell Goldhar</t>
  </si>
  <si>
    <t>North York</t>
  </si>
  <si>
    <t>SmartCentres</t>
  </si>
  <si>
    <t>Peter Hargreaves</t>
  </si>
  <si>
    <t>Bristol</t>
  </si>
  <si>
    <t>Xuande Hua &amp; family</t>
  </si>
  <si>
    <t>Taizhou</t>
  </si>
  <si>
    <t>Kwek Leng Kee</t>
  </si>
  <si>
    <t>Catherine Lozick</t>
  </si>
  <si>
    <t>Fort Lauderdale</t>
  </si>
  <si>
    <t>Valve manufacturing</t>
  </si>
  <si>
    <t>Kalanithi Maran</t>
  </si>
  <si>
    <t>Chennai</t>
  </si>
  <si>
    <t>Jed McCaleb</t>
  </si>
  <si>
    <t>Berkeley</t>
  </si>
  <si>
    <t>Cryptocurrency</t>
  </si>
  <si>
    <t>Fatih Ozmen</t>
  </si>
  <si>
    <t>Pan Laican</t>
  </si>
  <si>
    <t>foshan</t>
  </si>
  <si>
    <t>Tor Peterson</t>
  </si>
  <si>
    <t>Daniel Pritzker</t>
  </si>
  <si>
    <t>Marin County</t>
  </si>
  <si>
    <t>Jinxing Qi</t>
  </si>
  <si>
    <t>Qiu Jianping &amp; family</t>
  </si>
  <si>
    <t>Hand tools</t>
  </si>
  <si>
    <t>Rajan Raheja &amp; family</t>
  </si>
  <si>
    <t>Matthias Reinhart</t>
  </si>
  <si>
    <t>Arnout Schuijff</t>
  </si>
  <si>
    <t>Hans Sy</t>
  </si>
  <si>
    <t>Herbert Sy</t>
  </si>
  <si>
    <t>Lucio Tan</t>
  </si>
  <si>
    <t>Tsai Ming-kai</t>
  </si>
  <si>
    <t>Hsinchu</t>
  </si>
  <si>
    <t>Ted Turner</t>
  </si>
  <si>
    <t>David Walentas</t>
  </si>
  <si>
    <t>Urs Wietlisbach</t>
  </si>
  <si>
    <t>Jerry Yang</t>
  </si>
  <si>
    <t>Yang Jianliang &amp; family</t>
  </si>
  <si>
    <t>Machinery</t>
  </si>
  <si>
    <t>Yang Weidong &amp; family</t>
  </si>
  <si>
    <t>Mortimer Zuckerman</t>
  </si>
  <si>
    <t>Real estate, media</t>
  </si>
  <si>
    <t>Boston Properties</t>
  </si>
  <si>
    <t>John Armitage</t>
  </si>
  <si>
    <t>Egerton Capital</t>
  </si>
  <si>
    <t>Lee Bass</t>
  </si>
  <si>
    <t>John Bicket</t>
  </si>
  <si>
    <t>Sensor systems</t>
  </si>
  <si>
    <t>Sanjit Biswas</t>
  </si>
  <si>
    <t>Timothy Boyle</t>
  </si>
  <si>
    <t>Portland</t>
  </si>
  <si>
    <t>Columbia Sportswear</t>
  </si>
  <si>
    <t>Morris Chang</t>
  </si>
  <si>
    <t>Chao Teng-hsiung</t>
  </si>
  <si>
    <t>Samuel Chen</t>
  </si>
  <si>
    <t>Chu Lam Yiu</t>
  </si>
  <si>
    <t>K. Dinesh</t>
  </si>
  <si>
    <t>James Duff</t>
  </si>
  <si>
    <t>Hattiesburg</t>
  </si>
  <si>
    <t>Tires, diversified</t>
  </si>
  <si>
    <t>Thomas Duff</t>
  </si>
  <si>
    <t>Daniel Ek</t>
  </si>
  <si>
    <t>John Fisher</t>
  </si>
  <si>
    <t>Pisces, Inc.</t>
  </si>
  <si>
    <t>Georg Haub</t>
  </si>
  <si>
    <t>Erman Ilicak</t>
  </si>
  <si>
    <t>Ankara</t>
  </si>
  <si>
    <t>Justin Ishbia</t>
  </si>
  <si>
    <t>Long Jiang</t>
  </si>
  <si>
    <t>Bruce Karsh</t>
  </si>
  <si>
    <t>Oaktree Capital Group LLC</t>
  </si>
  <si>
    <t>Bom Kim</t>
  </si>
  <si>
    <t>Online retailing</t>
  </si>
  <si>
    <t>Coupang</t>
  </si>
  <si>
    <t>Jianping Lai</t>
  </si>
  <si>
    <t>Lam Kong</t>
  </si>
  <si>
    <t>Stephen Lansdown</t>
  </si>
  <si>
    <t>Guernsey</t>
  </si>
  <si>
    <t>St. Peter Port</t>
  </si>
  <si>
    <t>Kevin David Lehmann</t>
  </si>
  <si>
    <t>Li Haiyan</t>
  </si>
  <si>
    <t>Hua Li</t>
  </si>
  <si>
    <t>Lim Kok Thay</t>
  </si>
  <si>
    <t>Kishore Mariwala</t>
  </si>
  <si>
    <t>Clayton Mathile</t>
  </si>
  <si>
    <t>Brookville</t>
  </si>
  <si>
    <t>Pet food</t>
  </si>
  <si>
    <t>Mi Enhua</t>
  </si>
  <si>
    <t>Vadim Moshkovich</t>
  </si>
  <si>
    <t>Agriculture, land</t>
  </si>
  <si>
    <t>David Murdock</t>
  </si>
  <si>
    <t>Ventura</t>
  </si>
  <si>
    <t>Dole, real estate</t>
  </si>
  <si>
    <t>David Nahmad</t>
  </si>
  <si>
    <t>Lirio Parisotto</t>
  </si>
  <si>
    <t>Manaus</t>
  </si>
  <si>
    <t>Augusto Perfetti</t>
  </si>
  <si>
    <t>Giorgio Perfetti</t>
  </si>
  <si>
    <t>Alberto Prada</t>
  </si>
  <si>
    <t>Marina Prada</t>
  </si>
  <si>
    <t>Filiz Sahenk</t>
  </si>
  <si>
    <t>Richard Sands</t>
  </si>
  <si>
    <t>Stephan Schmidheiny</t>
  </si>
  <si>
    <t>Hurden</t>
  </si>
  <si>
    <t>Alberto Siccardi &amp; family</t>
  </si>
  <si>
    <t>Stefan Soloviev</t>
  </si>
  <si>
    <t>Real estate, grains</t>
  </si>
  <si>
    <t>Tang Yiu</t>
  </si>
  <si>
    <t>Tian Ming</t>
  </si>
  <si>
    <t>Measuring instruments</t>
  </si>
  <si>
    <t>T.Y. Tsai</t>
  </si>
  <si>
    <t>Jayshree Ullal</t>
  </si>
  <si>
    <t>Saratoga</t>
  </si>
  <si>
    <t>Computer networking</t>
  </si>
  <si>
    <t>Arista</t>
  </si>
  <si>
    <t>Georg von Opel</t>
  </si>
  <si>
    <t>Lang Walker</t>
  </si>
  <si>
    <t>Xicheng Wang &amp; family</t>
  </si>
  <si>
    <t>Zhaoyuan</t>
  </si>
  <si>
    <t>Wang Zhenhua</t>
  </si>
  <si>
    <t>Paul-Heinz Wesjohann &amp; family</t>
  </si>
  <si>
    <t>Rechterfeld</t>
  </si>
  <si>
    <t>Chicken processing</t>
  </si>
  <si>
    <t>Xie Bingkun &amp; family</t>
  </si>
  <si>
    <t>Pearlescent pigments</t>
  </si>
  <si>
    <t>Xu Shugen</t>
  </si>
  <si>
    <t>Construction, mining machinery</t>
  </si>
  <si>
    <t>Christoph Zeller</t>
  </si>
  <si>
    <t>Liechtenstein</t>
  </si>
  <si>
    <t>Vaduz</t>
  </si>
  <si>
    <t>Dental materials</t>
  </si>
  <si>
    <t xml:space="preserve">$6,552,858,739 </t>
  </si>
  <si>
    <t>Zhang Jingzhang &amp; family</t>
  </si>
  <si>
    <t>Precision machinery</t>
  </si>
  <si>
    <t>George Argyros &amp; family</t>
  </si>
  <si>
    <t>Arnel &amp; Affiliates</t>
  </si>
  <si>
    <t>Brian Armstrong</t>
  </si>
  <si>
    <t>Albert Avdolyan</t>
  </si>
  <si>
    <t>Oil, mining</t>
  </si>
  <si>
    <t>Sezai Bacaksiz</t>
  </si>
  <si>
    <t>Aneel Bhusri</t>
  </si>
  <si>
    <t>Brett Blundy</t>
  </si>
  <si>
    <t>Paradise Island</t>
  </si>
  <si>
    <t>Retail, agribusiness</t>
  </si>
  <si>
    <t>J. Hyatt Brown</t>
  </si>
  <si>
    <t>Ormond Beach</t>
  </si>
  <si>
    <t>Chen Jinxia</t>
  </si>
  <si>
    <t>Chen Xueli</t>
  </si>
  <si>
    <t>Weihai</t>
  </si>
  <si>
    <t>Dermot Desmond</t>
  </si>
  <si>
    <t>Dong Wei</t>
  </si>
  <si>
    <t>Tom Ford</t>
  </si>
  <si>
    <t>Fu Guangming &amp; family</t>
  </si>
  <si>
    <t>Nanping</t>
  </si>
  <si>
    <t>Poultry</t>
  </si>
  <si>
    <t>Noam Gottesman</t>
  </si>
  <si>
    <t>TOMS Capital</t>
  </si>
  <si>
    <t>Jeffrey Gundlach</t>
  </si>
  <si>
    <t>DoubleLine Capital</t>
  </si>
  <si>
    <t>Hao Hong</t>
  </si>
  <si>
    <t>Shmuel Harlap</t>
  </si>
  <si>
    <t>Hans-Werner Hector</t>
  </si>
  <si>
    <t>Weinheim</t>
  </si>
  <si>
    <t>SAP</t>
  </si>
  <si>
    <t>Lutz Mario Helmig &amp; family</t>
  </si>
  <si>
    <t>Grebenhain</t>
  </si>
  <si>
    <t>Chulong Huang</t>
  </si>
  <si>
    <t>Thomas James</t>
  </si>
  <si>
    <t>James Jannard</t>
  </si>
  <si>
    <t>San Juan Islands</t>
  </si>
  <si>
    <t>Sunglasses</t>
  </si>
  <si>
    <t>Willis Johnson</t>
  </si>
  <si>
    <t>Damaged cars</t>
  </si>
  <si>
    <t>Lai Shixian</t>
  </si>
  <si>
    <t>Chris Larsen</t>
  </si>
  <si>
    <t>Solomon Lew</t>
  </si>
  <si>
    <t>Liang Xinjun</t>
  </si>
  <si>
    <t>Harald Link</t>
  </si>
  <si>
    <t>Max Lytvyn</t>
  </si>
  <si>
    <t>Igor Makarov</t>
  </si>
  <si>
    <t>Howard Marks</t>
  </si>
  <si>
    <t>Charles Munger</t>
  </si>
  <si>
    <t>Vice Chairman</t>
  </si>
  <si>
    <t>Adam Neumann</t>
  </si>
  <si>
    <t>WeWork</t>
  </si>
  <si>
    <t>Thi Phuong Thao Nguyen</t>
  </si>
  <si>
    <t>Ho Chi Minh City</t>
  </si>
  <si>
    <t>Airlines</t>
  </si>
  <si>
    <t>Sovico Holdings</t>
  </si>
  <si>
    <t>Ni Yongpei &amp; family</t>
  </si>
  <si>
    <t>Liuan</t>
  </si>
  <si>
    <t>Heloise Pratt</t>
  </si>
  <si>
    <t>Manufacturing, investment</t>
  </si>
  <si>
    <t>Qi Xiangdong</t>
  </si>
  <si>
    <t>Phillip T. (Terry) Ragon</t>
  </si>
  <si>
    <t>Health IT</t>
  </si>
  <si>
    <t>Prathap Reddy</t>
  </si>
  <si>
    <t>Jerry Reinsdorf</t>
  </si>
  <si>
    <t>Sports teams</t>
  </si>
  <si>
    <t>Chad Richison</t>
  </si>
  <si>
    <t>Edmond</t>
  </si>
  <si>
    <t>Payroll processing</t>
  </si>
  <si>
    <t>Karl Scheufele, III. &amp; family</t>
  </si>
  <si>
    <t>Alice Schwartz</t>
  </si>
  <si>
    <t>El Cerrito</t>
  </si>
  <si>
    <t>Alex Shevchenko</t>
  </si>
  <si>
    <t>Kavitark Ram Shriram</t>
  </si>
  <si>
    <t>Menlo Park</t>
  </si>
  <si>
    <t>Venture capital, Google</t>
  </si>
  <si>
    <t>Sherpalo Ventures</t>
  </si>
  <si>
    <t>Jeffrey Soffer</t>
  </si>
  <si>
    <t>Aventura</t>
  </si>
  <si>
    <t>William Stone</t>
  </si>
  <si>
    <t>East Lyme</t>
  </si>
  <si>
    <t>Henry Swieca</t>
  </si>
  <si>
    <t>Talpion Fund Management</t>
  </si>
  <si>
    <t>Harley Sy</t>
  </si>
  <si>
    <t>Teresita Sy-Coson</t>
  </si>
  <si>
    <t>Katsumi Tada</t>
  </si>
  <si>
    <t>Tang Jinkui &amp; family</t>
  </si>
  <si>
    <t>Tang Xiao'ou</t>
  </si>
  <si>
    <t>Lottie Tham &amp; family</t>
  </si>
  <si>
    <t>Shamsheer Vayalil</t>
  </si>
  <si>
    <t>Radha Vembu</t>
  </si>
  <si>
    <t>Wang Wenmo</t>
  </si>
  <si>
    <t>Wang Zhenghua</t>
  </si>
  <si>
    <t>Budget airline</t>
  </si>
  <si>
    <t>David Wertheim</t>
  </si>
  <si>
    <t>Coca-Cola Israel</t>
  </si>
  <si>
    <t>Kai Wu</t>
  </si>
  <si>
    <t>Xu Yingzhuo</t>
  </si>
  <si>
    <t>Yeung Kin-man</t>
  </si>
  <si>
    <t>Huijiao Yu</t>
  </si>
  <si>
    <t>Shanghai YTO Express (Logistics)</t>
  </si>
  <si>
    <t>Oren Zeev</t>
  </si>
  <si>
    <t>Clayton Zekelman</t>
  </si>
  <si>
    <t>Zhao Fenggang</t>
  </si>
  <si>
    <t>Alex Beard</t>
  </si>
  <si>
    <t>Travis Boersma</t>
  </si>
  <si>
    <t>Grants Pass</t>
  </si>
  <si>
    <t>Martin Bouygues</t>
  </si>
  <si>
    <t>Construction, media</t>
  </si>
  <si>
    <t>Olivier Bouygues</t>
  </si>
  <si>
    <t>William Boyd &amp; family</t>
  </si>
  <si>
    <t>Casinos, banking</t>
  </si>
  <si>
    <t>Anand Burman</t>
  </si>
  <si>
    <t>Cao Ji</t>
  </si>
  <si>
    <t>Bruce Cheng</t>
  </si>
  <si>
    <t>Chi Yufeng</t>
  </si>
  <si>
    <t>Daniel Chiu</t>
  </si>
  <si>
    <t>Beda Diethelm</t>
  </si>
  <si>
    <t>Domenico Dolce</t>
  </si>
  <si>
    <t>Ralph Dommermuth</t>
  </si>
  <si>
    <t>Montabaur</t>
  </si>
  <si>
    <t>Internet service provider</t>
  </si>
  <si>
    <t>Georgi Domuschiev</t>
  </si>
  <si>
    <t>Animal health, investments</t>
  </si>
  <si>
    <t>Bulgaria</t>
  </si>
  <si>
    <t>Kiril Domuschiev</t>
  </si>
  <si>
    <t>Bob Ell</t>
  </si>
  <si>
    <t>Surfers Paradise</t>
  </si>
  <si>
    <t>Paul Foster</t>
  </si>
  <si>
    <t>El Paso</t>
  </si>
  <si>
    <t>Oil refining</t>
  </si>
  <si>
    <t>Western Refining</t>
  </si>
  <si>
    <t>Stefano Gabbana</t>
  </si>
  <si>
    <t>Xingjiang Gao</t>
  </si>
  <si>
    <t>Huzhou</t>
  </si>
  <si>
    <t>Gordon Getty</t>
  </si>
  <si>
    <t>Getty Oil</t>
  </si>
  <si>
    <t>Ann &amp; Gordon Getty Foundation</t>
  </si>
  <si>
    <t>Kamal Ghaffarian</t>
  </si>
  <si>
    <t>Space, energy</t>
  </si>
  <si>
    <t>Dennis Gillings</t>
  </si>
  <si>
    <t>Durham</t>
  </si>
  <si>
    <t>Clinical trials</t>
  </si>
  <si>
    <t>Harsh Goenka</t>
  </si>
  <si>
    <t>Sanjiv Goenka</t>
  </si>
  <si>
    <t>Jane Goldman</t>
  </si>
  <si>
    <t>Stein Erik Hagen</t>
  </si>
  <si>
    <t>Bahaa Hariri</t>
  </si>
  <si>
    <t>Hortensia Herrero</t>
  </si>
  <si>
    <t>Douglas Hsu</t>
  </si>
  <si>
    <t>Huang Min</t>
  </si>
  <si>
    <t>Jared Isaacman</t>
  </si>
  <si>
    <t>Easton</t>
  </si>
  <si>
    <t>Payment processing</t>
  </si>
  <si>
    <t>Eugene Kaspersky</t>
  </si>
  <si>
    <t>Artem Khachatryan</t>
  </si>
  <si>
    <t>Limassol</t>
  </si>
  <si>
    <t>Andrei Krivenko</t>
  </si>
  <si>
    <t>Thomas Kwok</t>
  </si>
  <si>
    <t>Lam Wai-ying</t>
  </si>
  <si>
    <t>Biel Crystal</t>
  </si>
  <si>
    <t>Marc Lasry</t>
  </si>
  <si>
    <t>Avenue Capital Group</t>
  </si>
  <si>
    <t>Christian Latouche &amp; family</t>
  </si>
  <si>
    <t>Accounting services</t>
  </si>
  <si>
    <t>Theodore Leonsis</t>
  </si>
  <si>
    <t>Lin Chang Su-O</t>
  </si>
  <si>
    <t>Liu Chengyu &amp; family</t>
  </si>
  <si>
    <t>Power supply equipment</t>
  </si>
  <si>
    <t>Sergey Lomakin</t>
  </si>
  <si>
    <t>Paphos</t>
  </si>
  <si>
    <t>Daniel Lubetzky</t>
  </si>
  <si>
    <t>Snack bars</t>
  </si>
  <si>
    <t>Melissa Ma</t>
  </si>
  <si>
    <t>Anand Mahindra</t>
  </si>
  <si>
    <t>Rafique Malik</t>
  </si>
  <si>
    <t>Footwear</t>
  </si>
  <si>
    <t>Katarina Martinson</t>
  </si>
  <si>
    <t>Kiran Mazumdar-Shaw</t>
  </si>
  <si>
    <t>Biocon</t>
  </si>
  <si>
    <t>Nirmal Minda</t>
  </si>
  <si>
    <t>Gurgaon</t>
  </si>
  <si>
    <t>Mu Rongjun</t>
  </si>
  <si>
    <t>Eugene Murtagh</t>
  </si>
  <si>
    <t>Kingscourt</t>
  </si>
  <si>
    <t>Alexander Nesis</t>
  </si>
  <si>
    <t>Metals, banking, fertilizers</t>
  </si>
  <si>
    <t>Zugen Ni</t>
  </si>
  <si>
    <t>Appliances</t>
  </si>
  <si>
    <t>Florentino Perez</t>
  </si>
  <si>
    <t>Victor Pinchuk</t>
  </si>
  <si>
    <t>Kiev</t>
  </si>
  <si>
    <t>Steel pipes, diversified</t>
  </si>
  <si>
    <t>Leonid Radvinsky</t>
  </si>
  <si>
    <t>Raveendran Byju</t>
  </si>
  <si>
    <t>Education technology</t>
  </si>
  <si>
    <t>P.P. Reddy</t>
  </si>
  <si>
    <t>Infrastructure</t>
  </si>
  <si>
    <t>Richard Saghian</t>
  </si>
  <si>
    <t>Fast fashion</t>
  </si>
  <si>
    <t>Shi Yifeng</t>
  </si>
  <si>
    <t>Medical cosmetics</t>
  </si>
  <si>
    <t>Thaksin Shinawatra</t>
  </si>
  <si>
    <t>Shu Ping</t>
  </si>
  <si>
    <t>Timothy Springer</t>
  </si>
  <si>
    <t>Chestnut Hill</t>
  </si>
  <si>
    <t>Venu Srinivasan</t>
  </si>
  <si>
    <t>Two-wheelers</t>
  </si>
  <si>
    <t>Edward Stack</t>
  </si>
  <si>
    <t>Sewickley</t>
  </si>
  <si>
    <t>Dick's Sporting Goods</t>
  </si>
  <si>
    <t>Sun Mengquan &amp; family</t>
  </si>
  <si>
    <t>Yantai</t>
  </si>
  <si>
    <t>Edible oil</t>
  </si>
  <si>
    <t>Alexander Svetakov</t>
  </si>
  <si>
    <t>Torsten Toeller</t>
  </si>
  <si>
    <t>Krefeld</t>
  </si>
  <si>
    <t>Barbara Tyson</t>
  </si>
  <si>
    <t>Hamdi Ulukaya</t>
  </si>
  <si>
    <t>Norwich</t>
  </si>
  <si>
    <t>Greek yogurt</t>
  </si>
  <si>
    <t>Chobani</t>
  </si>
  <si>
    <t>Wang Linpeng</t>
  </si>
  <si>
    <t>Furniture retailing</t>
  </si>
  <si>
    <t>Wei Ing-Chou</t>
  </si>
  <si>
    <t>Wei Yin-Chun</t>
  </si>
  <si>
    <t>Wei Yin-Heng</t>
  </si>
  <si>
    <t>Wei Ying-Chiao</t>
  </si>
  <si>
    <t>Elaine Wynn</t>
  </si>
  <si>
    <t>Wynn Las Vegas, LLC</t>
  </si>
  <si>
    <t>Board Member</t>
  </si>
  <si>
    <t>Xu Xudong &amp; family</t>
  </si>
  <si>
    <t>Michael Ying</t>
  </si>
  <si>
    <t>Yu Qibing &amp; family</t>
  </si>
  <si>
    <t>Yuan Fugen &amp; family</t>
  </si>
  <si>
    <t>Metal processing</t>
  </si>
  <si>
    <t>Zhang Ning &amp; family</t>
  </si>
  <si>
    <t>Zhao Tao</t>
  </si>
  <si>
    <t>Anu Aga</t>
  </si>
  <si>
    <t>Mohamed Al Fayed</t>
  </si>
  <si>
    <t>Andrey Andreev</t>
  </si>
  <si>
    <t>Online dating</t>
  </si>
  <si>
    <t>Michael Ashcroft</t>
  </si>
  <si>
    <t>Turks and Caicos Islands</t>
  </si>
  <si>
    <t>Security</t>
  </si>
  <si>
    <t>Pavel Baudis</t>
  </si>
  <si>
    <t>Wilhelm Beier &amp; family</t>
  </si>
  <si>
    <t>Cao Jianwei</t>
  </si>
  <si>
    <t>Huwen Chen</t>
  </si>
  <si>
    <t>Stationery</t>
  </si>
  <si>
    <t>Phongthep Chiaravanont</t>
  </si>
  <si>
    <t>Dou Zhenggang</t>
  </si>
  <si>
    <t>Energy, chemicals</t>
  </si>
  <si>
    <t>Maria Franca Fissolo</t>
  </si>
  <si>
    <t>William Franke</t>
  </si>
  <si>
    <t>Low-cost airlines</t>
  </si>
  <si>
    <t>Mario Germano Giuliani</t>
  </si>
  <si>
    <t>Amy Goldman Fowler</t>
  </si>
  <si>
    <t>Rhinebeck</t>
  </si>
  <si>
    <t>John Hancock</t>
  </si>
  <si>
    <t>Hu Yangzhong</t>
  </si>
  <si>
    <t>Huang Dawen</t>
  </si>
  <si>
    <t>Silicon</t>
  </si>
  <si>
    <t>Huang Qiaoling</t>
  </si>
  <si>
    <t>Amusement parks</t>
  </si>
  <si>
    <t>Rajiv Jain</t>
  </si>
  <si>
    <t>Michael Jordan</t>
  </si>
  <si>
    <t>Jupiter</t>
  </si>
  <si>
    <t>Charlotte Hornets, endorsements</t>
  </si>
  <si>
    <t>Diane Kemper</t>
  </si>
  <si>
    <t>Shlomo Kramer</t>
  </si>
  <si>
    <t>Heikki Kyostila</t>
  </si>
  <si>
    <t>Helsinki</t>
  </si>
  <si>
    <t>Dental products</t>
  </si>
  <si>
    <t>Martin Lau</t>
  </si>
  <si>
    <t>Li Min</t>
  </si>
  <si>
    <t>Semiconductor</t>
  </si>
  <si>
    <t>Liang Rubo</t>
  </si>
  <si>
    <t>Liang Zhaoxian</t>
  </si>
  <si>
    <t>Lin Fanlian</t>
  </si>
  <si>
    <t>Linyi</t>
  </si>
  <si>
    <t>Energy, real estate</t>
  </si>
  <si>
    <t>Aloke Lohia</t>
  </si>
  <si>
    <t>Bill Malhotra</t>
  </si>
  <si>
    <t>Alexander Mamut</t>
  </si>
  <si>
    <t>Craig McCaw</t>
  </si>
  <si>
    <t>Cunhui Nan</t>
  </si>
  <si>
    <t>Power equipment</t>
  </si>
  <si>
    <t>Tengyun Nie &amp; family</t>
  </si>
  <si>
    <t>Oei Hong Leong</t>
  </si>
  <si>
    <t>Clive Palmer</t>
  </si>
  <si>
    <t>Brisbane</t>
  </si>
  <si>
    <t>Matthew Prince</t>
  </si>
  <si>
    <t>Park City</t>
  </si>
  <si>
    <t>Linda Pritzker</t>
  </si>
  <si>
    <t>P.V. Krishna Reddy</t>
  </si>
  <si>
    <t>Bianca Rinehart</t>
  </si>
  <si>
    <t>Ginia Rinehart</t>
  </si>
  <si>
    <t>T. Denny Sanford</t>
  </si>
  <si>
    <t>Sioux Falls</t>
  </si>
  <si>
    <t>Banking, credit cards</t>
  </si>
  <si>
    <t>Bhadresh Shah</t>
  </si>
  <si>
    <t>Zygmunt Solorz-Zak</t>
  </si>
  <si>
    <t>Warsaw</t>
  </si>
  <si>
    <t>TV broadcasting</t>
  </si>
  <si>
    <t>Michal Strnad</t>
  </si>
  <si>
    <t>Defense Contracting</t>
  </si>
  <si>
    <t>Sylvia Stroeher</t>
  </si>
  <si>
    <t>Darmstadt</t>
  </si>
  <si>
    <t>Otto Toto Sugiri</t>
  </si>
  <si>
    <t>Data centers</t>
  </si>
  <si>
    <t>Larry Tanenbaum</t>
  </si>
  <si>
    <t>Wichai Thongtang</t>
  </si>
  <si>
    <t>Ion Tiriac</t>
  </si>
  <si>
    <t>Romania</t>
  </si>
  <si>
    <t>Bucharest</t>
  </si>
  <si>
    <t>Banking, insurance</t>
  </si>
  <si>
    <t xml:space="preserve">$250,077,444,017 </t>
  </si>
  <si>
    <t>Hope Welker</t>
  </si>
  <si>
    <t>William Young</t>
  </si>
  <si>
    <t>Ypsilanti</t>
  </si>
  <si>
    <t>Plastics</t>
  </si>
  <si>
    <t>Ales Zavoral</t>
  </si>
  <si>
    <t>Zhang Fan</t>
  </si>
  <si>
    <t>Touch screens</t>
  </si>
  <si>
    <t>Shilong Zhang &amp; family</t>
  </si>
  <si>
    <t>Zhang Wanzhen</t>
  </si>
  <si>
    <t>Chaozhou</t>
  </si>
  <si>
    <t>Hongfei Zhao</t>
  </si>
  <si>
    <t>Zhou Jian</t>
  </si>
  <si>
    <t>Solar energy equipment</t>
  </si>
  <si>
    <t>Zhu Yiwen &amp; family</t>
  </si>
  <si>
    <t>Roberto Angelini Rossi</t>
  </si>
  <si>
    <t>Forestry, mining</t>
  </si>
  <si>
    <t>Mika Anttonen</t>
  </si>
  <si>
    <t>David Blitzer</t>
  </si>
  <si>
    <t>Julio Bozano</t>
  </si>
  <si>
    <t>Nikolai Buinov</t>
  </si>
  <si>
    <t>Irkutsk</t>
  </si>
  <si>
    <t>Nicola Bulgari</t>
  </si>
  <si>
    <t>Howard Butt, III. &amp; family</t>
  </si>
  <si>
    <t>Stephen Butt &amp; family</t>
  </si>
  <si>
    <t>Jianxing Che</t>
  </si>
  <si>
    <t>Huxiong Chen</t>
  </si>
  <si>
    <t>Chen Qiongxiang</t>
  </si>
  <si>
    <t>Chen Zhisong</t>
  </si>
  <si>
    <t>Communication equipment</t>
  </si>
  <si>
    <t>Manas Chiaravanond</t>
  </si>
  <si>
    <t>Prathip Chiravanond</t>
  </si>
  <si>
    <t>Alexandra Daitch</t>
  </si>
  <si>
    <t>Old Lyme</t>
  </si>
  <si>
    <t>Sol Daurella</t>
  </si>
  <si>
    <t>Coca-Cola bottler</t>
  </si>
  <si>
    <t>Mark Davis</t>
  </si>
  <si>
    <t>Las Vegas Raiders</t>
  </si>
  <si>
    <t>James Dinan</t>
  </si>
  <si>
    <t>North Salem</t>
  </si>
  <si>
    <t>York Capital Management</t>
  </si>
  <si>
    <t>Dong Fan</t>
  </si>
  <si>
    <t>Zhuhai</t>
  </si>
  <si>
    <t>Fritz Draexlmaier</t>
  </si>
  <si>
    <t>Landshut</t>
  </si>
  <si>
    <t>Bulent Eczacibasi</t>
  </si>
  <si>
    <t>Pharmaceuticals, diversified</t>
  </si>
  <si>
    <t>Faruk Eczacibasi</t>
  </si>
  <si>
    <t>Eduardo Eurnekian</t>
  </si>
  <si>
    <t>Airports, investments</t>
  </si>
  <si>
    <t>David Fong</t>
  </si>
  <si>
    <t>Guo Zhenyu &amp; family</t>
  </si>
  <si>
    <t>Kunming</t>
  </si>
  <si>
    <t>Surjit Kumar Gupta</t>
  </si>
  <si>
    <t>Caroline Hagen Kjos</t>
  </si>
  <si>
    <t>Wollerau</t>
  </si>
  <si>
    <t>Roberto Hernandez Ramirez</t>
  </si>
  <si>
    <t>Banking, investments</t>
  </si>
  <si>
    <t>Reid Hoffman</t>
  </si>
  <si>
    <t>LinkedIn</t>
  </si>
  <si>
    <t>Greylock</t>
  </si>
  <si>
    <t>Partner</t>
  </si>
  <si>
    <t>Hu Rongda &amp; family</t>
  </si>
  <si>
    <t>Jinhua</t>
  </si>
  <si>
    <t>B. Wayne Hughes, Jr.</t>
  </si>
  <si>
    <t>Storage facilities</t>
  </si>
  <si>
    <t>Hui Wing Mau</t>
  </si>
  <si>
    <t>Scott Kapnick</t>
  </si>
  <si>
    <t>Richard Kayne</t>
  </si>
  <si>
    <t>Santa Monica</t>
  </si>
  <si>
    <t>Dominika Kulczyk</t>
  </si>
  <si>
    <t>Edward Lampert</t>
  </si>
  <si>
    <t>Sears</t>
  </si>
  <si>
    <t>ESL Investments Inc.</t>
  </si>
  <si>
    <t>Somsri Lamsam</t>
  </si>
  <si>
    <t>James Leprino</t>
  </si>
  <si>
    <t>Indian Hills</t>
  </si>
  <si>
    <t>Leprino Foods</t>
  </si>
  <si>
    <t>David Lichtenstein</t>
  </si>
  <si>
    <t>Monsey</t>
  </si>
  <si>
    <t>Lin Dingqiang &amp; family</t>
  </si>
  <si>
    <t>Sarah MacMillan</t>
  </si>
  <si>
    <t>Strive Masiyiwa</t>
  </si>
  <si>
    <t>Zimbabwe</t>
  </si>
  <si>
    <t>Robert Miller</t>
  </si>
  <si>
    <t>Simon Nixon</t>
  </si>
  <si>
    <t>St. Brelade, Jersey</t>
  </si>
  <si>
    <t>Price comparison website</t>
  </si>
  <si>
    <t>Kentaro Ogawa</t>
  </si>
  <si>
    <t>Ajay Parekh</t>
  </si>
  <si>
    <t>Narendrakumar Parekh</t>
  </si>
  <si>
    <t>Jennifer Pritzker</t>
  </si>
  <si>
    <t>Tawani Enterprises</t>
  </si>
  <si>
    <t>G. Rajendran</t>
  </si>
  <si>
    <t>Jewellery</t>
  </si>
  <si>
    <t>Ren Jianhua</t>
  </si>
  <si>
    <t>Larry Robbins</t>
  </si>
  <si>
    <t>Alpine</t>
  </si>
  <si>
    <t>Glenview Capital Management</t>
  </si>
  <si>
    <t>Dwight Schar</t>
  </si>
  <si>
    <t>Homebuilding, NFL team</t>
  </si>
  <si>
    <t>Shao Jianxiong</t>
  </si>
  <si>
    <t>Photovoltaics</t>
  </si>
  <si>
    <t>Qinxiang Shao</t>
  </si>
  <si>
    <t>Hua Shen</t>
  </si>
  <si>
    <t>Shi Wen-long</t>
  </si>
  <si>
    <t>Tainan</t>
  </si>
  <si>
    <t>Peter Sondakh</t>
  </si>
  <si>
    <t>Surabaya</t>
  </si>
  <si>
    <t>Lucy Stitzer</t>
  </si>
  <si>
    <t>Elizabeth Sy</t>
  </si>
  <si>
    <t>Hermanto Tanoko</t>
  </si>
  <si>
    <t>Mehmet Sinan Tara</t>
  </si>
  <si>
    <t>Masateru Uno &amp; family</t>
  </si>
  <si>
    <t>Fukuoka</t>
  </si>
  <si>
    <t>Vardis Vardinoyannis &amp; family</t>
  </si>
  <si>
    <t>Athens</t>
  </si>
  <si>
    <t>Oil and gas</t>
  </si>
  <si>
    <t>Jitendra Virwani</t>
  </si>
  <si>
    <t>Wang Chaobin</t>
  </si>
  <si>
    <t>Zhengzhou</t>
  </si>
  <si>
    <t>Wang Ren-sheng</t>
  </si>
  <si>
    <t>Charlotte Colket Weber</t>
  </si>
  <si>
    <t>Xie Juhua &amp; family</t>
  </si>
  <si>
    <t>Chuanhua Xu &amp; family</t>
  </si>
  <si>
    <t>Chemicals, logistics</t>
  </si>
  <si>
    <t>Transfar Group</t>
  </si>
  <si>
    <t>Gavril Yushvaev &amp; family</t>
  </si>
  <si>
    <t>Precious metals, real estate</t>
  </si>
  <si>
    <t>Zhang Hongwei</t>
  </si>
  <si>
    <t>Oil, banking</t>
  </si>
  <si>
    <t>Anita Zucker</t>
  </si>
  <si>
    <t>Cameron Adams</t>
  </si>
  <si>
    <t>Will Adderley</t>
  </si>
  <si>
    <t>Faisal Bin Qassim Al Thani</t>
  </si>
  <si>
    <t>Qatar</t>
  </si>
  <si>
    <t>Doha</t>
  </si>
  <si>
    <t>Hotels, diversified</t>
  </si>
  <si>
    <t xml:space="preserve">$183,466,208,791 </t>
  </si>
  <si>
    <t>Leslie Alexander</t>
  </si>
  <si>
    <t>Sports team</t>
  </si>
  <si>
    <t>Masaaki Arai</t>
  </si>
  <si>
    <t>Home sales</t>
  </si>
  <si>
    <t>Sabrina Benetton</t>
  </si>
  <si>
    <t>Sanjeev Bikhchandani</t>
  </si>
  <si>
    <t>Internet</t>
  </si>
  <si>
    <t>O. Francis Biondi</t>
  </si>
  <si>
    <t>Alejandro Bulgheroni</t>
  </si>
  <si>
    <t>Uruguay</t>
  </si>
  <si>
    <t>Manantiales</t>
  </si>
  <si>
    <t xml:space="preserve">$56,045,912,952 </t>
  </si>
  <si>
    <t>R.G. Chandramogan</t>
  </si>
  <si>
    <t>Binod Chaudhary</t>
  </si>
  <si>
    <t>Nepal</t>
  </si>
  <si>
    <t>Kathmandu</t>
  </si>
  <si>
    <t xml:space="preserve">$30,641,380,604 </t>
  </si>
  <si>
    <t>Parker Conrad</t>
  </si>
  <si>
    <t>Tim Cook</t>
  </si>
  <si>
    <t>Cupertino</t>
  </si>
  <si>
    <t>Apple</t>
  </si>
  <si>
    <t>Mark Coombs</t>
  </si>
  <si>
    <t>John de Mol</t>
  </si>
  <si>
    <t>Blaricum</t>
  </si>
  <si>
    <t>TV programs</t>
  </si>
  <si>
    <t>D. Leopoldo Del Pino</t>
  </si>
  <si>
    <t>Diao Zhizhong</t>
  </si>
  <si>
    <t>Robert Duggan</t>
  </si>
  <si>
    <t>James France</t>
  </si>
  <si>
    <t>Daytona Beach</t>
  </si>
  <si>
    <t>Nascar, racing</t>
  </si>
  <si>
    <t>Phillip Frost</t>
  </si>
  <si>
    <t>Jayme Garfinkel &amp; family</t>
  </si>
  <si>
    <t>Christopher Goldsbury</t>
  </si>
  <si>
    <t>Salsa</t>
  </si>
  <si>
    <t>Silver Ventures</t>
  </si>
  <si>
    <t>Yusuf Hamied</t>
  </si>
  <si>
    <t>Brian Higgins</t>
  </si>
  <si>
    <t>King Street Capital Management</t>
  </si>
  <si>
    <t>Wei Huang</t>
  </si>
  <si>
    <t>Yintai Jiang &amp; family</t>
  </si>
  <si>
    <t>Lei Jin</t>
  </si>
  <si>
    <t>Changchun</t>
  </si>
  <si>
    <t>Jin Lei &amp; family</t>
  </si>
  <si>
    <t>Valentin Kipyatkov</t>
  </si>
  <si>
    <t>Peyia</t>
  </si>
  <si>
    <t>Koo Kwang-mo</t>
  </si>
  <si>
    <t>LG</t>
  </si>
  <si>
    <t>George Kurtz</t>
  </si>
  <si>
    <t>Joe Lacob</t>
  </si>
  <si>
    <t>Golden State Warriors</t>
  </si>
  <si>
    <t>Joe Lau</t>
  </si>
  <si>
    <t>Stanford</t>
  </si>
  <si>
    <t>Blockchain, technology</t>
  </si>
  <si>
    <t>Louise Lindh</t>
  </si>
  <si>
    <t>Luo Yangyong &amp; family</t>
  </si>
  <si>
    <t>Panzhihua</t>
  </si>
  <si>
    <t>Joao Roberto Marinho</t>
  </si>
  <si>
    <t>Jose Roberto Marinho</t>
  </si>
  <si>
    <t>Roberto Irineu Marinho</t>
  </si>
  <si>
    <t>Gary Michelson</t>
  </si>
  <si>
    <t>Medical patents</t>
  </si>
  <si>
    <t>Robert G. Miller</t>
  </si>
  <si>
    <t>Future Electronics</t>
  </si>
  <si>
    <t>David Mindus</t>
  </si>
  <si>
    <t>Adriaan Mol</t>
  </si>
  <si>
    <t>Mofatraj Munot</t>
  </si>
  <si>
    <t>Ezra Nahmad</t>
  </si>
  <si>
    <t>Art</t>
  </si>
  <si>
    <t>Satyanarayan Nuwal</t>
  </si>
  <si>
    <t>Nagpur</t>
  </si>
  <si>
    <t>Industrial explosives</t>
  </si>
  <si>
    <t>Maike Oberwelland-Height</t>
  </si>
  <si>
    <t>Nihat Ozdemir</t>
  </si>
  <si>
    <t>Benjamin Zhengmin Pan &amp; family</t>
  </si>
  <si>
    <t>Pierre Karl PÃ©ladeau</t>
  </si>
  <si>
    <t>Ronald Perelman</t>
  </si>
  <si>
    <t>Leveraged buyouts</t>
  </si>
  <si>
    <t>Olivier Pomel</t>
  </si>
  <si>
    <t>Cloud computing</t>
  </si>
  <si>
    <t>Datadog</t>
  </si>
  <si>
    <t>Krit Ratanarak</t>
  </si>
  <si>
    <t>Media, real estate</t>
  </si>
  <si>
    <t>Vinod Saraf</t>
  </si>
  <si>
    <t>Karin Schick</t>
  </si>
  <si>
    <t>Gaildorf</t>
  </si>
  <si>
    <t>Anatoly Sedykh</t>
  </si>
  <si>
    <t>Steel pipes</t>
  </si>
  <si>
    <t>Genhuo Shao</t>
  </si>
  <si>
    <t>Shen Xiqiang &amp; family</t>
  </si>
  <si>
    <t>Yixing</t>
  </si>
  <si>
    <t>Chemical</t>
  </si>
  <si>
    <t>S.D. Shibulal</t>
  </si>
  <si>
    <t>Suh Kyung-bae</t>
  </si>
  <si>
    <t>Amorepacific Corp. (New)</t>
  </si>
  <si>
    <t>Bambang Sutantio</t>
  </si>
  <si>
    <t>Dairy &amp; consumer products</t>
  </si>
  <si>
    <t>Sze Man Bok</t>
  </si>
  <si>
    <t>Jinjiang</t>
  </si>
  <si>
    <t>Hygiene products</t>
  </si>
  <si>
    <t>Jim Thompson</t>
  </si>
  <si>
    <t>Tran Dinh Long</t>
  </si>
  <si>
    <t>Alan Trefler</t>
  </si>
  <si>
    <t>Riaz Valani</t>
  </si>
  <si>
    <t>Pieter van der Does</t>
  </si>
  <si>
    <t>Martin Viessmann</t>
  </si>
  <si>
    <t>Allendorf</t>
  </si>
  <si>
    <t>Nikil Viswanathan</t>
  </si>
  <si>
    <t>Blockchain technology</t>
  </si>
  <si>
    <t>Todd Wagner</t>
  </si>
  <si>
    <t>Evan Williams</t>
  </si>
  <si>
    <t>Cofounder and Director</t>
  </si>
  <si>
    <t>Kie Chie Wong</t>
  </si>
  <si>
    <t>Thomas Wu</t>
  </si>
  <si>
    <t>Wu Yingming</t>
  </si>
  <si>
    <t>Amy Wyss</t>
  </si>
  <si>
    <t>Yan Zhi</t>
  </si>
  <si>
    <t>Yoshiaki Yoshida</t>
  </si>
  <si>
    <t>cosmetics</t>
  </si>
  <si>
    <t>Alan Zekelman</t>
  </si>
  <si>
    <t>Zhang Li</t>
  </si>
  <si>
    <t>Amy Adams Strunk</t>
  </si>
  <si>
    <t>Tennessee Titans</t>
  </si>
  <si>
    <t>Marc Andreessen</t>
  </si>
  <si>
    <t>Venture capital investing</t>
  </si>
  <si>
    <t>Andreessen Horowitz</t>
  </si>
  <si>
    <t>Giovanni Arvedi</t>
  </si>
  <si>
    <t>Cremona</t>
  </si>
  <si>
    <t>Lesley Bamberger</t>
  </si>
  <si>
    <t>Bang Si-hyuk</t>
  </si>
  <si>
    <t>David Booth</t>
  </si>
  <si>
    <t>Mutual funds</t>
  </si>
  <si>
    <t>Dimensional Fund Advisors</t>
  </si>
  <si>
    <t>Jim Breyer</t>
  </si>
  <si>
    <t>Breyer Capital</t>
  </si>
  <si>
    <t>Chen Kaichen</t>
  </si>
  <si>
    <t>Kommer Damen</t>
  </si>
  <si>
    <t>Gorinchem</t>
  </si>
  <si>
    <t>Shipbuilding</t>
  </si>
  <si>
    <t>Carl DeSantis</t>
  </si>
  <si>
    <t>Energy drink</t>
  </si>
  <si>
    <t>Marek Dospiva</t>
  </si>
  <si>
    <t>Keith Dunleavy &amp; family</t>
  </si>
  <si>
    <t>Annapolis</t>
  </si>
  <si>
    <t>John Elkann</t>
  </si>
  <si>
    <t>Turin</t>
  </si>
  <si>
    <t>FIAT, investments</t>
  </si>
  <si>
    <t>Francois Feuillet &amp; family</t>
  </si>
  <si>
    <t>Motorhomes, RVs</t>
  </si>
  <si>
    <t>Yasuhiro Fukushima</t>
  </si>
  <si>
    <t>Mario Gabelli</t>
  </si>
  <si>
    <t>Rolf Gerling</t>
  </si>
  <si>
    <t>John Goff</t>
  </si>
  <si>
    <t>Alexandre Grendene Bartelle</t>
  </si>
  <si>
    <t>Porto Alegre</t>
  </si>
  <si>
    <t>Gerry Harvey</t>
  </si>
  <si>
    <t>He Zhaoxi</t>
  </si>
  <si>
    <t>William Heinecke</t>
  </si>
  <si>
    <t>Jay Hennick</t>
  </si>
  <si>
    <t>Real estate finance</t>
  </si>
  <si>
    <t>Ilkka Herlin</t>
  </si>
  <si>
    <t>Asok Kumar Hiranandani</t>
  </si>
  <si>
    <t>Hal Jackman</t>
  </si>
  <si>
    <t>Insurance, investments</t>
  </si>
  <si>
    <t>Pavan Jain</t>
  </si>
  <si>
    <t>Keeree Kanjanapas</t>
  </si>
  <si>
    <t>Transportation</t>
  </si>
  <si>
    <t>Osman Kibar</t>
  </si>
  <si>
    <t>La Jolla</t>
  </si>
  <si>
    <t>Samumed</t>
  </si>
  <si>
    <t>Kim Chang-soo</t>
  </si>
  <si>
    <t>Kim Jung-min</t>
  </si>
  <si>
    <t>Online gaming</t>
  </si>
  <si>
    <t>Kim Jung-youn</t>
  </si>
  <si>
    <t>Mustafa Kucuk</t>
  </si>
  <si>
    <t>Christopher Kwok</t>
  </si>
  <si>
    <t>Edward Kwok</t>
  </si>
  <si>
    <t>Lai Jianfa</t>
  </si>
  <si>
    <t>Express delivery</t>
  </si>
  <si>
    <t>Lau Cho Kun</t>
  </si>
  <si>
    <t>Tawau, Sabah</t>
  </si>
  <si>
    <t>Alexis LÃª-QuÃ´c</t>
  </si>
  <si>
    <t>Lei Jufang</t>
  </si>
  <si>
    <t>Lanzhou</t>
  </si>
  <si>
    <t>James Leininger</t>
  </si>
  <si>
    <t>Medical products</t>
  </si>
  <si>
    <t>Xuhui Li</t>
  </si>
  <si>
    <t>Jimmy John Liautaud</t>
  </si>
  <si>
    <t>Key Largo</t>
  </si>
  <si>
    <t>Sandwich chain</t>
  </si>
  <si>
    <t>Lin Lairong &amp; family</t>
  </si>
  <si>
    <t>Bayannur</t>
  </si>
  <si>
    <t>Iron ore mining</t>
  </si>
  <si>
    <t>Lu Di</t>
  </si>
  <si>
    <t>Palmer Luckey</t>
  </si>
  <si>
    <t>Virtual reality</t>
  </si>
  <si>
    <t>Oculus VR</t>
  </si>
  <si>
    <t>Duncan MacMillan</t>
  </si>
  <si>
    <t>Princeton</t>
  </si>
  <si>
    <t>Yusaku Maezawa</t>
  </si>
  <si>
    <t>Chiba</t>
  </si>
  <si>
    <t>Ilson Mateus &amp; family</t>
  </si>
  <si>
    <t>Sao Luis</t>
  </si>
  <si>
    <t>Meng Qingshan &amp; family</t>
  </si>
  <si>
    <t>Alberto Palatchi</t>
  </si>
  <si>
    <t>Wedding dresses</t>
  </si>
  <si>
    <t>Mrudula Parekh</t>
  </si>
  <si>
    <t>Dragos Paval</t>
  </si>
  <si>
    <t>Bacau</t>
  </si>
  <si>
    <t>Jorge Perez</t>
  </si>
  <si>
    <t>Dmitry Pumpyansky</t>
  </si>
  <si>
    <t>Jinsheng Ren &amp; family</t>
  </si>
  <si>
    <t>Pharmaceutical</t>
  </si>
  <si>
    <t>Brian Roberts</t>
  </si>
  <si>
    <t>Comcast</t>
  </si>
  <si>
    <t>Joe Rogers, Jr.</t>
  </si>
  <si>
    <t>Waffle House</t>
  </si>
  <si>
    <t>Ruan Shuilong &amp; family</t>
  </si>
  <si>
    <t>Paul Saville</t>
  </si>
  <si>
    <t>Homebuilder</t>
  </si>
  <si>
    <t>Ivan Savvidis &amp; family</t>
  </si>
  <si>
    <t>Rostov-on-Don</t>
  </si>
  <si>
    <t>Keiichi Shibahara</t>
  </si>
  <si>
    <t>Rajju Shroff</t>
  </si>
  <si>
    <t>Sun Huaiqing &amp; family</t>
  </si>
  <si>
    <t>Alain Taravella</t>
  </si>
  <si>
    <t>Real estate development</t>
  </si>
  <si>
    <t>Jonathan Tisch</t>
  </si>
  <si>
    <t>Insurance, NFL team</t>
  </si>
  <si>
    <t>Kenneth Tuchman</t>
  </si>
  <si>
    <t>Call centers</t>
  </si>
  <si>
    <t>Wang Chou-hsiong</t>
  </si>
  <si>
    <t>Yunlin</t>
  </si>
  <si>
    <t>Wang Minwen</t>
  </si>
  <si>
    <t>Tom Werner</t>
  </si>
  <si>
    <t>Stephen Winn</t>
  </si>
  <si>
    <t>Real estate services</t>
  </si>
  <si>
    <t>Ian Wood &amp; family</t>
  </si>
  <si>
    <t>Aberdeen</t>
  </si>
  <si>
    <t>Energy services</t>
  </si>
  <si>
    <t>Wu Lanlan &amp; family</t>
  </si>
  <si>
    <t>Xu Bingzhong</t>
  </si>
  <si>
    <t>Bars</t>
  </si>
  <si>
    <t>Yang Xuegang</t>
  </si>
  <si>
    <t>Coking</t>
  </si>
  <si>
    <t>Vladimir Yevtushenkov</t>
  </si>
  <si>
    <t>Telecom, investments</t>
  </si>
  <si>
    <t>David Zalik</t>
  </si>
  <si>
    <t>Financial technology</t>
  </si>
  <si>
    <t>GreenSky</t>
  </si>
  <si>
    <t>Zhang Xiaojuan</t>
  </si>
  <si>
    <t>Zheng Xiaodong</t>
  </si>
  <si>
    <t>Zhong Ruonong &amp; family</t>
  </si>
  <si>
    <t>Zhuzhou</t>
  </si>
  <si>
    <t>Noubar Afeyan</t>
  </si>
  <si>
    <t>Syed Mokhtar AlBukhary</t>
  </si>
  <si>
    <t>Engineering, automotive</t>
  </si>
  <si>
    <t>Herbert Allen, Jr. &amp; family</t>
  </si>
  <si>
    <t>Vasily Anisimov</t>
  </si>
  <si>
    <t>Clifford Asness</t>
  </si>
  <si>
    <t>AQR Capital Management</t>
  </si>
  <si>
    <t>Louis Bacon</t>
  </si>
  <si>
    <t>Moore Capital Management, LP</t>
  </si>
  <si>
    <t>Bai Baokun</t>
  </si>
  <si>
    <t>Dongguan</t>
  </si>
  <si>
    <t>Hardware</t>
  </si>
  <si>
    <t>Alex Birkenstock</t>
  </si>
  <si>
    <t>Christian Birkenstock</t>
  </si>
  <si>
    <t>Kitzbuhel</t>
  </si>
  <si>
    <t>Josef Boquoi &amp; family</t>
  </si>
  <si>
    <t>Straelen</t>
  </si>
  <si>
    <t>Cai Huabo</t>
  </si>
  <si>
    <t>Jiujiang</t>
  </si>
  <si>
    <t>Chen Tianshi</t>
  </si>
  <si>
    <t>Chen Yung-tai</t>
  </si>
  <si>
    <t>Chey Tae-won</t>
  </si>
  <si>
    <t>Oil, semiconductor</t>
  </si>
  <si>
    <t>SK Holdings</t>
  </si>
  <si>
    <t>Ivan Chrenko</t>
  </si>
  <si>
    <t>Slovakia</t>
  </si>
  <si>
    <t>Bratislava</t>
  </si>
  <si>
    <t xml:space="preserve">$105,422,304,976 </t>
  </si>
  <si>
    <t>Robert Clark</t>
  </si>
  <si>
    <t>Jack Cockwell</t>
  </si>
  <si>
    <t>Tench Coxe</t>
  </si>
  <si>
    <t>Jim Crane</t>
  </si>
  <si>
    <t>Logistics, baseball</t>
  </si>
  <si>
    <t>Norbert Dentressangle</t>
  </si>
  <si>
    <t>Transport, logistics</t>
  </si>
  <si>
    <t>Jamie Dimon</t>
  </si>
  <si>
    <t>JPMorgan Chase &amp; Co.</t>
  </si>
  <si>
    <t>Daniel Dines</t>
  </si>
  <si>
    <t>Alfredo Egydio Arruda Villela Filho</t>
  </si>
  <si>
    <t>Gary Fegel</t>
  </si>
  <si>
    <t>Commodities, investments</t>
  </si>
  <si>
    <t>William Foley, II.</t>
  </si>
  <si>
    <t>Richard Fortin</t>
  </si>
  <si>
    <t>Boucherville</t>
  </si>
  <si>
    <t>Gao Yi &amp; family</t>
  </si>
  <si>
    <t>Giammaria Giuliani</t>
  </si>
  <si>
    <t>Montagnola</t>
  </si>
  <si>
    <t>Bill Gross</t>
  </si>
  <si>
    <t>Pacific Investment Management Company LLC</t>
  </si>
  <si>
    <t>Cofounder and Co-Chief Investment Officer</t>
  </si>
  <si>
    <t>Sue Gross</t>
  </si>
  <si>
    <t>Irving Grousbeck &amp; family</t>
  </si>
  <si>
    <t>Telecommunication, sports</t>
  </si>
  <si>
    <t>Timothy Headington</t>
  </si>
  <si>
    <t>Ilona Herlin</t>
  </si>
  <si>
    <t>David Hoffmann</t>
  </si>
  <si>
    <t>Executive search, investments</t>
  </si>
  <si>
    <t>Stanley Hubbard</t>
  </si>
  <si>
    <t>St. Paul</t>
  </si>
  <si>
    <t>DirecTV</t>
  </si>
  <si>
    <t>Hubbard Broadcasting, Inc.</t>
  </si>
  <si>
    <t>Hui Lin Chit</t>
  </si>
  <si>
    <t>Tianjiang Jia &amp; family</t>
  </si>
  <si>
    <t>Non-ferrous metals</t>
  </si>
  <si>
    <t>Zhaobai Jiang</t>
  </si>
  <si>
    <t>Sergei Katsiev</t>
  </si>
  <si>
    <t>Retail, wholesale</t>
  </si>
  <si>
    <t>Kim Jae-young</t>
  </si>
  <si>
    <t>Randal J. Kirk</t>
  </si>
  <si>
    <t>Manalapan</t>
  </si>
  <si>
    <t>William Koch</t>
  </si>
  <si>
    <t>Pyotr Kondrashev</t>
  </si>
  <si>
    <t>Wien</t>
  </si>
  <si>
    <t>Eiichi Kuriwada</t>
  </si>
  <si>
    <t>Robert Langer</t>
  </si>
  <si>
    <t>Anthony Langley</t>
  </si>
  <si>
    <t>Nottinghamshire</t>
  </si>
  <si>
    <t>Marianna Latsis &amp; family</t>
  </si>
  <si>
    <t>Banking, shipping</t>
  </si>
  <si>
    <t>Lee Yeow Seng</t>
  </si>
  <si>
    <t>Li Sze Lim</t>
  </si>
  <si>
    <t>Li Wa</t>
  </si>
  <si>
    <t>Li Weiwei</t>
  </si>
  <si>
    <t>Liang Qin &amp; family</t>
  </si>
  <si>
    <t>Yangzhou</t>
  </si>
  <si>
    <t>Semiconductor devices</t>
  </si>
  <si>
    <t>Vincent Lo</t>
  </si>
  <si>
    <t>Terence (Terry) Matthews</t>
  </si>
  <si>
    <t>Jim McKelvey</t>
  </si>
  <si>
    <t>Mobile payments</t>
  </si>
  <si>
    <t>P.N.C. Menon</t>
  </si>
  <si>
    <t>Massimo Moratti</t>
  </si>
  <si>
    <t>Oil refinery</t>
  </si>
  <si>
    <t>Liora Ofer</t>
  </si>
  <si>
    <t>Stefan Pierer</t>
  </si>
  <si>
    <t>Wels</t>
  </si>
  <si>
    <t>Andreas Pohl</t>
  </si>
  <si>
    <t>Marburg</t>
  </si>
  <si>
    <t>Reinfried Pohl, Jr.</t>
  </si>
  <si>
    <t>Michael Polsky</t>
  </si>
  <si>
    <t>Electric power</t>
  </si>
  <si>
    <t>Francisco Jose Riberas Mera</t>
  </si>
  <si>
    <t>Steel, autoparts</t>
  </si>
  <si>
    <t>Juan Maria Riberas Mera</t>
  </si>
  <si>
    <t>Andres Santo Domingo</t>
  </si>
  <si>
    <t>Sathien Sathientham</t>
  </si>
  <si>
    <t>energy drinks</t>
  </si>
  <si>
    <t>Shang Xiaobo &amp; family</t>
  </si>
  <si>
    <t>Yuri Shefler</t>
  </si>
  <si>
    <t>Alcohol</t>
  </si>
  <si>
    <t>Evgeny (Eugene) Shvidler</t>
  </si>
  <si>
    <t>Ryan Smith</t>
  </si>
  <si>
    <t>Provo</t>
  </si>
  <si>
    <t>Qualtrics</t>
  </si>
  <si>
    <t>Co-Founder &amp; CEO</t>
  </si>
  <si>
    <t>Zakhar Smushkin</t>
  </si>
  <si>
    <t>Pulp and paper, diversified</t>
  </si>
  <si>
    <t>Peter Sperling</t>
  </si>
  <si>
    <t>Laurie Tisch</t>
  </si>
  <si>
    <t>Steven Tisch</t>
  </si>
  <si>
    <t>Michael Tojner</t>
  </si>
  <si>
    <t>Batteries, investments</t>
  </si>
  <si>
    <t>August Troendle</t>
  </si>
  <si>
    <t>Cincinnati</t>
  </si>
  <si>
    <t>Pharmaceutical services</t>
  </si>
  <si>
    <t>Tseng Sing-ai</t>
  </si>
  <si>
    <t>Sekar Vembu</t>
  </si>
  <si>
    <t>Chris Wallin</t>
  </si>
  <si>
    <t>Wang Changtian</t>
  </si>
  <si>
    <t>TV, movie production</t>
  </si>
  <si>
    <t>Ning Wang &amp; family</t>
  </si>
  <si>
    <t>Toys</t>
  </si>
  <si>
    <t>Scott Watterson</t>
  </si>
  <si>
    <t>Logan</t>
  </si>
  <si>
    <t>Fitness equipment</t>
  </si>
  <si>
    <t>Dan Wilks</t>
  </si>
  <si>
    <t>Cisco</t>
  </si>
  <si>
    <t>Alan Wilson</t>
  </si>
  <si>
    <t>Bruce Wilson</t>
  </si>
  <si>
    <t>John Wilson</t>
  </si>
  <si>
    <t>Anthony Wood</t>
  </si>
  <si>
    <t>Roku</t>
  </si>
  <si>
    <t>Wu Ying</t>
  </si>
  <si>
    <t>Xianyang</t>
  </si>
  <si>
    <t>Materials</t>
  </si>
  <si>
    <t>Wu Yulan</t>
  </si>
  <si>
    <t>Zhongyi Wu</t>
  </si>
  <si>
    <t>electronics</t>
  </si>
  <si>
    <t>Xiang Guangming &amp; family</t>
  </si>
  <si>
    <t>Waste disposal</t>
  </si>
  <si>
    <t>Xue Xiangdong &amp; family</t>
  </si>
  <si>
    <t>George Yancopoulos</t>
  </si>
  <si>
    <t>Yorktown Heights</t>
  </si>
  <si>
    <t>Steven Meng Yang &amp; family</t>
  </si>
  <si>
    <t>Ye Fan &amp; family</t>
  </si>
  <si>
    <t>Yi Dasheng</t>
  </si>
  <si>
    <t>Yu Lili</t>
  </si>
  <si>
    <t>Electronic components</t>
  </si>
  <si>
    <t>Zeng Kaitian</t>
  </si>
  <si>
    <t>Zhang Xuexin &amp; family</t>
  </si>
  <si>
    <t>Liaocheng</t>
  </si>
  <si>
    <t>Yubai Zhang</t>
  </si>
  <si>
    <t>Suqian</t>
  </si>
  <si>
    <t>Fredrik Ã–sterberg</t>
  </si>
  <si>
    <t>Gambling products</t>
  </si>
  <si>
    <t>Shiv Kishan Agrawal</t>
  </si>
  <si>
    <t>Snacks</t>
  </si>
  <si>
    <t>Aziz Akhannouch &amp; family</t>
  </si>
  <si>
    <t>Morocco</t>
  </si>
  <si>
    <t>Casablanca</t>
  </si>
  <si>
    <t>Petroleum, diversified</t>
  </si>
  <si>
    <t xml:space="preserve">$118,725,279,596 </t>
  </si>
  <si>
    <t>Hamdi Akin &amp; family</t>
  </si>
  <si>
    <t>Nerio Alessandri</t>
  </si>
  <si>
    <t>Cesena</t>
  </si>
  <si>
    <t>Gym equipment</t>
  </si>
  <si>
    <t>Alexandra Andresen</t>
  </si>
  <si>
    <t>Katharina Andresen</t>
  </si>
  <si>
    <t>Patricia Angelini Rossi</t>
  </si>
  <si>
    <t>Mori Arkin</t>
  </si>
  <si>
    <t>Herzliya Pituach</t>
  </si>
  <si>
    <t>Barbara Benetton</t>
  </si>
  <si>
    <t>Campodoro</t>
  </si>
  <si>
    <t>Angela Bennett</t>
  </si>
  <si>
    <t>Zadik Bino &amp; family</t>
  </si>
  <si>
    <t>Banking, oil</t>
  </si>
  <si>
    <t>Paolo Bulgari</t>
  </si>
  <si>
    <t>Saket Burman</t>
  </si>
  <si>
    <t>Ahmet Calik</t>
  </si>
  <si>
    <t>Energy, banking, construction</t>
  </si>
  <si>
    <t>Safra Catz</t>
  </si>
  <si>
    <t>Redwood City</t>
  </si>
  <si>
    <t>Chang Kuo-Hua</t>
  </si>
  <si>
    <t>Shipping, airlines</t>
  </si>
  <si>
    <t>Chu Jian</t>
  </si>
  <si>
    <t>Sandor Csanyi</t>
  </si>
  <si>
    <t>Hungary</t>
  </si>
  <si>
    <t>Budapest</t>
  </si>
  <si>
    <t>Finance, real estate</t>
  </si>
  <si>
    <t xml:space="preserve">$160,967,157,504 </t>
  </si>
  <si>
    <t>Ana Lucia de Mattos Barretto Villela</t>
  </si>
  <si>
    <t>Federico De Nora</t>
  </si>
  <si>
    <t>Electrodes</t>
  </si>
  <si>
    <t>Bharat Desai</t>
  </si>
  <si>
    <t>Fisher Island</t>
  </si>
  <si>
    <t>IT consulting</t>
  </si>
  <si>
    <t>Syntel</t>
  </si>
  <si>
    <t>Chairman and Co-founder</t>
  </si>
  <si>
    <t>Mohammed Dewji</t>
  </si>
  <si>
    <t>Tanzania</t>
  </si>
  <si>
    <t>Dar es Salaam</t>
  </si>
  <si>
    <t xml:space="preserve">$63,177,068,175 </t>
  </si>
  <si>
    <t>Egon Durban</t>
  </si>
  <si>
    <t>Fu Mingkang &amp; family</t>
  </si>
  <si>
    <t>Alan Gerry</t>
  </si>
  <si>
    <t>Liberty</t>
  </si>
  <si>
    <t>Philippe Ginestet &amp; family</t>
  </si>
  <si>
    <t>Pujols</t>
  </si>
  <si>
    <t>Retail stores</t>
  </si>
  <si>
    <t>G. Gnanalingam</t>
  </si>
  <si>
    <t>Esther Grether</t>
  </si>
  <si>
    <t>Wei Gu</t>
  </si>
  <si>
    <t>Consumer electronics</t>
  </si>
  <si>
    <t>Patrick Hanrahan</t>
  </si>
  <si>
    <t>Kenneth Hao</t>
  </si>
  <si>
    <t>Hillsborough</t>
  </si>
  <si>
    <t>Jaroslav Hascak &amp; family</t>
  </si>
  <si>
    <t>He Zhenggang</t>
  </si>
  <si>
    <t>Leshan</t>
  </si>
  <si>
    <t>Niranjan Hiranandani</t>
  </si>
  <si>
    <t>Ho Hung Anh</t>
  </si>
  <si>
    <t>Consumer products, banking</t>
  </si>
  <si>
    <t>Archie Hwang</t>
  </si>
  <si>
    <t>Peter Jackson</t>
  </si>
  <si>
    <t>Wellington</t>
  </si>
  <si>
    <t>Movies, digital effects</t>
  </si>
  <si>
    <t>Film</t>
  </si>
  <si>
    <t>Stephen Jarislowsky</t>
  </si>
  <si>
    <t>Jarislowsky &amp; Fraser</t>
  </si>
  <si>
    <t>Rajeev Juneja</t>
  </si>
  <si>
    <t>Phamaceuticals</t>
  </si>
  <si>
    <t>Ramesh Juneja</t>
  </si>
  <si>
    <t>Ke Xiping &amp; family</t>
  </si>
  <si>
    <t>Kim Jun-ki</t>
  </si>
  <si>
    <t>Dongbu Insurance Co. Ltd.</t>
  </si>
  <si>
    <t>Sidney Kimmel</t>
  </si>
  <si>
    <t>Jim Koch</t>
  </si>
  <si>
    <t>Raj Kumar</t>
  </si>
  <si>
    <t>Real estate, hotels</t>
  </si>
  <si>
    <t>Spiro Latsis &amp; family</t>
  </si>
  <si>
    <t>Peter Leibinger</t>
  </si>
  <si>
    <t>Schwieberdingen</t>
  </si>
  <si>
    <t>Machine tools</t>
  </si>
  <si>
    <t>Regine Leibinger</t>
  </si>
  <si>
    <t>Nicola Leibinger-Kammueller</t>
  </si>
  <si>
    <t>Li Jianli</t>
  </si>
  <si>
    <t>Lithium-ion battery cap</t>
  </si>
  <si>
    <t>Li Jiaquan</t>
  </si>
  <si>
    <t>Li Rucheng</t>
  </si>
  <si>
    <t>Li Shui-po</t>
  </si>
  <si>
    <t>Kunshan</t>
  </si>
  <si>
    <t>Stainless steel products</t>
  </si>
  <si>
    <t>Scott Lin</t>
  </si>
  <si>
    <t>Taichung</t>
  </si>
  <si>
    <t>Optical components</t>
  </si>
  <si>
    <t>Liu Xiucai &amp; family</t>
  </si>
  <si>
    <t>Lu Zhongfang</t>
  </si>
  <si>
    <t>Tonghua</t>
  </si>
  <si>
    <t>Lu Zongjun</t>
  </si>
  <si>
    <t>Youssef Mansour</t>
  </si>
  <si>
    <t>Bruce Mathieson</t>
  </si>
  <si>
    <t>Gold Coast</t>
  </si>
  <si>
    <t>Romano Minozzi</t>
  </si>
  <si>
    <t>Spilamberto</t>
  </si>
  <si>
    <t>Utilities, diversified</t>
  </si>
  <si>
    <t>Greg Mondre</t>
  </si>
  <si>
    <t>Mario Moretti Polegato &amp; family</t>
  </si>
  <si>
    <t>Crocetta del Montello</t>
  </si>
  <si>
    <t>Robert Mouawad</t>
  </si>
  <si>
    <t>Bahrain</t>
  </si>
  <si>
    <t>Manama</t>
  </si>
  <si>
    <t>Fine jewelry</t>
  </si>
  <si>
    <t xml:space="preserve">$38,574,069,149 </t>
  </si>
  <si>
    <t>Jerry Moyes &amp; family</t>
  </si>
  <si>
    <t>Tolleson</t>
  </si>
  <si>
    <t>John Ocampo</t>
  </si>
  <si>
    <t>Stefan Olsson</t>
  </si>
  <si>
    <t>Rubens Ometto Silveira Mello</t>
  </si>
  <si>
    <t>Sugar, ethanol</t>
  </si>
  <si>
    <t>Anne Marie See Pastor</t>
  </si>
  <si>
    <t>Peru</t>
  </si>
  <si>
    <t>George Pastor</t>
  </si>
  <si>
    <t>Nelson Peltz</t>
  </si>
  <si>
    <t>Bedford</t>
  </si>
  <si>
    <t>Trian Fund Management</t>
  </si>
  <si>
    <t>David Penaloza Alanis</t>
  </si>
  <si>
    <t>Toll roads</t>
  </si>
  <si>
    <t>Karl-Johan Persson</t>
  </si>
  <si>
    <t>Mike Repole</t>
  </si>
  <si>
    <t>Windermere</t>
  </si>
  <si>
    <t>Sports drink</t>
  </si>
  <si>
    <t>Duke Reyes</t>
  </si>
  <si>
    <t>Beer distribution</t>
  </si>
  <si>
    <t>Kishin RK</t>
  </si>
  <si>
    <t>Carlos Rodriguez-Pastor</t>
  </si>
  <si>
    <t>Lima</t>
  </si>
  <si>
    <t xml:space="preserve">$226,848,050,820 </t>
  </si>
  <si>
    <t>Christopher Rokos</t>
  </si>
  <si>
    <t>Rokos Capital Management</t>
  </si>
  <si>
    <t xml:space="preserve">CEO &amp; Founder </t>
  </si>
  <si>
    <t>John Ruiz</t>
  </si>
  <si>
    <t>Healthcare services</t>
  </si>
  <si>
    <t>Sheryl Sandberg</t>
  </si>
  <si>
    <t>Amnon Shashua</t>
  </si>
  <si>
    <t>Kfar Shmaryahu</t>
  </si>
  <si>
    <t>Automotive technology</t>
  </si>
  <si>
    <t>Ben Silbermann</t>
  </si>
  <si>
    <t>Social media</t>
  </si>
  <si>
    <t>Pinterest</t>
  </si>
  <si>
    <t>Ron Sim</t>
  </si>
  <si>
    <t>retail</t>
  </si>
  <si>
    <t>Leonid Simanovsky</t>
  </si>
  <si>
    <t>Basudeo Singh</t>
  </si>
  <si>
    <t>Frank Slootman</t>
  </si>
  <si>
    <t>Terry Snow</t>
  </si>
  <si>
    <t>Canberra</t>
  </si>
  <si>
    <t>Airports, real estate</t>
  </si>
  <si>
    <t>Axel Stawski</t>
  </si>
  <si>
    <t>Sagaponack</t>
  </si>
  <si>
    <t>Thomas Steyer</t>
  </si>
  <si>
    <t>Sergei Studennikov &amp; family</t>
  </si>
  <si>
    <t>Liquor stores, supermarkets</t>
  </si>
  <si>
    <t>Su Suyu &amp; family</t>
  </si>
  <si>
    <t>Utilities, real estate</t>
  </si>
  <si>
    <t>Kevin Systrom</t>
  </si>
  <si>
    <t>Instagram</t>
  </si>
  <si>
    <t>Tan Lili</t>
  </si>
  <si>
    <t>Feed</t>
  </si>
  <si>
    <t>Tang Binsen</t>
  </si>
  <si>
    <t>Tang Rui</t>
  </si>
  <si>
    <t>Prachak Tangkaravakoon</t>
  </si>
  <si>
    <t>Jeff Tangney</t>
  </si>
  <si>
    <t>Healthcare IT</t>
  </si>
  <si>
    <t>Doximity</t>
  </si>
  <si>
    <t>Yuequn Tao</t>
  </si>
  <si>
    <t>Contact Lens</t>
  </si>
  <si>
    <t>David Teoh</t>
  </si>
  <si>
    <t>Carmen Thyssen</t>
  </si>
  <si>
    <t>Andorra</t>
  </si>
  <si>
    <t>Investments, art</t>
  </si>
  <si>
    <t xml:space="preserve">$3,154,057,987 </t>
  </si>
  <si>
    <t>Tran Ba Duong &amp; family</t>
  </si>
  <si>
    <t>Kenny Troutt</t>
  </si>
  <si>
    <t>Jens von Bahr</t>
  </si>
  <si>
    <t>Wang Junmin</t>
  </si>
  <si>
    <t>Weng Xianding</t>
  </si>
  <si>
    <t>Farris Wilks</t>
  </si>
  <si>
    <t>Gordon Wu</t>
  </si>
  <si>
    <t>Xiong Wu</t>
  </si>
  <si>
    <t>Xu Zhenhua</t>
  </si>
  <si>
    <t>Xu Zhihan</t>
  </si>
  <si>
    <t>Tingdong Yang</t>
  </si>
  <si>
    <t>Brewery</t>
  </si>
  <si>
    <t>Michael Minhong Yu</t>
  </si>
  <si>
    <t>Justin Yuan</t>
  </si>
  <si>
    <t>Zhang Bangxin</t>
  </si>
  <si>
    <t>Zhang Hong</t>
  </si>
  <si>
    <t>Solar</t>
  </si>
  <si>
    <t>Zhou Zongwen &amp; family</t>
  </si>
  <si>
    <t>Antti Aarnio-Wihuri</t>
  </si>
  <si>
    <t>Alberto Alcocer</t>
  </si>
  <si>
    <t>Nigel Austin</t>
  </si>
  <si>
    <t>Binny Bansal</t>
  </si>
  <si>
    <t>Flipkart</t>
  </si>
  <si>
    <t>Girdhari Lal Bawri</t>
  </si>
  <si>
    <t>John Bloor</t>
  </si>
  <si>
    <t>Aberdyfi</t>
  </si>
  <si>
    <t>Real estate, manufacturing</t>
  </si>
  <si>
    <t>Vladimir Bogdanov</t>
  </si>
  <si>
    <t>Surgut</t>
  </si>
  <si>
    <t>Amit Burman</t>
  </si>
  <si>
    <t>Cai Jianyong</t>
  </si>
  <si>
    <t>Nickel</t>
  </si>
  <si>
    <t>Steve Case</t>
  </si>
  <si>
    <t>AOL</t>
  </si>
  <si>
    <t>Chen Wenyuan &amp; family</t>
  </si>
  <si>
    <t>Testing equipment</t>
  </si>
  <si>
    <t>Chua Thian Poh</t>
  </si>
  <si>
    <t>Sasson Dayan &amp; family</t>
  </si>
  <si>
    <t>Chris Ellison</t>
  </si>
  <si>
    <t>John Farber</t>
  </si>
  <si>
    <t>Dr.</t>
  </si>
  <si>
    <t>J. Christopher Flowers</t>
  </si>
  <si>
    <t>J.C. Flowers &amp; Co. LLC</t>
  </si>
  <si>
    <t>Founder and Managing Director</t>
  </si>
  <si>
    <t>Reinold Geiger</t>
  </si>
  <si>
    <t>Beauty products</t>
  </si>
  <si>
    <t>Ali Ghodsi</t>
  </si>
  <si>
    <t>Data analytics</t>
  </si>
  <si>
    <t>Lance Gokongwei</t>
  </si>
  <si>
    <t>Guan Yihong</t>
  </si>
  <si>
    <t>Restaurant</t>
  </si>
  <si>
    <t>Rajinder Gupta</t>
  </si>
  <si>
    <t>Ludhiana</t>
  </si>
  <si>
    <t>Textiles, paper</t>
  </si>
  <si>
    <t>Torstein Hagen</t>
  </si>
  <si>
    <t>Cruises</t>
  </si>
  <si>
    <t>Ayman Hariri</t>
  </si>
  <si>
    <t>Alfredo Harp Helu &amp; family</t>
  </si>
  <si>
    <t>He Xiaopeng</t>
  </si>
  <si>
    <t>Christoph Henkel</t>
  </si>
  <si>
    <t>Daniel Hirschfeld</t>
  </si>
  <si>
    <t>Kearney</t>
  </si>
  <si>
    <t>Drew Houston</t>
  </si>
  <si>
    <t>Cloud storage service</t>
  </si>
  <si>
    <t>Dropbox</t>
  </si>
  <si>
    <t>Huang Jinxiang &amp; family</t>
  </si>
  <si>
    <t>Xuancheng</t>
  </si>
  <si>
    <t>Rameshchandra Jain</t>
  </si>
  <si>
    <t>Textiles</t>
  </si>
  <si>
    <t>Ke Zunhong &amp; family</t>
  </si>
  <si>
    <t>Kim Taek-jin</t>
  </si>
  <si>
    <t>NCSOFT Corporation</t>
  </si>
  <si>
    <t>Koh Wee Meng</t>
  </si>
  <si>
    <t>Sergei Kolesnikov</t>
  </si>
  <si>
    <t>Hemendra Kothari</t>
  </si>
  <si>
    <t>Sebastian Kulczyk</t>
  </si>
  <si>
    <t>Kwee Liong Keng</t>
  </si>
  <si>
    <t>Kwee Liong Phing</t>
  </si>
  <si>
    <t>Kwee Liong Seen</t>
  </si>
  <si>
    <t>Kwee Liong Tek</t>
  </si>
  <si>
    <t>Kwek Leng Keow</t>
  </si>
  <si>
    <t>Kwek Leng Peck</t>
  </si>
  <si>
    <t>Raymond Kwok</t>
  </si>
  <si>
    <t>Lee Ho-jin</t>
  </si>
  <si>
    <t>Taekwang Industrial</t>
  </si>
  <si>
    <t>Michael Lee-Chin</t>
  </si>
  <si>
    <t>Burlington</t>
  </si>
  <si>
    <t>Manfredi Lefebvre d'Ovidio &amp; family</t>
  </si>
  <si>
    <t>Bernard Lewis &amp; family</t>
  </si>
  <si>
    <t>Fashion retailer</t>
  </si>
  <si>
    <t>Li Jinyang</t>
  </si>
  <si>
    <t>Chifeng</t>
  </si>
  <si>
    <t>William Li</t>
  </si>
  <si>
    <t>Jenny LindÃ©n Urnes</t>
  </si>
  <si>
    <t>Helsingborg</t>
  </si>
  <si>
    <t>Powdered metal</t>
  </si>
  <si>
    <t>Liu Fangyi</t>
  </si>
  <si>
    <t>K.C. Liu</t>
  </si>
  <si>
    <t>Liu Ming Chung</t>
  </si>
  <si>
    <t>Anatoly Lomakin</t>
  </si>
  <si>
    <t>Brandt Louie</t>
  </si>
  <si>
    <t>Lucia Maggi &amp; family</t>
  </si>
  <si>
    <t>Rondonopolis</t>
  </si>
  <si>
    <t>Gary Magness</t>
  </si>
  <si>
    <t>Cable TV, investments</t>
  </si>
  <si>
    <t>Mao Lixiang &amp; family</t>
  </si>
  <si>
    <t>Cooking appliances</t>
  </si>
  <si>
    <t>David McMurtry</t>
  </si>
  <si>
    <t>Wotton-under-Edge</t>
  </si>
  <si>
    <t>Deepak Mehta</t>
  </si>
  <si>
    <t>Vadodara</t>
  </si>
  <si>
    <t>Miao Shouliang</t>
  </si>
  <si>
    <t>Miao Yongjun</t>
  </si>
  <si>
    <t>Clinical diagnostics</t>
  </si>
  <si>
    <t>Yoshiko Mori</t>
  </si>
  <si>
    <t>Marius Nacht</t>
  </si>
  <si>
    <t>Tadako Nakatani</t>
  </si>
  <si>
    <t>Kobe</t>
  </si>
  <si>
    <t>Medical diagnostic equipment</t>
  </si>
  <si>
    <t>Vadim Novinsky</t>
  </si>
  <si>
    <t>Niti Osathanugrah</t>
  </si>
  <si>
    <t>Energy drinks,investments</t>
  </si>
  <si>
    <t>Gretel Packer</t>
  </si>
  <si>
    <t>Pan Longquan</t>
  </si>
  <si>
    <t>Pan Shiyi</t>
  </si>
  <si>
    <t>David Paul</t>
  </si>
  <si>
    <t>Audubon</t>
  </si>
  <si>
    <t>Globus Medical</t>
  </si>
  <si>
    <t>Tom Persson</t>
  </si>
  <si>
    <t>Qian Jinghong</t>
  </si>
  <si>
    <t>Qin Long</t>
  </si>
  <si>
    <t>Tire</t>
  </si>
  <si>
    <t>M.Satyanarayana Reddy</t>
  </si>
  <si>
    <t>Mochtar Riady &amp; family</t>
  </si>
  <si>
    <t>Rihanna</t>
  </si>
  <si>
    <t>Music, cosmetics</t>
  </si>
  <si>
    <t>Barbados</t>
  </si>
  <si>
    <t>Musician</t>
  </si>
  <si>
    <t>Boris Rotenberg</t>
  </si>
  <si>
    <t>Construction, pipes, chemicals</t>
  </si>
  <si>
    <t>Subhash Runwal</t>
  </si>
  <si>
    <t>Igor Rybakov</t>
  </si>
  <si>
    <t>Carlos Sanchez</t>
  </si>
  <si>
    <t>Santo Andre</t>
  </si>
  <si>
    <t>Martin Selig</t>
  </si>
  <si>
    <t>Airat Shaimiev</t>
  </si>
  <si>
    <t>Kazan</t>
  </si>
  <si>
    <t>Refinery, chemicals</t>
  </si>
  <si>
    <t>Radik Shaimiev</t>
  </si>
  <si>
    <t>Nobutoshi Shimamura</t>
  </si>
  <si>
    <t>Saitama</t>
  </si>
  <si>
    <t>Jared Smith</t>
  </si>
  <si>
    <t>Charlotte Soderstrom</t>
  </si>
  <si>
    <t>Anand Surana</t>
  </si>
  <si>
    <t>Dilip Surana</t>
  </si>
  <si>
    <t>Wilma Tisch</t>
  </si>
  <si>
    <t>Jianyi Wang</t>
  </si>
  <si>
    <t>Fiber optic cables</t>
  </si>
  <si>
    <t>Wang Jilei</t>
  </si>
  <si>
    <t>Shuifu Wang</t>
  </si>
  <si>
    <t>Carbon fiber products</t>
  </si>
  <si>
    <t>Wang Zelong</t>
  </si>
  <si>
    <t>Jiaozuo</t>
  </si>
  <si>
    <t>Werner O. Weber</t>
  </si>
  <si>
    <t>Anne Werninghaus</t>
  </si>
  <si>
    <t>Joinville</t>
  </si>
  <si>
    <t>Industrial machinery</t>
  </si>
  <si>
    <t>Alfred West, Jr.</t>
  </si>
  <si>
    <t>Paoli</t>
  </si>
  <si>
    <t>Bo Wu</t>
  </si>
  <si>
    <t>Wu Chaoqun</t>
  </si>
  <si>
    <t>Meishan</t>
  </si>
  <si>
    <t>Swift Xie</t>
  </si>
  <si>
    <t>Chief Marketing Officer</t>
  </si>
  <si>
    <t>Xu Guozhong &amp; family</t>
  </si>
  <si>
    <t>Yao Kuizhang</t>
  </si>
  <si>
    <t>Hengshui</t>
  </si>
  <si>
    <t>Yu Peidi</t>
  </si>
  <si>
    <t>Yuan Liping</t>
  </si>
  <si>
    <t>Zhang Chuanwei &amp; family</t>
  </si>
  <si>
    <t>Zhongshan</t>
  </si>
  <si>
    <t>Zhang Keqiang</t>
  </si>
  <si>
    <t>Zhang Xin</t>
  </si>
  <si>
    <t>SOHO China</t>
  </si>
  <si>
    <t>Cofounder, CEO</t>
  </si>
  <si>
    <t>Xinghai Zhang &amp; family</t>
  </si>
  <si>
    <t>Zheng Jianjiang &amp; family</t>
  </si>
  <si>
    <t>Zhong Sheng Jian</t>
  </si>
  <si>
    <t>Zhou Chengjian</t>
  </si>
  <si>
    <t>Boris Zingarevich</t>
  </si>
  <si>
    <t>A. Jayson Adair</t>
  </si>
  <si>
    <t>Soegiarto Adikoesoemo</t>
  </si>
  <si>
    <t>Rajendra Agarwal</t>
  </si>
  <si>
    <t>Chirayu Amin</t>
  </si>
  <si>
    <t>Baroda</t>
  </si>
  <si>
    <t>Anant Asavabhokhin</t>
  </si>
  <si>
    <t>Roman Avdeev</t>
  </si>
  <si>
    <t>Banking, development</t>
  </si>
  <si>
    <t>Ziv Aviram</t>
  </si>
  <si>
    <t>Mevaseret Zion</t>
  </si>
  <si>
    <t>Sachin Bansal</t>
  </si>
  <si>
    <t>Kiki Barki</t>
  </si>
  <si>
    <t>Elena Baturina</t>
  </si>
  <si>
    <t>Banwari Lal Bawri</t>
  </si>
  <si>
    <t>Othman Benjelloun &amp; family</t>
  </si>
  <si>
    <t>Hari Bhartia</t>
  </si>
  <si>
    <t>Shyam Bhartia</t>
  </si>
  <si>
    <t>Pharmaceuticals, food</t>
  </si>
  <si>
    <t>Stewart Butterfield</t>
  </si>
  <si>
    <t>Aspen</t>
  </si>
  <si>
    <t>Messaging software</t>
  </si>
  <si>
    <t>Slack</t>
  </si>
  <si>
    <t>Cai Mingtong</t>
  </si>
  <si>
    <t>Anthony Casalena</t>
  </si>
  <si>
    <t>Monkton</t>
  </si>
  <si>
    <t>Chang Jianming &amp; family</t>
  </si>
  <si>
    <t>Industrial equipment</t>
  </si>
  <si>
    <t>Richard Chang</t>
  </si>
  <si>
    <t>Real estate, electronics</t>
  </si>
  <si>
    <t>Chen Xuehua</t>
  </si>
  <si>
    <t>Tongxiang</t>
  </si>
  <si>
    <t>Minerals processing</t>
  </si>
  <si>
    <t>Chen Yin</t>
  </si>
  <si>
    <t>Power tools</t>
  </si>
  <si>
    <t>Chin Jong Hwa</t>
  </si>
  <si>
    <t>R. Marcelo Claure</t>
  </si>
  <si>
    <t>Cell phone distribution</t>
  </si>
  <si>
    <t>Alberto Cortina</t>
  </si>
  <si>
    <t>Eduardo Costantini</t>
  </si>
  <si>
    <t>Wenjun Dai</t>
  </si>
  <si>
    <t>Anand Deshpande</t>
  </si>
  <si>
    <t>Aydin Dogan</t>
  </si>
  <si>
    <t>Annalisa Doris</t>
  </si>
  <si>
    <t>Segrate</t>
  </si>
  <si>
    <t>Massimo Doris</t>
  </si>
  <si>
    <t>Weimin Du</t>
  </si>
  <si>
    <t>Timothy Dunn &amp; family</t>
  </si>
  <si>
    <t>Keiko Erikawa</t>
  </si>
  <si>
    <t>Yokohama City</t>
  </si>
  <si>
    <t>Yoichi Erikawa</t>
  </si>
  <si>
    <t>Philip Fayer</t>
  </si>
  <si>
    <t>Online payments</t>
  </si>
  <si>
    <t>Marvy Finger</t>
  </si>
  <si>
    <t>Simona Giorgetta</t>
  </si>
  <si>
    <t>Chemical products</t>
  </si>
  <si>
    <t>Joel Greenberg</t>
  </si>
  <si>
    <t>He Zhiping</t>
  </si>
  <si>
    <t>Heikki Herlin</t>
  </si>
  <si>
    <t>Hoi Kin Hong</t>
  </si>
  <si>
    <t>Macau</t>
  </si>
  <si>
    <t>Lillyn Teh Li Hua</t>
  </si>
  <si>
    <t>Gregg Hymowitz</t>
  </si>
  <si>
    <t>Asset management</t>
  </si>
  <si>
    <t>Mitchell Jacobson</t>
  </si>
  <si>
    <t>Locust Valley</t>
  </si>
  <si>
    <t>Anurang Jain</t>
  </si>
  <si>
    <t>Aurangabad</t>
  </si>
  <si>
    <t>Jiang Guiting &amp; family</t>
  </si>
  <si>
    <t>Dezhou</t>
  </si>
  <si>
    <t>Jin Xin</t>
  </si>
  <si>
    <t>Fuxin</t>
  </si>
  <si>
    <t>Conni Jonsson</t>
  </si>
  <si>
    <t>George Joseph</t>
  </si>
  <si>
    <t>Laurent Junique</t>
  </si>
  <si>
    <t>Zbigniew Juroszek &amp; family</t>
  </si>
  <si>
    <t>Cieszyn</t>
  </si>
  <si>
    <t>Real estate, gambling</t>
  </si>
  <si>
    <t>Alexander Karp</t>
  </si>
  <si>
    <t>Software firm</t>
  </si>
  <si>
    <t>Palantir Technologies</t>
  </si>
  <si>
    <t>Joe Kiani</t>
  </si>
  <si>
    <t>Masimo</t>
  </si>
  <si>
    <t>Seth Klarman</t>
  </si>
  <si>
    <t>Baupost Group</t>
  </si>
  <si>
    <t>Kagemasa Kozuki</t>
  </si>
  <si>
    <t>Michael Krasny</t>
  </si>
  <si>
    <t>Sawdust Investment Management Corp.</t>
  </si>
  <si>
    <t>Eduard Kucera</t>
  </si>
  <si>
    <t>Kristo KÃ¤Ã¤rmann</t>
  </si>
  <si>
    <t>Payments, banking</t>
  </si>
  <si>
    <t>Estonia</t>
  </si>
  <si>
    <t>Wise</t>
  </si>
  <si>
    <t>Gary Lauder</t>
  </si>
  <si>
    <t>Lee Hae-jin</t>
  </si>
  <si>
    <t>NAVER Corp.</t>
  </si>
  <si>
    <t>Art Levinson</t>
  </si>
  <si>
    <t>Genentech, Apple</t>
  </si>
  <si>
    <t>Li Denghai</t>
  </si>
  <si>
    <t>Laizhou</t>
  </si>
  <si>
    <t>Seed production</t>
  </si>
  <si>
    <t>Fengluan Li</t>
  </si>
  <si>
    <t>Ruzhou</t>
  </si>
  <si>
    <t>Steel, diversified</t>
  </si>
  <si>
    <t>Li Yongqing</t>
  </si>
  <si>
    <t>Petro Firbe</t>
  </si>
  <si>
    <t>Li Zhigang</t>
  </si>
  <si>
    <t>Liu Gexin &amp; family</t>
  </si>
  <si>
    <t>Itamar Locks &amp; family</t>
  </si>
  <si>
    <t>Lu Hongyan</t>
  </si>
  <si>
    <t>Lv Jianming</t>
  </si>
  <si>
    <t>Blairo Maggi</t>
  </si>
  <si>
    <t>Cuiaba</t>
  </si>
  <si>
    <t>Yasseen Mansour</t>
  </si>
  <si>
    <t>Charlwin Mao</t>
  </si>
  <si>
    <t>George Marcus</t>
  </si>
  <si>
    <t>Yves-Loic Martin</t>
  </si>
  <si>
    <t>Carsten Maschmeyer</t>
  </si>
  <si>
    <t>Finance services</t>
  </si>
  <si>
    <t>Lillian Teh Li Ming</t>
  </si>
  <si>
    <t>Martin Moller Nielsen</t>
  </si>
  <si>
    <t>Jahm Najafi</t>
  </si>
  <si>
    <t>Randal Nardone</t>
  </si>
  <si>
    <t>Investments, energy</t>
  </si>
  <si>
    <t>Nguyen Dang Quang</t>
  </si>
  <si>
    <t>Kazuo Okada</t>
  </si>
  <si>
    <t>John Oyler</t>
  </si>
  <si>
    <t>William Teh Lee Pang</t>
  </si>
  <si>
    <t>George Pedersen &amp; family</t>
  </si>
  <si>
    <t>Defense contractor</t>
  </si>
  <si>
    <t>Qu Miranda</t>
  </si>
  <si>
    <t>Jupally Rameshwar Rao</t>
  </si>
  <si>
    <t>G. M. Rao</t>
  </si>
  <si>
    <t>P.V. Ramprasad Reddy</t>
  </si>
  <si>
    <t>Satish Reddy</t>
  </si>
  <si>
    <t>Fernando Roig</t>
  </si>
  <si>
    <t>Igor Rotenberg</t>
  </si>
  <si>
    <t>Seifeddin Rustamov</t>
  </si>
  <si>
    <t>Deniz Sahenk</t>
  </si>
  <si>
    <t>Nobutada Saji</t>
  </si>
  <si>
    <t>Hajime Satomi</t>
  </si>
  <si>
    <t>Video games, pachinko</t>
  </si>
  <si>
    <t>James Scapa</t>
  </si>
  <si>
    <t>Stephan Schnabel</t>
  </si>
  <si>
    <t>Devi Shetty</t>
  </si>
  <si>
    <t>Albert Shigaboutdinov</t>
  </si>
  <si>
    <t>Diana Teh Li Shing</t>
  </si>
  <si>
    <t>Denis Shtengelov</t>
  </si>
  <si>
    <t>Food, retail</t>
  </si>
  <si>
    <t>Fei Song</t>
  </si>
  <si>
    <t>Hal Steinbrenner</t>
  </si>
  <si>
    <t>Jessica Steinbrenner</t>
  </si>
  <si>
    <t>Jennifer Steinbrenner Swindal</t>
  </si>
  <si>
    <t>Konstantin Strukov &amp; family</t>
  </si>
  <si>
    <t>Chelyabinsk</t>
  </si>
  <si>
    <t>Gold, coal mining</t>
  </si>
  <si>
    <t>Rustem Sulteev</t>
  </si>
  <si>
    <t>Clemens Toennies</t>
  </si>
  <si>
    <t>Rheda-WiedenbrÃ¼ck</t>
  </si>
  <si>
    <t>Robert Toennies</t>
  </si>
  <si>
    <t>John Van Lieshout</t>
  </si>
  <si>
    <t>Pongsak Viddayakorn</t>
  </si>
  <si>
    <t>Wang Jianguo</t>
  </si>
  <si>
    <t>Junjin Wang</t>
  </si>
  <si>
    <t>Wang Mingwang</t>
  </si>
  <si>
    <t>Wei Lidong &amp; family</t>
  </si>
  <si>
    <t>Myron Wentz</t>
  </si>
  <si>
    <t>Health products</t>
  </si>
  <si>
    <t>St. Kitts and Nevis</t>
  </si>
  <si>
    <t>Wu Xiaoge</t>
  </si>
  <si>
    <t>Wu Xushun &amp; family</t>
  </si>
  <si>
    <t>Wuhu</t>
  </si>
  <si>
    <t>Xiong Xiaochuan</t>
  </si>
  <si>
    <t>Xu Shaochun</t>
  </si>
  <si>
    <t>Yan Jane &amp; family</t>
  </si>
  <si>
    <t>Zeng Chaoyi</t>
  </si>
  <si>
    <t>Peng Zhao</t>
  </si>
  <si>
    <t>Online recruitment</t>
  </si>
  <si>
    <t>Zhao Tongtong</t>
  </si>
  <si>
    <t>Kostyantin Zhevago</t>
  </si>
  <si>
    <t>Zong Yanmin</t>
  </si>
  <si>
    <t>Jinan</t>
  </si>
  <si>
    <t>Semiconductor materials</t>
  </si>
  <si>
    <t>Sanjay Agarwal</t>
  </si>
  <si>
    <t>Jaipur</t>
  </si>
  <si>
    <t>Hamad bin Jassim bin Jaber Al Thani</t>
  </si>
  <si>
    <t>Joao Alves de Queiroz Filho</t>
  </si>
  <si>
    <t>SÃ£o Paulo</t>
  </si>
  <si>
    <t>Jose Maria Aristrain</t>
  </si>
  <si>
    <t>Michael Arougheti</t>
  </si>
  <si>
    <t>Nyack</t>
  </si>
  <si>
    <t>Tope Awotona</t>
  </si>
  <si>
    <t>Calendly</t>
  </si>
  <si>
    <t>Mehmet Aydinlar</t>
  </si>
  <si>
    <t>Danna Azrieli</t>
  </si>
  <si>
    <t>Naomi Azrieli</t>
  </si>
  <si>
    <t>Sharon Azrieli</t>
  </si>
  <si>
    <t>Bai Houshan</t>
  </si>
  <si>
    <t>Lithium battery</t>
  </si>
  <si>
    <t>Thomas Bailey</t>
  </si>
  <si>
    <t>Bernhard Braun-Luedicke</t>
  </si>
  <si>
    <t>Eva Maria Braun-Luedicke</t>
  </si>
  <si>
    <t>Friederike Braun-Luedicke</t>
  </si>
  <si>
    <t>Jeffrey Cheah</t>
  </si>
  <si>
    <t>Property, healthcare</t>
  </si>
  <si>
    <t>Chen Xianbao &amp; family</t>
  </si>
  <si>
    <t>Cheng Xianfeng</t>
  </si>
  <si>
    <t>Chung Yong-jin</t>
  </si>
  <si>
    <t>Shinsegae</t>
  </si>
  <si>
    <t>Darwin Deason</t>
  </si>
  <si>
    <t>Diego Della Valle</t>
  </si>
  <si>
    <t>Sant'' Elpidio A Mare</t>
  </si>
  <si>
    <t>Ashwin Desai</t>
  </si>
  <si>
    <t>Surat</t>
  </si>
  <si>
    <t>Specialty chemicals</t>
  </si>
  <si>
    <t>Richard Desmond</t>
  </si>
  <si>
    <t>Ding Shui Po</t>
  </si>
  <si>
    <t>Sneakers, sportswear</t>
  </si>
  <si>
    <t>Sefik Yilmaz Dizdar</t>
  </si>
  <si>
    <t>Mathias Doepfner</t>
  </si>
  <si>
    <t>Potsdam</t>
  </si>
  <si>
    <t>Farhad Ebrahimi</t>
  </si>
  <si>
    <t>Jose Roberto Ermirio de Moraes</t>
  </si>
  <si>
    <t>Jose Ermirio de Moraes Neto</t>
  </si>
  <si>
    <t>Fang Hongbo</t>
  </si>
  <si>
    <t>Shunde</t>
  </si>
  <si>
    <t>David Feffer</t>
  </si>
  <si>
    <t>Pulp and paper</t>
  </si>
  <si>
    <t>Zsolt Felcsuti</t>
  </si>
  <si>
    <t>Ben Francis</t>
  </si>
  <si>
    <t>Fitness clothing</t>
  </si>
  <si>
    <t>Gary Friedman</t>
  </si>
  <si>
    <t>Belvedere</t>
  </si>
  <si>
    <t>Furniture retail</t>
  </si>
  <si>
    <t>Dan Gertler</t>
  </si>
  <si>
    <t>Bnei Brak</t>
  </si>
  <si>
    <t>Balkrishan Goenka</t>
  </si>
  <si>
    <t>Lawrence Golub</t>
  </si>
  <si>
    <t>Saroj Rani Gupta</t>
  </si>
  <si>
    <t>Steel tubes</t>
  </si>
  <si>
    <t>Anthony Hall</t>
  </si>
  <si>
    <t>Fahed Hariri</t>
  </si>
  <si>
    <t>Richard Hayne</t>
  </si>
  <si>
    <t>Urban Outfitters</t>
  </si>
  <si>
    <t>Urban Outfitters Inc.</t>
  </si>
  <si>
    <t>Chairman, President &amp; Chief Executive Officer</t>
  </si>
  <si>
    <t>Michael Heine</t>
  </si>
  <si>
    <t>Orion Hindawi</t>
  </si>
  <si>
    <t>Tanium</t>
  </si>
  <si>
    <t>Lawrence Ho</t>
  </si>
  <si>
    <t>Huang Guanlin</t>
  </si>
  <si>
    <t>Sam Hupert</t>
  </si>
  <si>
    <t>Mohammed Ibrahim</t>
  </si>
  <si>
    <t>Communications</t>
  </si>
  <si>
    <t>Mo Ibrahim Foundation</t>
  </si>
  <si>
    <t>Shirley Kao</t>
  </si>
  <si>
    <t>Food &amp; beverage retailing</t>
  </si>
  <si>
    <t>David Kaplan</t>
  </si>
  <si>
    <t>Kim Kardashian</t>
  </si>
  <si>
    <t>Hidden Hills</t>
  </si>
  <si>
    <t>Shapewear, cosmetics, reality TV</t>
  </si>
  <si>
    <t>Personality</t>
  </si>
  <si>
    <t>Ke Guihua</t>
  </si>
  <si>
    <t>Ke Yunfeng &amp; family</t>
  </si>
  <si>
    <t>Alexander Klyachin</t>
  </si>
  <si>
    <t>Christine Knauf</t>
  </si>
  <si>
    <t>Karl Knauf</t>
  </si>
  <si>
    <t>Iphofen</t>
  </si>
  <si>
    <t>Suresh Krishna</t>
  </si>
  <si>
    <t>Guy LalibertÃ©</t>
  </si>
  <si>
    <t>Cirque du Soleil</t>
  </si>
  <si>
    <t>Lee Su-jin</t>
  </si>
  <si>
    <t>Hospitality</t>
  </si>
  <si>
    <t>Li Guoqing</t>
  </si>
  <si>
    <t>Petro Fibre</t>
  </si>
  <si>
    <t>Li Ruiqiang</t>
  </si>
  <si>
    <t>Medical services</t>
  </si>
  <si>
    <t>Zhen Li &amp; family</t>
  </si>
  <si>
    <t>Guangwei Liang</t>
  </si>
  <si>
    <t>Liu Ming Hui</t>
  </si>
  <si>
    <t>Frederic Luddy</t>
  </si>
  <si>
    <t>ServiceNow</t>
  </si>
  <si>
    <t>Founder and Chief Product Officer</t>
  </si>
  <si>
    <t>Cargill MacMillan, III.</t>
  </si>
  <si>
    <t>Boulder</t>
  </si>
  <si>
    <t>John MacMillan</t>
  </si>
  <si>
    <t>Plymouth</t>
  </si>
  <si>
    <t>Martha MacMillan</t>
  </si>
  <si>
    <t>Orono</t>
  </si>
  <si>
    <t>William MacMillan</t>
  </si>
  <si>
    <t>Englewood</t>
  </si>
  <si>
    <t>Keshub Mahindra</t>
  </si>
  <si>
    <t>Mao Zhongwu</t>
  </si>
  <si>
    <t>Jorge Mas</t>
  </si>
  <si>
    <t>Lorinc Meszaros</t>
  </si>
  <si>
    <t>FelcsÃºt</t>
  </si>
  <si>
    <t>Jeffrey Michael &amp; family</t>
  </si>
  <si>
    <t>Minnetonka</t>
  </si>
  <si>
    <t>Data management</t>
  </si>
  <si>
    <t>Alan Miller &amp; family</t>
  </si>
  <si>
    <t>Lower Merion</t>
  </si>
  <si>
    <t>Ulrich Mommert &amp; family</t>
  </si>
  <si>
    <t>Lighting</t>
  </si>
  <si>
    <t>Neide Helena de Moraes</t>
  </si>
  <si>
    <t>Scott Nuttall</t>
  </si>
  <si>
    <t>Kailashchandra Nuwal</t>
  </si>
  <si>
    <t>Axel Oberwelland &amp; family</t>
  </si>
  <si>
    <t>Jonathan Oringer</t>
  </si>
  <si>
    <t>Stock photos</t>
  </si>
  <si>
    <t>Vitaly Orlov</t>
  </si>
  <si>
    <t>Murmansk</t>
  </si>
  <si>
    <t>Fisheries</t>
  </si>
  <si>
    <t>Jose Isaac Peres &amp; family</t>
  </si>
  <si>
    <t>Markus Persson</t>
  </si>
  <si>
    <t>Computer games</t>
  </si>
  <si>
    <t>Mark Pincus</t>
  </si>
  <si>
    <t>Zynga Inc</t>
  </si>
  <si>
    <t>Murdaya Poo</t>
  </si>
  <si>
    <t>Forrest Preston</t>
  </si>
  <si>
    <t>Cleveland</t>
  </si>
  <si>
    <t>Qian Ying</t>
  </si>
  <si>
    <t>Jimmy Rane</t>
  </si>
  <si>
    <t>Abbeville</t>
  </si>
  <si>
    <t>Lumber</t>
  </si>
  <si>
    <t>Andrei Rappoport</t>
  </si>
  <si>
    <t>Hugo Ribeiro &amp; family</t>
  </si>
  <si>
    <t>Bennett Rosenthal</t>
  </si>
  <si>
    <t>Atul Ruia</t>
  </si>
  <si>
    <t>Thomas Sandell</t>
  </si>
  <si>
    <t>Sandell Asset Management</t>
  </si>
  <si>
    <t>Francesco Saputo</t>
  </si>
  <si>
    <t>Dhruv Sawhney</t>
  </si>
  <si>
    <t>Engineering, sugar</t>
  </si>
  <si>
    <t>Gerald Schwartz</t>
  </si>
  <si>
    <t>Antonio Luiz Seabra</t>
  </si>
  <si>
    <t>Eric Ya Shen</t>
  </si>
  <si>
    <t>Online apparel retail</t>
  </si>
  <si>
    <t>Sytse 'Sid' Sijbrandij</t>
  </si>
  <si>
    <t>Alexander Sixt</t>
  </si>
  <si>
    <t>Car rentals</t>
  </si>
  <si>
    <t>Konstantin Sixt</t>
  </si>
  <si>
    <t>Edwin Soeryadjaya</t>
  </si>
  <si>
    <t>Coal, investments</t>
  </si>
  <si>
    <t>Abhay Soi</t>
  </si>
  <si>
    <t>Mike Speiser</t>
  </si>
  <si>
    <t>Sutter Hill Ventures</t>
  </si>
  <si>
    <t>Managing Director</t>
  </si>
  <si>
    <t>Marco Squinzi</t>
  </si>
  <si>
    <t>Veronica Squinzi</t>
  </si>
  <si>
    <t>Michael Steinhardt</t>
  </si>
  <si>
    <t>Mount Kisco</t>
  </si>
  <si>
    <t>Ion Stoica</t>
  </si>
  <si>
    <t>Eddy Sugianto</t>
  </si>
  <si>
    <t>Luc Tack</t>
  </si>
  <si>
    <t>Deinze</t>
  </si>
  <si>
    <t>Textile, chemicals</t>
  </si>
  <si>
    <t>Tony Tan Caktiong</t>
  </si>
  <si>
    <t>Xiuguo Tang</t>
  </si>
  <si>
    <t>Sam Tarascio</t>
  </si>
  <si>
    <t>Lina Tombolato</t>
  </si>
  <si>
    <t>Tombolo</t>
  </si>
  <si>
    <t>Ching Bor Tung</t>
  </si>
  <si>
    <t>Joop van den Ende</t>
  </si>
  <si>
    <t>Baarn</t>
  </si>
  <si>
    <t>Ruben Vardanyan &amp; family</t>
  </si>
  <si>
    <t>Armenia</t>
  </si>
  <si>
    <t>Erevan</t>
  </si>
  <si>
    <t xml:space="preserve">$13,672,802,158 </t>
  </si>
  <si>
    <t>Sandro Veronesi &amp; family</t>
  </si>
  <si>
    <t>Thongma Vijitpongpun</t>
  </si>
  <si>
    <t>Thomas von Koch</t>
  </si>
  <si>
    <t>Wang Fuji</t>
  </si>
  <si>
    <t>Zhangzhou</t>
  </si>
  <si>
    <t>Wang Shih-Chung</t>
  </si>
  <si>
    <t>Pneumatic equipments</t>
  </si>
  <si>
    <t>Wang Xiaoshen</t>
  </si>
  <si>
    <t>Urumchi</t>
  </si>
  <si>
    <t>J. Wayne Weaver</t>
  </si>
  <si>
    <t>Jacksonville</t>
  </si>
  <si>
    <t>Drorit Wertheim</t>
  </si>
  <si>
    <t>Bnei Atarot</t>
  </si>
  <si>
    <t>Coca Cola Israel</t>
  </si>
  <si>
    <t>Cameron Winklevoss</t>
  </si>
  <si>
    <t>Tyler Winklevoss</t>
  </si>
  <si>
    <t>Wu Chung-yi</t>
  </si>
  <si>
    <t>Chang Hwa County</t>
  </si>
  <si>
    <t>Eugene Wu</t>
  </si>
  <si>
    <t>Wu Yonghua</t>
  </si>
  <si>
    <t>Xia Xinde</t>
  </si>
  <si>
    <t>Wenbo Xiang</t>
  </si>
  <si>
    <t>Xu Jin</t>
  </si>
  <si>
    <t>Huaibei city</t>
  </si>
  <si>
    <t>Xu Shijun &amp; family</t>
  </si>
  <si>
    <t>Nantong</t>
  </si>
  <si>
    <t>Wanmao Xu</t>
  </si>
  <si>
    <t>Xu Yuejuan</t>
  </si>
  <si>
    <t>Vadim Yakunin</t>
  </si>
  <si>
    <t>Pharmacy</t>
  </si>
  <si>
    <t>Yang Yunyun</t>
  </si>
  <si>
    <t>Matei Zaharia</t>
  </si>
  <si>
    <t>Zan Shengda</t>
  </si>
  <si>
    <t>Zhang Xuezheng</t>
  </si>
  <si>
    <t>Zhang Yin</t>
  </si>
  <si>
    <t>Paper manufacturing</t>
  </si>
  <si>
    <t>Ning Zhao</t>
  </si>
  <si>
    <t>Zhou Wen &amp; family</t>
  </si>
  <si>
    <t>Zhu Xingliang</t>
  </si>
  <si>
    <t>Hari Krishan Agarwal</t>
  </si>
  <si>
    <t>Sports shoes</t>
  </si>
  <si>
    <t>Farkhad Akhmedov</t>
  </si>
  <si>
    <t>Prem Kumar Arora</t>
  </si>
  <si>
    <t>Joseph Bae</t>
  </si>
  <si>
    <t>Abigail Bennett</t>
  </si>
  <si>
    <t>Rochester</t>
  </si>
  <si>
    <t>Sara Blakely</t>
  </si>
  <si>
    <t>Spanx</t>
  </si>
  <si>
    <t>Lloyd Blankfein</t>
  </si>
  <si>
    <t>Goldman Sachs Group</t>
  </si>
  <si>
    <t>Henadiy Boholyubov</t>
  </si>
  <si>
    <t>Dnipro</t>
  </si>
  <si>
    <t>Stephane Bonvin</t>
  </si>
  <si>
    <t>Lens</t>
  </si>
  <si>
    <t>Oleg Boyko</t>
  </si>
  <si>
    <t>Lipperswil</t>
  </si>
  <si>
    <t>Ryan Breslow</t>
  </si>
  <si>
    <t>E-commerce software</t>
  </si>
  <si>
    <t>Bolt</t>
  </si>
  <si>
    <t>Thomas Bruch</t>
  </si>
  <si>
    <t>St. Wendel</t>
  </si>
  <si>
    <t>Marina Budiman</t>
  </si>
  <si>
    <t>Pradip Burman</t>
  </si>
  <si>
    <t>Cai Hongbin</t>
  </si>
  <si>
    <t>Cao Kejian</t>
  </si>
  <si>
    <t>Quzhou</t>
  </si>
  <si>
    <t>Air compressors</t>
  </si>
  <si>
    <t>Giuliana Caprotti</t>
  </si>
  <si>
    <t>Marina Caprotti</t>
  </si>
  <si>
    <t>Chang Jing</t>
  </si>
  <si>
    <t>Chen Baohua</t>
  </si>
  <si>
    <t>Linhai</t>
  </si>
  <si>
    <t>Gang Chen</t>
  </si>
  <si>
    <t>Solar energy</t>
  </si>
  <si>
    <t>Liying Chen</t>
  </si>
  <si>
    <t>Tony Chen</t>
  </si>
  <si>
    <t>Chen Xueling</t>
  </si>
  <si>
    <t>Cheng Lili</t>
  </si>
  <si>
    <t>Poultry breeding</t>
  </si>
  <si>
    <t>Cho Jyh-jer</t>
  </si>
  <si>
    <t>Weili Dai</t>
  </si>
  <si>
    <t>Marvell Technology Group Ltd.</t>
  </si>
  <si>
    <t>Cofounder-President</t>
  </si>
  <si>
    <t>Carmen Daurella Aguilera</t>
  </si>
  <si>
    <t>Deng Yingzhong</t>
  </si>
  <si>
    <t>Shlomo Eliahu</t>
  </si>
  <si>
    <t>Henry Engelhardt</t>
  </si>
  <si>
    <t>Cardiff</t>
  </si>
  <si>
    <t xml:space="preserve">Admiral Group </t>
  </si>
  <si>
    <t>Gabriel Escarrer</t>
  </si>
  <si>
    <t>Palma de Majorca</t>
  </si>
  <si>
    <t>Daniel Feffer</t>
  </si>
  <si>
    <t>Ruben Feffer</t>
  </si>
  <si>
    <t>Gleb Fetisov</t>
  </si>
  <si>
    <t>Paul Fireman</t>
  </si>
  <si>
    <t>Reebok</t>
  </si>
  <si>
    <t>Robert Fisher</t>
  </si>
  <si>
    <t>Chairman of the Board</t>
  </si>
  <si>
    <t>Bernd Freier</t>
  </si>
  <si>
    <t>Rottendorf</t>
  </si>
  <si>
    <t>Donald Friese</t>
  </si>
  <si>
    <t>Gan Zhongru</t>
  </si>
  <si>
    <t>Rahul Gautam</t>
  </si>
  <si>
    <t>Mattresses</t>
  </si>
  <si>
    <t>David Golub</t>
  </si>
  <si>
    <t>Pavel Golubkov</t>
  </si>
  <si>
    <t>Building, development</t>
  </si>
  <si>
    <t>Cristina Green</t>
  </si>
  <si>
    <t>Philip Green</t>
  </si>
  <si>
    <t>Said Gutseriev</t>
  </si>
  <si>
    <t>Polys Haji-Ioannou</t>
  </si>
  <si>
    <t>EasyJet</t>
  </si>
  <si>
    <t>He Zuxun</t>
  </si>
  <si>
    <t>Christian Herz</t>
  </si>
  <si>
    <t>Michaela Herz</t>
  </si>
  <si>
    <t>David Hindawi</t>
  </si>
  <si>
    <t>Huang Shan</t>
  </si>
  <si>
    <t>Huang Xiaofen &amp; family</t>
  </si>
  <si>
    <t>Printed circuit boards</t>
  </si>
  <si>
    <t>Hiroshi Ishibashi</t>
  </si>
  <si>
    <t>Masayuki Ishihara</t>
  </si>
  <si>
    <t>Pachinko machines</t>
  </si>
  <si>
    <t>Chatchai Kaewbootta</t>
  </si>
  <si>
    <t>Nikhil Kamath</t>
  </si>
  <si>
    <t>Jonas Kamprad</t>
  </si>
  <si>
    <t>IKEA</t>
  </si>
  <si>
    <t>Mathias Kamprad</t>
  </si>
  <si>
    <t>Peter Kamprad</t>
  </si>
  <si>
    <t>Tervuren</t>
  </si>
  <si>
    <t>Fumio Kaneko</t>
  </si>
  <si>
    <t>Waste management</t>
  </si>
  <si>
    <t>Sunjay Kapur</t>
  </si>
  <si>
    <t>Ali Metin Kazanci</t>
  </si>
  <si>
    <t>Kangbao Ke &amp; family</t>
  </si>
  <si>
    <t>Carsten Koerl</t>
  </si>
  <si>
    <t>Sports data</t>
  </si>
  <si>
    <t>Koo Bon-sik</t>
  </si>
  <si>
    <t>Heesung</t>
  </si>
  <si>
    <t>Andrei Kosogov</t>
  </si>
  <si>
    <t>Yogesh Kothari</t>
  </si>
  <si>
    <t>Arvind Lal</t>
  </si>
  <si>
    <t>Medical diagnostics</t>
  </si>
  <si>
    <t>Manuel Lao HernÃ¡ndez</t>
  </si>
  <si>
    <t>Matadepera</t>
  </si>
  <si>
    <t>Lee Joong-keun</t>
  </si>
  <si>
    <t>Construction, real estate</t>
  </si>
  <si>
    <t>Booyoung Group</t>
  </si>
  <si>
    <t>Nancy Lerner</t>
  </si>
  <si>
    <t>Norma Lerner</t>
  </si>
  <si>
    <t>Randolph Lerner</t>
  </si>
  <si>
    <t>Lin Zhijun</t>
  </si>
  <si>
    <t>Lin Zhixiong &amp; family</t>
  </si>
  <si>
    <t>Jeffrey Lorberbaum</t>
  </si>
  <si>
    <t>Chattanooga</t>
  </si>
  <si>
    <t>Flooring</t>
  </si>
  <si>
    <t>Lu Rongfu</t>
  </si>
  <si>
    <t>Telecommunication</t>
  </si>
  <si>
    <t>Lyu Yixiong</t>
  </si>
  <si>
    <t>Soichiro Minami</t>
  </si>
  <si>
    <t>Internet and software</t>
  </si>
  <si>
    <t>Pawan Munjal</t>
  </si>
  <si>
    <t>Two wheelers</t>
  </si>
  <si>
    <t>Renu Munjal</t>
  </si>
  <si>
    <t>Suman Munjal</t>
  </si>
  <si>
    <t>Dmitry Nikolaev</t>
  </si>
  <si>
    <t>Kemerovo</t>
  </si>
  <si>
    <t>Sjamsul Nursalim</t>
  </si>
  <si>
    <t>Tires, retail</t>
  </si>
  <si>
    <t>Adrian Paval</t>
  </si>
  <si>
    <t>Antonio Percassi</t>
  </si>
  <si>
    <t>Real estate, diversified</t>
  </si>
  <si>
    <t>Kevin Plank</t>
  </si>
  <si>
    <t>Lutherville-Timonium</t>
  </si>
  <si>
    <t>Under Armour</t>
  </si>
  <si>
    <t>G.V. Prasad</t>
  </si>
  <si>
    <t>Pu Zhongjie &amp; family</t>
  </si>
  <si>
    <t>Rao Wei &amp; family</t>
  </si>
  <si>
    <t>Helena Revoredo</t>
  </si>
  <si>
    <t>Security services</t>
  </si>
  <si>
    <t>Matthew Roszak</t>
  </si>
  <si>
    <t>Paul Sciarra</t>
  </si>
  <si>
    <t>Rajesh Sharma</t>
  </si>
  <si>
    <t>Dean Solon</t>
  </si>
  <si>
    <t>Gallatin</t>
  </si>
  <si>
    <t>Solar systems</t>
  </si>
  <si>
    <t>Michael Spencer</t>
  </si>
  <si>
    <t>London, Suffolk</t>
  </si>
  <si>
    <t>Stock exchange</t>
  </si>
  <si>
    <t>Joseph Steinberg</t>
  </si>
  <si>
    <t>Zachary Stern</t>
  </si>
  <si>
    <t>Manny Stul</t>
  </si>
  <si>
    <t>Sun Hongjun</t>
  </si>
  <si>
    <t>Sun Weijie</t>
  </si>
  <si>
    <t>Oilfield equipment</t>
  </si>
  <si>
    <t>Sehat Sutardja</t>
  </si>
  <si>
    <t>Min-Liang Tan</t>
  </si>
  <si>
    <t>gaming</t>
  </si>
  <si>
    <t>Tan Yu Yeh</t>
  </si>
  <si>
    <t>Selangor</t>
  </si>
  <si>
    <t>Tang Aoqi &amp; family</t>
  </si>
  <si>
    <t>Vonnarat Tangkaravakoon</t>
  </si>
  <si>
    <t>Wire &amp; cables, paints</t>
  </si>
  <si>
    <t>Tsao Ter-fung</t>
  </si>
  <si>
    <t>Tung Ching Sai</t>
  </si>
  <si>
    <t>Arkady Volozh</t>
  </si>
  <si>
    <t>Search engine</t>
  </si>
  <si>
    <t>Peter-Alexander Wacker</t>
  </si>
  <si>
    <t>Starnberg</t>
  </si>
  <si>
    <t>Wan Long</t>
  </si>
  <si>
    <t>Luohe</t>
  </si>
  <si>
    <t>Wang Han</t>
  </si>
  <si>
    <t>Lars Wingefors</t>
  </si>
  <si>
    <t>Karlstad</t>
  </si>
  <si>
    <t>Allan Wong</t>
  </si>
  <si>
    <t>Tiger Woods</t>
  </si>
  <si>
    <t>Jupiter Island</t>
  </si>
  <si>
    <t>Golf</t>
  </si>
  <si>
    <t>PGA</t>
  </si>
  <si>
    <t>Horst Wortmann</t>
  </si>
  <si>
    <t>Detmold</t>
  </si>
  <si>
    <t>Wu Kaiting</t>
  </si>
  <si>
    <t>Wu Li-gann</t>
  </si>
  <si>
    <t>Kaohsiung</t>
  </si>
  <si>
    <t>Wu Xiangdong</t>
  </si>
  <si>
    <t>Consumer</t>
  </si>
  <si>
    <t>Xiu Laigui</t>
  </si>
  <si>
    <t>Xu Jiangnan</t>
  </si>
  <si>
    <t>Leping</t>
  </si>
  <si>
    <t>Vitamins</t>
  </si>
  <si>
    <t>Xue Jiping</t>
  </si>
  <si>
    <t>Cable</t>
  </si>
  <si>
    <t>Yao Hsiao Tung</t>
  </si>
  <si>
    <t>Ye Qiongjiu</t>
  </si>
  <si>
    <t>Yanqiao Ye</t>
  </si>
  <si>
    <t>Yeh Kuo-I</t>
  </si>
  <si>
    <t>Yu Faxiang</t>
  </si>
  <si>
    <t>Tourism, cultural industry</t>
  </si>
  <si>
    <t>Zeng Chaolin</t>
  </si>
  <si>
    <t>Yongzhou</t>
  </si>
  <si>
    <t>Aluminium</t>
  </si>
  <si>
    <t>Kapeng Zhang</t>
  </si>
  <si>
    <t>Zhang Xuansong</t>
  </si>
  <si>
    <t>Zhang Xuewu</t>
  </si>
  <si>
    <t>Zhu Yiming</t>
  </si>
  <si>
    <t>Zhu Zhaojiang</t>
  </si>
  <si>
    <t>Zhuo Jun</t>
  </si>
  <si>
    <t>Manohar Lal Agarwal</t>
  </si>
  <si>
    <t>Christian Angermayer</t>
  </si>
  <si>
    <t>Ryuji Arai</t>
  </si>
  <si>
    <t>Anna Maria Braun</t>
  </si>
  <si>
    <t>Johanna Braun</t>
  </si>
  <si>
    <t>Karl Friedrich Braun</t>
  </si>
  <si>
    <t>Ludwig Theodor Braun</t>
  </si>
  <si>
    <t>Ana Maria Brescia Cafferata</t>
  </si>
  <si>
    <t>Mining, banking</t>
  </si>
  <si>
    <t>Jimmy Buffett</t>
  </si>
  <si>
    <t>Entertainment, Margaritaville</t>
  </si>
  <si>
    <t>Hideyuki Busujima</t>
  </si>
  <si>
    <t>Edouard Carmignac</t>
  </si>
  <si>
    <t>Chang Kuo-Ming</t>
  </si>
  <si>
    <t>Chen Jiancheng</t>
  </si>
  <si>
    <t>Rui Chen</t>
  </si>
  <si>
    <t>Online entertainment</t>
  </si>
  <si>
    <t>Chen Shiliang</t>
  </si>
  <si>
    <t>Polyester</t>
  </si>
  <si>
    <t>Tianqiao Chen</t>
  </si>
  <si>
    <t>Yuantai Chen</t>
  </si>
  <si>
    <t>Cheng Antares</t>
  </si>
  <si>
    <t>Kochouseph Chittilappilly</t>
  </si>
  <si>
    <t>Kochi</t>
  </si>
  <si>
    <t>Electrical appliances</t>
  </si>
  <si>
    <t>John Christodoulou</t>
  </si>
  <si>
    <t>Pollyanna Chu</t>
  </si>
  <si>
    <t>Financial services, property</t>
  </si>
  <si>
    <t>Turgay Ciner</t>
  </si>
  <si>
    <t>Benoit Dageville</t>
  </si>
  <si>
    <t>San Carlos</t>
  </si>
  <si>
    <t>Mark Dixon</t>
  </si>
  <si>
    <t>Office real estate</t>
  </si>
  <si>
    <t>Du Yulin &amp; family</t>
  </si>
  <si>
    <t>Feng Yuxia</t>
  </si>
  <si>
    <t>Benedicte Find</t>
  </si>
  <si>
    <t>Copenhagen</t>
  </si>
  <si>
    <t>William Fisher</t>
  </si>
  <si>
    <t>Gao Yunfeng</t>
  </si>
  <si>
    <t>Industrial lasers</t>
  </si>
  <si>
    <t>Jianming Geng</t>
  </si>
  <si>
    <t>Sven HagstrÃ¶mer</t>
  </si>
  <si>
    <t>Clelia Haji-Ioannou</t>
  </si>
  <si>
    <t>Stelios Haji-Ioannou</t>
  </si>
  <si>
    <t>Hang Hong</t>
  </si>
  <si>
    <t>He Yamin &amp; family</t>
  </si>
  <si>
    <t>Ghan Djoe Hiang</t>
  </si>
  <si>
    <t>Hong Feng</t>
  </si>
  <si>
    <t>Hong Seok-joh</t>
  </si>
  <si>
    <t>BGF Co. Ltd.</t>
  </si>
  <si>
    <t>Hu Gengxi &amp; family</t>
  </si>
  <si>
    <t>Bio-Pharma</t>
  </si>
  <si>
    <t>Danilo Iervolino</t>
  </si>
  <si>
    <t>Online universities</t>
  </si>
  <si>
    <t>Hedda im Brahm-Droege</t>
  </si>
  <si>
    <t>Inder Jaisinghani</t>
  </si>
  <si>
    <t>Cables &amp; wires</t>
  </si>
  <si>
    <t>LeBron James</t>
  </si>
  <si>
    <t>Basketball</t>
  </si>
  <si>
    <t>NBA</t>
  </si>
  <si>
    <t>Johan Johannson</t>
  </si>
  <si>
    <t>Grocery stores</t>
  </si>
  <si>
    <t>Morris Kahn</t>
  </si>
  <si>
    <t>Beit Yanay</t>
  </si>
  <si>
    <t>Ashok Kajaria</t>
  </si>
  <si>
    <t>Tiles</t>
  </si>
  <si>
    <t>Marcelo Kalim</t>
  </si>
  <si>
    <t>Ken Kendrick</t>
  </si>
  <si>
    <t>Banking, sports team</t>
  </si>
  <si>
    <t>Brad Keywell</t>
  </si>
  <si>
    <t>Muhammed Aziz Khan</t>
  </si>
  <si>
    <t>Power</t>
  </si>
  <si>
    <t>Bangladesh</t>
  </si>
  <si>
    <t>Kim Jung-woong</t>
  </si>
  <si>
    <t>Ihor Kolomoyskyy</t>
  </si>
  <si>
    <t>Kong Jian Min</t>
  </si>
  <si>
    <t>Koo Bon-neung</t>
  </si>
  <si>
    <t>Heesung Electronics</t>
  </si>
  <si>
    <t>Michael Kum</t>
  </si>
  <si>
    <t>Richard Kurtz</t>
  </si>
  <si>
    <t>Lev Kvetnoi</t>
  </si>
  <si>
    <t>Michiel Le Roux</t>
  </si>
  <si>
    <t>Stellenbosch</t>
  </si>
  <si>
    <t>Li Wanqiang</t>
  </si>
  <si>
    <t>Liu Baolin</t>
  </si>
  <si>
    <t>Loo Choon Yong</t>
  </si>
  <si>
    <t>Lu Yonghua &amp; family</t>
  </si>
  <si>
    <t>Ma Xiuhui</t>
  </si>
  <si>
    <t>LED lighting</t>
  </si>
  <si>
    <t>Apoorva Mehta</t>
  </si>
  <si>
    <t>Grocery delivery service</t>
  </si>
  <si>
    <t>Instacart</t>
  </si>
  <si>
    <t>Gabriella Meister</t>
  </si>
  <si>
    <t>Landsberg am Lech</t>
  </si>
  <si>
    <t>Ulrike Meister</t>
  </si>
  <si>
    <t>Landsberg</t>
  </si>
  <si>
    <t>Andrei Molchanov</t>
  </si>
  <si>
    <t>Fulvio MontipÃ² &amp; family</t>
  </si>
  <si>
    <t>Reggio Emilia</t>
  </si>
  <si>
    <t>Hydraulic pumps</t>
  </si>
  <si>
    <t>Stanley Motta</t>
  </si>
  <si>
    <t>Panama</t>
  </si>
  <si>
    <t>Tyler Perry</t>
  </si>
  <si>
    <t>Movies, television</t>
  </si>
  <si>
    <t>Television</t>
  </si>
  <si>
    <t>RÃ©al Plourde</t>
  </si>
  <si>
    <t>Vera Rechulski Santo Domingo</t>
  </si>
  <si>
    <t>George Sakellaris</t>
  </si>
  <si>
    <t>Eddy Kusnadi Sariaatmadja</t>
  </si>
  <si>
    <t>Media, tech</t>
  </si>
  <si>
    <t>Neerja Sethi</t>
  </si>
  <si>
    <t>IT consulting, outsourcing</t>
  </si>
  <si>
    <t>Scott Smith</t>
  </si>
  <si>
    <t>Petter Stordalen &amp; family</t>
  </si>
  <si>
    <t>Ivan Streshinsky</t>
  </si>
  <si>
    <t>Metals, telecom</t>
  </si>
  <si>
    <t>Sergei Sudarikov</t>
  </si>
  <si>
    <t>Finance, development</t>
  </si>
  <si>
    <t>Wijono Tanoko</t>
  </si>
  <si>
    <t>Haryanto Tjiptodihardjo</t>
  </si>
  <si>
    <t>David Tran &amp; family</t>
  </si>
  <si>
    <t>Arcadia</t>
  </si>
  <si>
    <t>Hot sauce</t>
  </si>
  <si>
    <t>Kenzo Tsujimoto</t>
  </si>
  <si>
    <t>Murat Vargi</t>
  </si>
  <si>
    <t>Shigefumi Wada</t>
  </si>
  <si>
    <t>Nakano, Tokyo</t>
  </si>
  <si>
    <t>Wan Feng &amp; family</t>
  </si>
  <si>
    <t>Wang Jianfeng &amp; family</t>
  </si>
  <si>
    <t>Masaru Wasami</t>
  </si>
  <si>
    <t>V. Prem Watsa</t>
  </si>
  <si>
    <t>Wen Pengcheng &amp; family</t>
  </si>
  <si>
    <t>Yunfu</t>
  </si>
  <si>
    <t>Toto Wolff</t>
  </si>
  <si>
    <t>Franziska Wuerbser</t>
  </si>
  <si>
    <t>Xie Bingzheng &amp; family</t>
  </si>
  <si>
    <t>Xu Gang</t>
  </si>
  <si>
    <t>Yan Junxu</t>
  </si>
  <si>
    <t>Taicang</t>
  </si>
  <si>
    <t>Yi Xianzhong &amp; family</t>
  </si>
  <si>
    <t>Yu Rong</t>
  </si>
  <si>
    <t>Health clinics</t>
  </si>
  <si>
    <t>Richard Yuengling, Jr.</t>
  </si>
  <si>
    <t>Pottsville</t>
  </si>
  <si>
    <t>Zhang Gongyun</t>
  </si>
  <si>
    <t>Gaomi</t>
  </si>
  <si>
    <t>Tyre manufacturing machinery</t>
  </si>
  <si>
    <t>Zhang Guiping &amp; family</t>
  </si>
  <si>
    <t>Inigo Zobel</t>
  </si>
  <si>
    <t>Makati</t>
  </si>
  <si>
    <t>age category</t>
  </si>
  <si>
    <t>70-80</t>
  </si>
  <si>
    <t>50-60</t>
  </si>
  <si>
    <t>90-100</t>
  </si>
  <si>
    <t>60-70</t>
  </si>
  <si>
    <t>80-90</t>
  </si>
  <si>
    <t>40-50</t>
  </si>
  <si>
    <t>30-40</t>
  </si>
  <si>
    <t>Row Labels</t>
  </si>
  <si>
    <t>Grand Total</t>
  </si>
  <si>
    <t>Sum of finalWorth</t>
  </si>
  <si>
    <t>Gender wise Final worth</t>
  </si>
  <si>
    <t>Final worth</t>
  </si>
  <si>
    <t>FALSE</t>
  </si>
  <si>
    <t>TRUE</t>
  </si>
  <si>
    <t>Count of selfMade</t>
  </si>
  <si>
    <t>20-30</t>
  </si>
  <si>
    <t>Count of age category</t>
  </si>
  <si>
    <t>self Made</t>
  </si>
  <si>
    <t>Rank</t>
  </si>
  <si>
    <t>U.S</t>
  </si>
  <si>
    <t>Count of gender</t>
  </si>
  <si>
    <t>Female</t>
  </si>
  <si>
    <t>Male</t>
  </si>
  <si>
    <t>education inrrollment category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</si>
</sst>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colors>
    <mruColors>
      <color rgb="FFF99198"/>
      <color rgb="FF4039C7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[Dashboard_billioners_data.xlsx]category and Final worth!PivotTable1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Category</a:t>
            </a:r>
            <a:r>
              <a:rPr lang="en-US" baseline="0"/>
              <a:t> &amp; Final worth</a:t>
            </a:r>
          </a:p>
        </c:rich>
      </c:tx>
      <c:layout>
        <c:manualLayout>
          <c:xMode val="edge"/>
          <c:yMode val="edge"/>
          <c:x val="0.33307070707070807"/>
          <c:y val="3.2317636195752536E-2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'category and Final worth'!$B$3:$B$4</c:f>
              <c:strCache>
                <c:ptCount val="1"/>
                <c:pt idx="0">
                  <c:v>F</c:v>
                </c:pt>
              </c:strCache>
            </c:strRef>
          </c:tx>
          <c:cat>
            <c:strRef>
              <c:f>'category and Final worth'!$A$5:$A$14</c:f>
              <c:strCache>
                <c:ptCount val="10"/>
                <c:pt idx="0">
                  <c:v>Automotive</c:v>
                </c:pt>
                <c:pt idx="1">
                  <c:v>Diversified</c:v>
                </c:pt>
                <c:pt idx="2">
                  <c:v>Energy</c:v>
                </c:pt>
                <c:pt idx="3">
                  <c:v>Fashion &amp; Retail</c:v>
                </c:pt>
                <c:pt idx="4">
                  <c:v>Finance &amp; Investments</c:v>
                </c:pt>
                <c:pt idx="5">
                  <c:v>Food &amp; Beverage</c:v>
                </c:pt>
                <c:pt idx="6">
                  <c:v>Healthcare</c:v>
                </c:pt>
                <c:pt idx="7">
                  <c:v>Manufacturing</c:v>
                </c:pt>
                <c:pt idx="8">
                  <c:v>Real Estate</c:v>
                </c:pt>
                <c:pt idx="9">
                  <c:v>Technology</c:v>
                </c:pt>
              </c:strCache>
            </c:strRef>
          </c:cat>
          <c:val>
            <c:numRef>
              <c:f>'category and Final worth'!$B$5:$B$14</c:f>
              <c:numCache>
                <c:formatCode>General</c:formatCode>
                <c:ptCount val="10"/>
                <c:pt idx="0">
                  <c:v>41000</c:v>
                </c:pt>
                <c:pt idx="1">
                  <c:v>144100</c:v>
                </c:pt>
                <c:pt idx="2">
                  <c:v>45600</c:v>
                </c:pt>
                <c:pt idx="3">
                  <c:v>283800</c:v>
                </c:pt>
                <c:pt idx="4">
                  <c:v>122400</c:v>
                </c:pt>
                <c:pt idx="5">
                  <c:v>212400</c:v>
                </c:pt>
                <c:pt idx="6">
                  <c:v>78600</c:v>
                </c:pt>
                <c:pt idx="7">
                  <c:v>108100</c:v>
                </c:pt>
                <c:pt idx="8">
                  <c:v>83800</c:v>
                </c:pt>
                <c:pt idx="9">
                  <c:v>123500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E85-47B0-AF8E-85369673588A}"/>
            </c:ext>
          </c:extLst>
        </c:ser>
        <c:ser>
          <c:idx val="1"/>
          <c:order val="1"/>
          <c:tx>
            <c:strRef>
              <c:f>'category and Final worth'!$C$3:$C$4</c:f>
              <c:strCache>
                <c:ptCount val="1"/>
                <c:pt idx="0">
                  <c:v>M</c:v>
                </c:pt>
              </c:strCache>
            </c:strRef>
          </c:tx>
          <c:cat>
            <c:strRef>
              <c:f>'category and Final worth'!$A$5:$A$14</c:f>
              <c:strCache>
                <c:ptCount val="10"/>
                <c:pt idx="0">
                  <c:v>Automotive</c:v>
                </c:pt>
                <c:pt idx="1">
                  <c:v>Diversified</c:v>
                </c:pt>
                <c:pt idx="2">
                  <c:v>Energy</c:v>
                </c:pt>
                <c:pt idx="3">
                  <c:v>Fashion &amp; Retail</c:v>
                </c:pt>
                <c:pt idx="4">
                  <c:v>Finance &amp; Investments</c:v>
                </c:pt>
                <c:pt idx="5">
                  <c:v>Food &amp; Beverage</c:v>
                </c:pt>
                <c:pt idx="6">
                  <c:v>Healthcare</c:v>
                </c:pt>
                <c:pt idx="7">
                  <c:v>Manufacturing</c:v>
                </c:pt>
                <c:pt idx="8">
                  <c:v>Real Estate</c:v>
                </c:pt>
                <c:pt idx="9">
                  <c:v>Technology</c:v>
                </c:pt>
              </c:strCache>
            </c:strRef>
          </c:cat>
          <c:val>
            <c:numRef>
              <c:f>'category and Final worth'!$C$5:$C$14</c:f>
              <c:numCache>
                <c:formatCode>General</c:formatCode>
                <c:ptCount val="10"/>
                <c:pt idx="0">
                  <c:v>484300</c:v>
                </c:pt>
                <c:pt idx="1">
                  <c:v>761100</c:v>
                </c:pt>
                <c:pt idx="2">
                  <c:v>407900</c:v>
                </c:pt>
                <c:pt idx="3">
                  <c:v>1415000</c:v>
                </c:pt>
                <c:pt idx="4">
                  <c:v>1482700</c:v>
                </c:pt>
                <c:pt idx="5">
                  <c:v>744800</c:v>
                </c:pt>
                <c:pt idx="6">
                  <c:v>564600</c:v>
                </c:pt>
                <c:pt idx="7">
                  <c:v>910900</c:v>
                </c:pt>
                <c:pt idx="8">
                  <c:v>573600</c:v>
                </c:pt>
                <c:pt idx="9">
                  <c:v>1754400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E85-47B0-AF8E-85369673588A}"/>
            </c:ext>
          </c:extLst>
        </c:ser>
        <c:axId val="160883456"/>
        <c:axId val="160884992"/>
      </c:barChart>
      <c:catAx>
        <c:axId val="160883456"/>
        <c:scaling>
          <c:orientation val="minMax"/>
        </c:scaling>
        <c:axPos val="l"/>
        <c:numFmt formatCode="General" sourceLinked="0"/>
        <c:tickLblPos val="nextTo"/>
        <c:crossAx val="160884992"/>
        <c:crosses val="autoZero"/>
        <c:auto val="1"/>
        <c:lblAlgn val="ctr"/>
        <c:lblOffset val="100"/>
      </c:catAx>
      <c:valAx>
        <c:axId val="160884992"/>
        <c:scaling>
          <c:orientation val="minMax"/>
        </c:scaling>
        <c:axPos val="b"/>
        <c:numFmt formatCode="General" sourceLinked="1"/>
        <c:tickLblPos val="nextTo"/>
        <c:crossAx val="160883456"/>
        <c:crosses val="autoZero"/>
        <c:crossBetween val="between"/>
      </c:valAx>
    </c:plotArea>
    <c:plotVisOnly val="1"/>
    <c:dispBlanksAs val="gap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pivotSource>
    <c:name>[Dashboard_billioners_data.xlsx]Self made proportion!PivotTable2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400" b="1"/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</c:spPr>
        <c:dLbl>
          <c:idx val="0"/>
          <c:layout>
            <c:manualLayout>
              <c:x val="-0.16434776902887138"/>
              <c:y val="6.2222222222222304E-2"/>
            </c:manualLayout>
          </c:layout>
          <c:showPercent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0-F9E3-45BD-8069-997F64FF17D8}"/>
            </c:ext>
          </c:extLst>
        </c:dLbl>
      </c:pivotFmt>
      <c:pivotFmt>
        <c:idx val="2"/>
        <c:spPr>
          <a:solidFill>
            <a:srgbClr val="FF0066"/>
          </a:solidFill>
        </c:spPr>
        <c:dLbl>
          <c:idx val="0"/>
          <c:layout>
            <c:manualLayout>
              <c:x val="0.232045494313211"/>
              <c:y val="-0.18450422863808688"/>
            </c:manualLayout>
          </c:layout>
          <c:showPercent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1-F9E3-45BD-8069-997F64FF17D8}"/>
            </c:ext>
          </c:extLst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'Self made proportion'!$B$3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rgbClr val="FFC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F9E3-45BD-8069-997F64FF17D8}"/>
              </c:ext>
            </c:extLst>
          </c:dPt>
          <c:dPt>
            <c:idx val="1"/>
            <c:spPr>
              <a:solidFill>
                <a:srgbClr val="FF006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9E3-45BD-8069-997F64FF17D8}"/>
              </c:ext>
            </c:extLst>
          </c:dPt>
          <c:dLbls>
            <c:dLbl>
              <c:idx val="0"/>
              <c:layout>
                <c:manualLayout>
                  <c:x val="-0.16434776902887138"/>
                  <c:y val="6.2222222222222304E-2"/>
                </c:manualLayout>
              </c:layout>
              <c:showPercent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E3-45BD-8069-997F64FF17D8}"/>
                </c:ext>
              </c:extLst>
            </c:dLbl>
            <c:dLbl>
              <c:idx val="1"/>
              <c:layout>
                <c:manualLayout>
                  <c:x val="0.232045494313211"/>
                  <c:y val="-0.18450422863808688"/>
                </c:manualLayout>
              </c:layout>
              <c:showPercent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E3-45BD-8069-997F64FF17D8}"/>
                </c:ext>
              </c:extLst>
            </c:dLbl>
            <c:spPr/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showPercent val="1"/>
            <c:showLeaderLines val="1"/>
          </c:dLbls>
          <c:cat>
            <c:strRef>
              <c:f>'Self made proportion'!$A$4:$A$5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'Self made proportion'!$B$4:$B$5</c:f>
              <c:numCache>
                <c:formatCode>General</c:formatCode>
                <c:ptCount val="2"/>
                <c:pt idx="0">
                  <c:v>828</c:v>
                </c:pt>
                <c:pt idx="1">
                  <c:v>1812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9E3-45BD-8069-997F64FF17D8}"/>
            </c:ext>
          </c:extLst>
        </c:ser>
        <c:dLbls>
          <c:showPercent val="1"/>
        </c:dLbls>
      </c:pie3DChart>
      <c:spPr>
        <a:ln>
          <a:noFill/>
        </a:ln>
      </c:spPr>
    </c:plotArea>
    <c:legend>
      <c:legendPos val="r"/>
    </c:legend>
    <c:plotVisOnly val="1"/>
    <c:dispBlanksAs val="zero"/>
  </c:chart>
  <c:spPr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Catego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[Dashboard_billioners_data.xlsx]Industries &amp; final worth!PivotTable3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Industries</a:t>
            </a:r>
            <a:r>
              <a:rPr lang="en-US" baseline="0"/>
              <a:t> &amp; final worth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'Industries &amp; final worth'!$B$3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'Industries &amp; final worth'!$A$4:$A$22</c:f>
              <c:strCache>
                <c:ptCount val="18"/>
                <c:pt idx="0">
                  <c:v>Construction &amp; Engineering</c:v>
                </c:pt>
                <c:pt idx="1">
                  <c:v>Gambling &amp; Casinos</c:v>
                </c:pt>
                <c:pt idx="2">
                  <c:v>Sports</c:v>
                </c:pt>
                <c:pt idx="3">
                  <c:v>Service</c:v>
                </c:pt>
                <c:pt idx="4">
                  <c:v>Telecom</c:v>
                </c:pt>
                <c:pt idx="5">
                  <c:v>Logistics</c:v>
                </c:pt>
                <c:pt idx="6">
                  <c:v>Media &amp; Entertainment</c:v>
                </c:pt>
                <c:pt idx="7">
                  <c:v>Metals &amp; Mining</c:v>
                </c:pt>
                <c:pt idx="8">
                  <c:v>Energy</c:v>
                </c:pt>
                <c:pt idx="9">
                  <c:v>Automotive</c:v>
                </c:pt>
                <c:pt idx="10">
                  <c:v>Healthcare</c:v>
                </c:pt>
                <c:pt idx="11">
                  <c:v>Real Estate</c:v>
                </c:pt>
                <c:pt idx="12">
                  <c:v>Diversified</c:v>
                </c:pt>
                <c:pt idx="13">
                  <c:v>Food &amp; Beverage</c:v>
                </c:pt>
                <c:pt idx="14">
                  <c:v>Manufacturing</c:v>
                </c:pt>
                <c:pt idx="15">
                  <c:v>Finance &amp; Investments</c:v>
                </c:pt>
                <c:pt idx="16">
                  <c:v>Fashion &amp; Retail</c:v>
                </c:pt>
                <c:pt idx="17">
                  <c:v>Technology</c:v>
                </c:pt>
              </c:strCache>
            </c:strRef>
          </c:cat>
          <c:val>
            <c:numRef>
              <c:f>'Industries &amp; final worth'!$B$4:$B$22</c:f>
              <c:numCache>
                <c:formatCode>General</c:formatCode>
                <c:ptCount val="18"/>
                <c:pt idx="0">
                  <c:v>118500</c:v>
                </c:pt>
                <c:pt idx="1">
                  <c:v>120500</c:v>
                </c:pt>
                <c:pt idx="2">
                  <c:v>134500</c:v>
                </c:pt>
                <c:pt idx="3">
                  <c:v>173400</c:v>
                </c:pt>
                <c:pt idx="4">
                  <c:v>203500</c:v>
                </c:pt>
                <c:pt idx="5">
                  <c:v>239500</c:v>
                </c:pt>
                <c:pt idx="6">
                  <c:v>427500</c:v>
                </c:pt>
                <c:pt idx="7">
                  <c:v>446800</c:v>
                </c:pt>
                <c:pt idx="8">
                  <c:v>453500</c:v>
                </c:pt>
                <c:pt idx="9">
                  <c:v>525300</c:v>
                </c:pt>
                <c:pt idx="10">
                  <c:v>643200</c:v>
                </c:pt>
                <c:pt idx="11">
                  <c:v>657400</c:v>
                </c:pt>
                <c:pt idx="12">
                  <c:v>905200</c:v>
                </c:pt>
                <c:pt idx="13">
                  <c:v>957200</c:v>
                </c:pt>
                <c:pt idx="14">
                  <c:v>1019000</c:v>
                </c:pt>
                <c:pt idx="15">
                  <c:v>1605100</c:v>
                </c:pt>
                <c:pt idx="16">
                  <c:v>1698800</c:v>
                </c:pt>
                <c:pt idx="17">
                  <c:v>1877900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F2-4C93-A45A-A5AE89719715}"/>
            </c:ext>
          </c:extLst>
        </c:ser>
        <c:axId val="161659520"/>
        <c:axId val="161673600"/>
      </c:barChart>
      <c:catAx>
        <c:axId val="161659520"/>
        <c:scaling>
          <c:orientation val="minMax"/>
        </c:scaling>
        <c:axPos val="l"/>
        <c:numFmt formatCode="General" sourceLinked="0"/>
        <c:tickLblPos val="nextTo"/>
        <c:crossAx val="161673600"/>
        <c:crosses val="autoZero"/>
        <c:auto val="1"/>
        <c:lblAlgn val="ctr"/>
        <c:lblOffset val="100"/>
      </c:catAx>
      <c:valAx>
        <c:axId val="161673600"/>
        <c:scaling>
          <c:orientation val="minMax"/>
        </c:scaling>
        <c:axPos val="b"/>
        <c:numFmt formatCode="General" sourceLinked="1"/>
        <c:tickLblPos val="nextTo"/>
        <c:crossAx val="161659520"/>
        <c:crosses val="autoZero"/>
        <c:crossBetween val="between"/>
      </c:valAx>
    </c:plotArea>
    <c:plotVisOnly val="1"/>
    <c:dispBlanksAs val="gap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[Dashboard_billioners_data.xlsx]Dominant age range!PivotTable4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BILLIONAIRES AGE RANGE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1.5760441292356174E-2"/>
              <c:y val="0"/>
            </c:manualLayout>
          </c:layout>
          <c:dLblPos val="inEnd"/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1-8BBE-4EF2-97DC-8B59624DE59C}"/>
            </c:ext>
          </c:extLst>
        </c:dLbl>
      </c:pivotFmt>
      <c:pivotFmt>
        <c:idx val="2"/>
        <c:dLbl>
          <c:idx val="0"/>
          <c:layout>
            <c:manualLayout>
              <c:x val="-2.3640661938534237E-2"/>
              <c:y val="2.7100271002710057E-3"/>
            </c:manualLayout>
          </c:layout>
          <c:dLblPos val="inEnd"/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0-8BBE-4EF2-97DC-8B59624DE59C}"/>
            </c:ext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'Dominant age range'!$B$3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1"/>
              <c:layout>
                <c:manualLayout>
                  <c:x val="-2.3640661938534237E-2"/>
                  <c:y val="2.7100271002710057E-3"/>
                </c:manualLayout>
              </c:layout>
              <c:dLblPos val="inEnd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BE-4EF2-97DC-8B59624DE59C}"/>
                </c:ext>
              </c:extLst>
            </c:dLbl>
            <c:dLbl>
              <c:idx val="7"/>
              <c:layout>
                <c:manualLayout>
                  <c:x val="-1.5760441292356174E-2"/>
                  <c:y val="0"/>
                </c:manualLayout>
              </c:layout>
              <c:dLblPos val="inEnd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BE-4EF2-97DC-8B59624DE59C}"/>
                </c:ext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Val val="1"/>
          </c:dLbls>
          <c:cat>
            <c:strRef>
              <c:f>'Dominant age range'!$A$4:$A$11</c:f>
              <c:strCache>
                <c:ptCount val="8"/>
                <c:pt idx="0">
                  <c:v>20-30</c:v>
                </c:pt>
                <c:pt idx="1">
                  <c:v>30-40</c:v>
                </c:pt>
                <c:pt idx="2">
                  <c:v>40-50</c:v>
                </c:pt>
                <c:pt idx="3">
                  <c:v>50-60</c:v>
                </c:pt>
                <c:pt idx="4">
                  <c:v>60-70</c:v>
                </c:pt>
                <c:pt idx="5">
                  <c:v>70-80</c:v>
                </c:pt>
                <c:pt idx="6">
                  <c:v>80-90</c:v>
                </c:pt>
                <c:pt idx="7">
                  <c:v>90-100</c:v>
                </c:pt>
              </c:strCache>
            </c:strRef>
          </c:cat>
          <c:val>
            <c:numRef>
              <c:f>'Dominant age range'!$B$4:$B$11</c:f>
              <c:numCache>
                <c:formatCode>General</c:formatCode>
                <c:ptCount val="8"/>
                <c:pt idx="0">
                  <c:v>1</c:v>
                </c:pt>
                <c:pt idx="1">
                  <c:v>15</c:v>
                </c:pt>
                <c:pt idx="2">
                  <c:v>26</c:v>
                </c:pt>
                <c:pt idx="3">
                  <c:v>67</c:v>
                </c:pt>
                <c:pt idx="4">
                  <c:v>101</c:v>
                </c:pt>
                <c:pt idx="5">
                  <c:v>84</c:v>
                </c:pt>
                <c:pt idx="6">
                  <c:v>55</c:v>
                </c:pt>
                <c:pt idx="7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BBE-4EF2-97DC-8B59624DE59C}"/>
            </c:ext>
          </c:extLst>
        </c:ser>
        <c:gapWidth val="75"/>
        <c:overlap val="40"/>
        <c:axId val="161818496"/>
        <c:axId val="161820032"/>
      </c:barChart>
      <c:catAx>
        <c:axId val="161818496"/>
        <c:scaling>
          <c:orientation val="minMax"/>
        </c:scaling>
        <c:axPos val="l"/>
        <c:numFmt formatCode="General" sourceLinked="0"/>
        <c:majorTickMark val="none"/>
        <c:tickLblPos val="nextTo"/>
        <c:crossAx val="161820032"/>
        <c:crosses val="autoZero"/>
        <c:auto val="1"/>
        <c:lblAlgn val="ctr"/>
        <c:lblOffset val="100"/>
      </c:catAx>
      <c:valAx>
        <c:axId val="161820032"/>
        <c:scaling>
          <c:orientation val="minMax"/>
        </c:scaling>
        <c:axPos val="b"/>
        <c:numFmt formatCode="General" sourceLinked="1"/>
        <c:majorTickMark val="none"/>
        <c:tickLblPos val="nextTo"/>
        <c:crossAx val="161818496"/>
        <c:crosses val="autoZero"/>
        <c:crossBetween val="between"/>
      </c:valAx>
    </c:plotArea>
    <c:plotVisOnly val="1"/>
    <c:dispBlanksAs val="gap"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4"/>
  <c:pivotSource>
    <c:name>[Dashboard_billioners_data.xlsx]Gender !PivotTable8</c:name>
    <c:fmtId val="0"/>
  </c:pivotSource>
  <c:chart>
    <c:autoTitleDeleted val="1"/>
    <c:pivotFmts>
      <c:pivotFmt>
        <c:idx val="0"/>
        <c:spPr>
          <a:solidFill>
            <a:srgbClr val="92D050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200" b="1">
                  <a:solidFill>
                    <a:schemeClr val="tx1"/>
                  </a:solidFill>
                </a:defRPr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99198"/>
          </a:solidFill>
        </c:spPr>
        <c:dLbl>
          <c:idx val="0"/>
          <c:layout>
            <c:manualLayout>
              <c:x val="2.7777777777778382E-3"/>
              <c:y val="-9.2592592592592865E-3"/>
            </c:manualLayout>
          </c:layout>
          <c:showPercent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1-A2FA-4D4D-B891-B996C4033A09}"/>
            </c:ext>
          </c:extLst>
        </c:dLbl>
      </c:pivotFmt>
      <c:pivotFmt>
        <c:idx val="2"/>
      </c:pivotFmt>
    </c:pivotFmts>
    <c:plotArea>
      <c:layout/>
      <c:doughnutChart>
        <c:varyColors val="1"/>
        <c:ser>
          <c:idx val="0"/>
          <c:order val="0"/>
          <c:tx>
            <c:strRef>
              <c:f>'Gender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</c:spPr>
          <c:dPt>
            <c:idx val="1"/>
            <c:spPr>
              <a:solidFill>
                <a:srgbClr val="F99198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2FA-4D4D-B891-B996C4033A09}"/>
              </c:ext>
            </c:extLst>
          </c:dPt>
          <c:dLbls>
            <c:dLbl>
              <c:idx val="1"/>
              <c:layout>
                <c:manualLayout>
                  <c:x val="2.7777777777778382E-3"/>
                  <c:y val="-9.2592592592592865E-3"/>
                </c:manualLayout>
              </c:layout>
              <c:showPercent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FA-4D4D-B891-B996C4033A09}"/>
                </c:ext>
              </c:extLst>
            </c:dLbl>
            <c:spPr/>
            <c:txPr>
              <a:bodyPr/>
              <a:lstStyle/>
              <a:p>
                <a:pPr>
                  <a:defRPr sz="120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'Gender 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'!$B$4:$B$5</c:f>
              <c:numCache>
                <c:formatCode>General</c:formatCode>
                <c:ptCount val="2"/>
                <c:pt idx="0">
                  <c:v>337</c:v>
                </c:pt>
                <c:pt idx="1">
                  <c:v>2303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2FA-4D4D-B891-B996C4033A09}"/>
            </c:ext>
          </c:extLst>
        </c:ser>
        <c:dLbls>
          <c:showPercent val="1"/>
        </c:dLbls>
        <c:firstSliceAng val="0"/>
        <c:holeSize val="50"/>
      </c:doughnutChart>
    </c:plotArea>
    <c:legend>
      <c:legendPos val="r"/>
      <c:layout/>
      <c:txPr>
        <a:bodyPr/>
        <a:lstStyle/>
        <a:p>
          <a:pPr>
            <a:defRPr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pivotSource>
    <c:name>[Dashboard_billioners_data.xlsx]Self made proportion!PivotTable2</c:name>
    <c:fmtId val="4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400" b="1"/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</c:spPr>
        <c:dLbl>
          <c:idx val="0"/>
          <c:layout>
            <c:manualLayout>
              <c:x val="-0.16434776902887138"/>
              <c:y val="6.2222222222222304E-2"/>
            </c:manualLayout>
          </c:layout>
          <c:spPr/>
          <c:txPr>
            <a:bodyPr/>
            <a:lstStyle/>
            <a:p>
              <a:pPr>
                <a:defRPr sz="1400" b="1"/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66"/>
          </a:solidFill>
        </c:spPr>
        <c:dLbl>
          <c:idx val="0"/>
          <c:layout>
            <c:manualLayout>
              <c:x val="0.232045494313211"/>
              <c:y val="-0.18450422863808688"/>
            </c:manualLayout>
          </c:layout>
          <c:spPr/>
          <c:txPr>
            <a:bodyPr/>
            <a:lstStyle/>
            <a:p>
              <a:pPr>
                <a:defRPr sz="1400" b="1"/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400" b="1"/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</c:spPr>
        <c:dLbl>
          <c:idx val="0"/>
          <c:layout>
            <c:manualLayout>
              <c:x val="-0.16434776902887138"/>
              <c:y val="6.2222222222222304E-2"/>
            </c:manualLayout>
          </c:layout>
          <c:spPr/>
          <c:txPr>
            <a:bodyPr/>
            <a:lstStyle/>
            <a:p>
              <a:pPr>
                <a:defRPr sz="1400" b="1"/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66"/>
          </a:solidFill>
        </c:spPr>
        <c:dLbl>
          <c:idx val="0"/>
          <c:layout>
            <c:manualLayout>
              <c:x val="0.232045494313211"/>
              <c:y val="-0.18450422863808688"/>
            </c:manualLayout>
          </c:layout>
          <c:spPr/>
          <c:txPr>
            <a:bodyPr/>
            <a:lstStyle/>
            <a:p>
              <a:pPr>
                <a:defRPr sz="1400" b="1"/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400" b="1"/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</c:spPr>
        <c:dLbl>
          <c:idx val="0"/>
          <c:layout>
            <c:manualLayout>
              <c:x val="-0.16434776902887138"/>
              <c:y val="6.2222222222222304E-2"/>
            </c:manualLayout>
          </c:layout>
          <c:showPercent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1-275D-45A8-9E06-F7853DF6597D}"/>
            </c:ext>
          </c:extLst>
        </c:dLbl>
      </c:pivotFmt>
      <c:pivotFmt>
        <c:idx val="8"/>
        <c:spPr>
          <a:solidFill>
            <a:srgbClr val="FF0066"/>
          </a:solidFill>
        </c:spPr>
        <c:dLbl>
          <c:idx val="0"/>
          <c:layout>
            <c:manualLayout>
              <c:x val="0.232045494313211"/>
              <c:y val="-0.18450422863808688"/>
            </c:manualLayout>
          </c:layout>
          <c:showPercent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3-275D-45A8-9E06-F7853DF6597D}"/>
            </c:ext>
          </c:extLst>
        </c:dLbl>
      </c:pivotFmt>
    </c:pivotFmts>
    <c:view3D>
      <c:rotX val="30"/>
      <c:perspective val="30"/>
    </c:view3D>
    <c:plotArea>
      <c:layout>
        <c:manualLayout>
          <c:layoutTarget val="inner"/>
          <c:xMode val="edge"/>
          <c:yMode val="edge"/>
          <c:x val="9.2958618267954582E-2"/>
          <c:y val="0.13328469076500574"/>
          <c:w val="0.73452990995173217"/>
          <c:h val="0.84926073430010462"/>
        </c:manualLayout>
      </c:layout>
      <c:pie3DChart>
        <c:varyColors val="1"/>
        <c:ser>
          <c:idx val="0"/>
          <c:order val="0"/>
          <c:tx>
            <c:strRef>
              <c:f>'Self made proportion'!$B$3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spPr>
              <a:solidFill>
                <a:srgbClr val="FFC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75D-45A8-9E06-F7853DF6597D}"/>
              </c:ext>
            </c:extLst>
          </c:dPt>
          <c:dPt>
            <c:idx val="1"/>
            <c:spPr>
              <a:solidFill>
                <a:srgbClr val="FF006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75D-45A8-9E06-F7853DF6597D}"/>
              </c:ext>
            </c:extLst>
          </c:dPt>
          <c:dLbls>
            <c:dLbl>
              <c:idx val="0"/>
              <c:layout>
                <c:manualLayout>
                  <c:x val="-0.16434776902887138"/>
                  <c:y val="6.2222222222222304E-2"/>
                </c:manualLayout>
              </c:layout>
              <c:showPercent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5D-45A8-9E06-F7853DF6597D}"/>
                </c:ext>
              </c:extLst>
            </c:dLbl>
            <c:dLbl>
              <c:idx val="1"/>
              <c:layout>
                <c:manualLayout>
                  <c:x val="0.232045494313211"/>
                  <c:y val="-0.18450422863808688"/>
                </c:manualLayout>
              </c:layout>
              <c:showPercent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5D-45A8-9E06-F7853DF6597D}"/>
                </c:ext>
              </c:extLst>
            </c:dLbl>
            <c:spPr/>
            <c:txPr>
              <a:bodyPr/>
              <a:lstStyle/>
              <a:p>
                <a:pPr>
                  <a:defRPr sz="1400" b="1"/>
                </a:pPr>
                <a:endParaRPr lang="en-US"/>
              </a:p>
            </c:txPr>
            <c:showPercent val="1"/>
            <c:showLeaderLines val="1"/>
          </c:dLbls>
          <c:cat>
            <c:strRef>
              <c:f>'Self made proportion'!$A$4:$A$5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'Self made proportion'!$B$4:$B$5</c:f>
              <c:numCache>
                <c:formatCode>General</c:formatCode>
                <c:ptCount val="2"/>
                <c:pt idx="0">
                  <c:v>828</c:v>
                </c:pt>
                <c:pt idx="1">
                  <c:v>1812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75D-45A8-9E06-F7853DF6597D}"/>
            </c:ext>
          </c:extLst>
        </c:ser>
        <c:dLbls>
          <c:showPercent val="1"/>
        </c:dLbls>
      </c:pie3DChart>
      <c:spPr>
        <a:ln>
          <a:noFill/>
        </a:ln>
      </c:spPr>
    </c:plotArea>
    <c:legend>
      <c:legendPos val="r"/>
      <c:layout/>
    </c:legend>
    <c:plotVisOnly val="1"/>
    <c:dispBlanksAs val="zero"/>
  </c:chart>
  <c:spPr>
    <a:noFill/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Catego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4"/>
  <c:pivotSource>
    <c:name>[Dashboard_billioners_data.xlsx]Gender !PivotTable8</c:name>
    <c:fmtId val="2"/>
  </c:pivotSource>
  <c:chart>
    <c:autoTitleDeleted val="1"/>
    <c:pivotFmts>
      <c:pivotFmt>
        <c:idx val="0"/>
        <c:spPr>
          <a:solidFill>
            <a:srgbClr val="92D050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 b="1">
                  <a:solidFill>
                    <a:schemeClr val="tx1"/>
                  </a:solidFill>
                </a:defRPr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99198"/>
          </a:solidFill>
        </c:spPr>
        <c:dLbl>
          <c:idx val="0"/>
          <c:layout>
            <c:manualLayout>
              <c:x val="2.7777777777778382E-3"/>
              <c:y val="-9.2592592592592865E-3"/>
            </c:manualLayout>
          </c:layout>
          <c:spPr/>
          <c:txPr>
            <a:bodyPr/>
            <a:lstStyle/>
            <a:p>
              <a:pPr>
                <a:defRPr sz="1200" b="1">
                  <a:solidFill>
                    <a:schemeClr val="tx1"/>
                  </a:solidFill>
                </a:defRPr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</c:spPr>
      </c:pivotFmt>
      <c:pivotFmt>
        <c:idx val="3"/>
        <c:spPr>
          <a:solidFill>
            <a:srgbClr val="92D050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 b="1">
                  <a:solidFill>
                    <a:schemeClr val="tx1"/>
                  </a:solidFill>
                </a:defRPr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</c:spPr>
      </c:pivotFmt>
      <c:pivotFmt>
        <c:idx val="5"/>
        <c:spPr>
          <a:solidFill>
            <a:srgbClr val="F99198"/>
          </a:solidFill>
        </c:spPr>
        <c:dLbl>
          <c:idx val="0"/>
          <c:layout>
            <c:manualLayout>
              <c:x val="2.7777777777778382E-3"/>
              <c:y val="-9.2592592592592865E-3"/>
            </c:manualLayout>
          </c:layout>
          <c:spPr/>
          <c:txPr>
            <a:bodyPr/>
            <a:lstStyle/>
            <a:p>
              <a:pPr>
                <a:defRPr sz="1200" b="1">
                  <a:solidFill>
                    <a:schemeClr val="tx1"/>
                  </a:solidFill>
                </a:defRPr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200" b="1">
                  <a:solidFill>
                    <a:schemeClr val="tx1"/>
                  </a:solidFill>
                </a:defRPr>
              </a:pPr>
              <a:endParaRPr lang="en-US"/>
            </a:p>
          </c:txPr>
          <c:showPercent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99198"/>
          </a:solidFill>
        </c:spPr>
        <c:dLbl>
          <c:idx val="0"/>
          <c:layout>
            <c:manualLayout>
              <c:x val="2.7777777777778382E-3"/>
              <c:y val="-9.2592592592592865E-3"/>
            </c:manualLayout>
          </c:layout>
          <c:showPercent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2-D92F-4930-A31B-BDE25AB0429C}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218363522895645"/>
          <c:y val="0.10193787475931139"/>
          <c:w val="0.63620424253362395"/>
          <c:h val="0.77923629906932945"/>
        </c:manualLayout>
      </c:layout>
      <c:doughnutChart>
        <c:varyColors val="1"/>
        <c:ser>
          <c:idx val="0"/>
          <c:order val="0"/>
          <c:tx>
            <c:strRef>
              <c:f>'Gender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</c:spPr>
          <c:dPt>
            <c:idx val="1"/>
            <c:spPr>
              <a:solidFill>
                <a:srgbClr val="F99198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D92F-4930-A31B-BDE25AB0429C}"/>
              </c:ext>
            </c:extLst>
          </c:dPt>
          <c:dLbls>
            <c:dLbl>
              <c:idx val="1"/>
              <c:layout>
                <c:manualLayout>
                  <c:x val="2.7777777777778382E-3"/>
                  <c:y val="-9.2592592592592865E-3"/>
                </c:manualLayout>
              </c:layout>
              <c:showPercent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2F-4930-A31B-BDE25AB0429C}"/>
                </c:ext>
              </c:extLst>
            </c:dLbl>
            <c:spPr/>
            <c:txPr>
              <a:bodyPr/>
              <a:lstStyle/>
              <a:p>
                <a:pPr>
                  <a:defRPr sz="120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Percent val="1"/>
            <c:showLeaderLines val="1"/>
          </c:dLbls>
          <c:cat>
            <c:strRef>
              <c:f>'Gender 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'!$B$4:$B$5</c:f>
              <c:numCache>
                <c:formatCode>General</c:formatCode>
                <c:ptCount val="2"/>
                <c:pt idx="0">
                  <c:v>337</c:v>
                </c:pt>
                <c:pt idx="1">
                  <c:v>2303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92F-4930-A31B-BDE25AB0429C}"/>
            </c:ext>
          </c:extLst>
        </c:ser>
        <c:dLbls>
          <c:showPercent val="1"/>
        </c:dLbls>
        <c:firstSliceAng val="0"/>
        <c:holeSize val="50"/>
      </c:doughnutChart>
      <c:spPr>
        <a:ln>
          <a:solidFill>
            <a:schemeClr val="accent1">
              <a:shade val="15000"/>
              <a:alpha val="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0586196855774208"/>
          <c:y val="1.433461079937039E-2"/>
          <c:w val="0.25948473512965187"/>
          <c:h val="0.28041085054058534"/>
        </c:manualLayout>
      </c:layout>
      <c:txPr>
        <a:bodyPr/>
        <a:lstStyle/>
        <a:p>
          <a:pPr>
            <a:defRPr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zero"/>
  </c:chart>
  <c:spPr>
    <a:noFill/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[Dashboard_billioners_data.xlsx]Dominant age range!PivotTable4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BILLIONAIRES AGE RANGE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1.5760441292356184E-2"/>
              <c:y val="0"/>
            </c:manualLayout>
          </c:layout>
          <c:dLblPos val="inEnd"/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1-8BBE-4EF2-97DC-8B59624DE59C}"/>
            </c:ext>
          </c:extLst>
        </c:dLbl>
      </c:pivotFmt>
      <c:pivotFmt>
        <c:idx val="2"/>
        <c:dLbl>
          <c:idx val="0"/>
          <c:layout>
            <c:manualLayout>
              <c:x val="-2.3640661938534237E-2"/>
              <c:y val="2.7100271002710066E-3"/>
            </c:manualLayout>
          </c:layout>
          <c:dLblPos val="inEnd"/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0-8BBE-4EF2-97DC-8B59624DE59C}"/>
            </c:ext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Val val="1"/>
        </c:dLbl>
      </c:pivotFmt>
      <c:pivotFmt>
        <c:idx val="4"/>
        <c:dLbl>
          <c:idx val="0"/>
          <c:layout>
            <c:manualLayout>
              <c:x val="-2.3640661938534237E-2"/>
              <c:y val="2.7100271002710066E-3"/>
            </c:manualLayout>
          </c:layout>
          <c:dLblPos val="inEnd"/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0-8BBE-4EF2-97DC-8B59624DE59C}"/>
            </c:ext>
          </c:extLst>
        </c:dLbl>
      </c:pivotFmt>
      <c:pivotFmt>
        <c:idx val="5"/>
        <c:dLbl>
          <c:idx val="0"/>
          <c:layout>
            <c:manualLayout>
              <c:x val="-1.5760441292356184E-2"/>
              <c:y val="0"/>
            </c:manualLayout>
          </c:layout>
          <c:dLblPos val="inEnd"/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1-8BBE-4EF2-97DC-8B59624DE59C}"/>
            </c:ext>
          </c:extLst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Val val="1"/>
        </c:dLbl>
      </c:pivotFmt>
      <c:pivotFmt>
        <c:idx val="7"/>
        <c:dLbl>
          <c:idx val="0"/>
          <c:layout>
            <c:manualLayout>
              <c:x val="-2.3640661938534237E-2"/>
              <c:y val="2.7100271002710066E-3"/>
            </c:manualLayout>
          </c:layout>
          <c:dLblPos val="inEnd"/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0-8BBE-4EF2-97DC-8B59624DE59C}"/>
            </c:ext>
          </c:extLst>
        </c:dLbl>
      </c:pivotFmt>
      <c:pivotFmt>
        <c:idx val="8"/>
        <c:dLbl>
          <c:idx val="0"/>
          <c:layout>
            <c:manualLayout>
              <c:x val="-1.5760441292356184E-2"/>
              <c:y val="0"/>
            </c:manualLayout>
          </c:layout>
          <c:dLblPos val="inEnd"/>
          <c:showVal val="1"/>
          <c:extLst xmlns:c16r2="http://schemas.microsoft.com/office/drawing/2015/06/chart">
            <c:ext xmlns:c15="http://schemas.microsoft.com/office/drawing/2012/chart" uri="{CE6537A1-D6FC-4f65-9D91-7224C49458BB}"/>
            <c:ext xmlns:c16="http://schemas.microsoft.com/office/drawing/2014/chart" uri="{C3380CC4-5D6E-409C-BE32-E72D297353CC}">
              <c16:uniqueId val="{00000001-8BBE-4EF2-97DC-8B59624DE59C}"/>
            </c:ext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'Dominant age range'!$B$3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1"/>
              <c:layout>
                <c:manualLayout>
                  <c:x val="-2.3640661938534237E-2"/>
                  <c:y val="2.7100271002710066E-3"/>
                </c:manualLayout>
              </c:layout>
              <c:dLblPos val="inEnd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BE-4EF2-97DC-8B59624DE59C}"/>
                </c:ext>
              </c:extLst>
            </c:dLbl>
            <c:dLbl>
              <c:idx val="7"/>
              <c:layout>
                <c:manualLayout>
                  <c:x val="-1.5760441292356184E-2"/>
                  <c:y val="0"/>
                </c:manualLayout>
              </c:layout>
              <c:dLblPos val="inEnd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BE-4EF2-97DC-8B59624DE59C}"/>
                </c:ext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Val val="1"/>
          </c:dLbls>
          <c:cat>
            <c:strRef>
              <c:f>'Dominant age range'!$A$4:$A$11</c:f>
              <c:strCache>
                <c:ptCount val="8"/>
                <c:pt idx="0">
                  <c:v>20-30</c:v>
                </c:pt>
                <c:pt idx="1">
                  <c:v>30-40</c:v>
                </c:pt>
                <c:pt idx="2">
                  <c:v>40-50</c:v>
                </c:pt>
                <c:pt idx="3">
                  <c:v>50-60</c:v>
                </c:pt>
                <c:pt idx="4">
                  <c:v>60-70</c:v>
                </c:pt>
                <c:pt idx="5">
                  <c:v>70-80</c:v>
                </c:pt>
                <c:pt idx="6">
                  <c:v>80-90</c:v>
                </c:pt>
                <c:pt idx="7">
                  <c:v>90-100</c:v>
                </c:pt>
              </c:strCache>
            </c:strRef>
          </c:cat>
          <c:val>
            <c:numRef>
              <c:f>'Dominant age range'!$B$4:$B$11</c:f>
              <c:numCache>
                <c:formatCode>General</c:formatCode>
                <c:ptCount val="8"/>
                <c:pt idx="0">
                  <c:v>1</c:v>
                </c:pt>
                <c:pt idx="1">
                  <c:v>15</c:v>
                </c:pt>
                <c:pt idx="2">
                  <c:v>26</c:v>
                </c:pt>
                <c:pt idx="3">
                  <c:v>67</c:v>
                </c:pt>
                <c:pt idx="4">
                  <c:v>101</c:v>
                </c:pt>
                <c:pt idx="5">
                  <c:v>84</c:v>
                </c:pt>
                <c:pt idx="6">
                  <c:v>55</c:v>
                </c:pt>
                <c:pt idx="7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BBE-4EF2-97DC-8B59624DE59C}"/>
            </c:ext>
          </c:extLst>
        </c:ser>
        <c:gapWidth val="75"/>
        <c:overlap val="40"/>
        <c:axId val="162919552"/>
        <c:axId val="162921088"/>
      </c:barChart>
      <c:catAx>
        <c:axId val="162919552"/>
        <c:scaling>
          <c:orientation val="minMax"/>
        </c:scaling>
        <c:axPos val="l"/>
        <c:numFmt formatCode="General" sourceLinked="0"/>
        <c:majorTickMark val="none"/>
        <c:tickLblPos val="nextTo"/>
        <c:crossAx val="162921088"/>
        <c:crosses val="autoZero"/>
        <c:auto val="1"/>
        <c:lblAlgn val="ctr"/>
        <c:lblOffset val="100"/>
      </c:catAx>
      <c:valAx>
        <c:axId val="162921088"/>
        <c:scaling>
          <c:orientation val="minMax"/>
        </c:scaling>
        <c:axPos val="b"/>
        <c:numFmt formatCode="General" sourceLinked="1"/>
        <c:majorTickMark val="none"/>
        <c:tickLblPos val="nextTo"/>
        <c:crossAx val="1629195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noFill/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[Dashboard_billioners_data.xlsx]Industries &amp; final worth!PivotTable3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Industries</a:t>
            </a:r>
            <a:r>
              <a:rPr lang="en-US" baseline="0"/>
              <a:t> &amp; final worth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'Industries &amp; final worth'!$B$3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'Industries &amp; final worth'!$A$4:$A$22</c:f>
              <c:strCache>
                <c:ptCount val="18"/>
                <c:pt idx="0">
                  <c:v>Construction &amp; Engineering</c:v>
                </c:pt>
                <c:pt idx="1">
                  <c:v>Gambling &amp; Casinos</c:v>
                </c:pt>
                <c:pt idx="2">
                  <c:v>Sports</c:v>
                </c:pt>
                <c:pt idx="3">
                  <c:v>Service</c:v>
                </c:pt>
                <c:pt idx="4">
                  <c:v>Telecom</c:v>
                </c:pt>
                <c:pt idx="5">
                  <c:v>Logistics</c:v>
                </c:pt>
                <c:pt idx="6">
                  <c:v>Media &amp; Entertainment</c:v>
                </c:pt>
                <c:pt idx="7">
                  <c:v>Metals &amp; Mining</c:v>
                </c:pt>
                <c:pt idx="8">
                  <c:v>Energy</c:v>
                </c:pt>
                <c:pt idx="9">
                  <c:v>Automotive</c:v>
                </c:pt>
                <c:pt idx="10">
                  <c:v>Healthcare</c:v>
                </c:pt>
                <c:pt idx="11">
                  <c:v>Real Estate</c:v>
                </c:pt>
                <c:pt idx="12">
                  <c:v>Diversified</c:v>
                </c:pt>
                <c:pt idx="13">
                  <c:v>Food &amp; Beverage</c:v>
                </c:pt>
                <c:pt idx="14">
                  <c:v>Manufacturing</c:v>
                </c:pt>
                <c:pt idx="15">
                  <c:v>Finance &amp; Investments</c:v>
                </c:pt>
                <c:pt idx="16">
                  <c:v>Fashion &amp; Retail</c:v>
                </c:pt>
                <c:pt idx="17">
                  <c:v>Technology</c:v>
                </c:pt>
              </c:strCache>
            </c:strRef>
          </c:cat>
          <c:val>
            <c:numRef>
              <c:f>'Industries &amp; final worth'!$B$4:$B$22</c:f>
              <c:numCache>
                <c:formatCode>General</c:formatCode>
                <c:ptCount val="18"/>
                <c:pt idx="0">
                  <c:v>118500</c:v>
                </c:pt>
                <c:pt idx="1">
                  <c:v>120500</c:v>
                </c:pt>
                <c:pt idx="2">
                  <c:v>134500</c:v>
                </c:pt>
                <c:pt idx="3">
                  <c:v>173400</c:v>
                </c:pt>
                <c:pt idx="4">
                  <c:v>203500</c:v>
                </c:pt>
                <c:pt idx="5">
                  <c:v>239500</c:v>
                </c:pt>
                <c:pt idx="6">
                  <c:v>427500</c:v>
                </c:pt>
                <c:pt idx="7">
                  <c:v>446800</c:v>
                </c:pt>
                <c:pt idx="8">
                  <c:v>453500</c:v>
                </c:pt>
                <c:pt idx="9">
                  <c:v>525300</c:v>
                </c:pt>
                <c:pt idx="10">
                  <c:v>643200</c:v>
                </c:pt>
                <c:pt idx="11">
                  <c:v>657400</c:v>
                </c:pt>
                <c:pt idx="12">
                  <c:v>905200</c:v>
                </c:pt>
                <c:pt idx="13">
                  <c:v>957200</c:v>
                </c:pt>
                <c:pt idx="14">
                  <c:v>1019000</c:v>
                </c:pt>
                <c:pt idx="15">
                  <c:v>1605100</c:v>
                </c:pt>
                <c:pt idx="16">
                  <c:v>1698800</c:v>
                </c:pt>
                <c:pt idx="17">
                  <c:v>1877900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F2-4C93-A45A-A5AE89719715}"/>
            </c:ext>
          </c:extLst>
        </c:ser>
        <c:axId val="162845440"/>
        <c:axId val="162846976"/>
      </c:barChart>
      <c:catAx>
        <c:axId val="162845440"/>
        <c:scaling>
          <c:orientation val="minMax"/>
        </c:scaling>
        <c:axPos val="l"/>
        <c:numFmt formatCode="General" sourceLinked="0"/>
        <c:tickLblPos val="nextTo"/>
        <c:crossAx val="162846976"/>
        <c:crosses val="autoZero"/>
        <c:auto val="1"/>
        <c:lblAlgn val="ctr"/>
        <c:lblOffset val="100"/>
      </c:catAx>
      <c:valAx>
        <c:axId val="162846976"/>
        <c:scaling>
          <c:orientation val="minMax"/>
        </c:scaling>
        <c:axPos val="b"/>
        <c:numFmt formatCode="General" sourceLinked="1"/>
        <c:tickLblPos val="nextTo"/>
        <c:crossAx val="162845440"/>
        <c:crosses val="autoZero"/>
        <c:crossBetween val="between"/>
      </c:valAx>
    </c:plotArea>
    <c:plotVisOnly val="1"/>
    <c:dispBlanksAs val="gap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[Dashboard_billioners_data.xlsx]category and Final worth!PivotTable1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Category</a:t>
            </a:r>
            <a:r>
              <a:rPr lang="en-US" baseline="0"/>
              <a:t> &amp; Final worth</a:t>
            </a:r>
          </a:p>
        </c:rich>
      </c:tx>
      <c:layout>
        <c:manualLayout>
          <c:xMode val="edge"/>
          <c:yMode val="edge"/>
          <c:x val="0.31875568335041471"/>
          <c:y val="3.2317778801223974E-2"/>
        </c:manualLayout>
      </c:layout>
    </c:title>
    <c:pivotFmts>
      <c:pivotFmt>
        <c:idx val="0"/>
      </c:pivotFmt>
      <c:pivotFmt>
        <c:idx val="1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'category and Final worth'!$B$3:$B$4</c:f>
              <c:strCache>
                <c:ptCount val="1"/>
                <c:pt idx="0">
                  <c:v>F</c:v>
                </c:pt>
              </c:strCache>
            </c:strRef>
          </c:tx>
          <c:cat>
            <c:strRef>
              <c:f>'category and Final worth'!$A$5:$A$14</c:f>
              <c:strCache>
                <c:ptCount val="10"/>
                <c:pt idx="0">
                  <c:v>Automotive</c:v>
                </c:pt>
                <c:pt idx="1">
                  <c:v>Diversified</c:v>
                </c:pt>
                <c:pt idx="2">
                  <c:v>Energy</c:v>
                </c:pt>
                <c:pt idx="3">
                  <c:v>Fashion &amp; Retail</c:v>
                </c:pt>
                <c:pt idx="4">
                  <c:v>Finance &amp; Investments</c:v>
                </c:pt>
                <c:pt idx="5">
                  <c:v>Food &amp; Beverage</c:v>
                </c:pt>
                <c:pt idx="6">
                  <c:v>Healthcare</c:v>
                </c:pt>
                <c:pt idx="7">
                  <c:v>Manufacturing</c:v>
                </c:pt>
                <c:pt idx="8">
                  <c:v>Real Estate</c:v>
                </c:pt>
                <c:pt idx="9">
                  <c:v>Technology</c:v>
                </c:pt>
              </c:strCache>
            </c:strRef>
          </c:cat>
          <c:val>
            <c:numRef>
              <c:f>'category and Final worth'!$B$5:$B$14</c:f>
              <c:numCache>
                <c:formatCode>General</c:formatCode>
                <c:ptCount val="10"/>
                <c:pt idx="0">
                  <c:v>41000</c:v>
                </c:pt>
                <c:pt idx="1">
                  <c:v>144100</c:v>
                </c:pt>
                <c:pt idx="2">
                  <c:v>45600</c:v>
                </c:pt>
                <c:pt idx="3">
                  <c:v>283800</c:v>
                </c:pt>
                <c:pt idx="4">
                  <c:v>122400</c:v>
                </c:pt>
                <c:pt idx="5">
                  <c:v>212400</c:v>
                </c:pt>
                <c:pt idx="6">
                  <c:v>78600</c:v>
                </c:pt>
                <c:pt idx="7">
                  <c:v>108100</c:v>
                </c:pt>
                <c:pt idx="8">
                  <c:v>83800</c:v>
                </c:pt>
                <c:pt idx="9">
                  <c:v>123500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E85-47B0-AF8E-85369673588A}"/>
            </c:ext>
          </c:extLst>
        </c:ser>
        <c:ser>
          <c:idx val="1"/>
          <c:order val="1"/>
          <c:tx>
            <c:strRef>
              <c:f>'category and Final worth'!$C$3:$C$4</c:f>
              <c:strCache>
                <c:ptCount val="1"/>
                <c:pt idx="0">
                  <c:v>M</c:v>
                </c:pt>
              </c:strCache>
            </c:strRef>
          </c:tx>
          <c:cat>
            <c:strRef>
              <c:f>'category and Final worth'!$A$5:$A$14</c:f>
              <c:strCache>
                <c:ptCount val="10"/>
                <c:pt idx="0">
                  <c:v>Automotive</c:v>
                </c:pt>
                <c:pt idx="1">
                  <c:v>Diversified</c:v>
                </c:pt>
                <c:pt idx="2">
                  <c:v>Energy</c:v>
                </c:pt>
                <c:pt idx="3">
                  <c:v>Fashion &amp; Retail</c:v>
                </c:pt>
                <c:pt idx="4">
                  <c:v>Finance &amp; Investments</c:v>
                </c:pt>
                <c:pt idx="5">
                  <c:v>Food &amp; Beverage</c:v>
                </c:pt>
                <c:pt idx="6">
                  <c:v>Healthcare</c:v>
                </c:pt>
                <c:pt idx="7">
                  <c:v>Manufacturing</c:v>
                </c:pt>
                <c:pt idx="8">
                  <c:v>Real Estate</c:v>
                </c:pt>
                <c:pt idx="9">
                  <c:v>Technology</c:v>
                </c:pt>
              </c:strCache>
            </c:strRef>
          </c:cat>
          <c:val>
            <c:numRef>
              <c:f>'category and Final worth'!$C$5:$C$14</c:f>
              <c:numCache>
                <c:formatCode>General</c:formatCode>
                <c:ptCount val="10"/>
                <c:pt idx="0">
                  <c:v>484300</c:v>
                </c:pt>
                <c:pt idx="1">
                  <c:v>761100</c:v>
                </c:pt>
                <c:pt idx="2">
                  <c:v>407900</c:v>
                </c:pt>
                <c:pt idx="3">
                  <c:v>1415000</c:v>
                </c:pt>
                <c:pt idx="4">
                  <c:v>1482700</c:v>
                </c:pt>
                <c:pt idx="5">
                  <c:v>744800</c:v>
                </c:pt>
                <c:pt idx="6">
                  <c:v>564600</c:v>
                </c:pt>
                <c:pt idx="7">
                  <c:v>910900</c:v>
                </c:pt>
                <c:pt idx="8">
                  <c:v>573600</c:v>
                </c:pt>
                <c:pt idx="9">
                  <c:v>1754400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E85-47B0-AF8E-85369673588A}"/>
            </c:ext>
          </c:extLst>
        </c:ser>
        <c:axId val="162994432"/>
        <c:axId val="162996224"/>
      </c:barChart>
      <c:catAx>
        <c:axId val="162994432"/>
        <c:scaling>
          <c:orientation val="minMax"/>
        </c:scaling>
        <c:axPos val="l"/>
        <c:numFmt formatCode="General" sourceLinked="0"/>
        <c:tickLblPos val="nextTo"/>
        <c:crossAx val="162996224"/>
        <c:crosses val="autoZero"/>
        <c:auto val="1"/>
        <c:lblAlgn val="ctr"/>
        <c:lblOffset val="100"/>
      </c:catAx>
      <c:valAx>
        <c:axId val="162996224"/>
        <c:scaling>
          <c:orientation val="minMax"/>
        </c:scaling>
        <c:axPos val="b"/>
        <c:numFmt formatCode="General" sourceLinked="1"/>
        <c:tickLblPos val="nextTo"/>
        <c:crossAx val="162994432"/>
        <c:crosses val="autoZero"/>
        <c:crossBetween val="between"/>
      </c:valAx>
    </c:plotArea>
    <c:plotVisOnly val="1"/>
    <c:dispBlanksAs val="gap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emf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1</xdr:row>
      <xdr:rowOff>68580</xdr:rowOff>
    </xdr:from>
    <xdr:to>
      <xdr:col>14</xdr:col>
      <xdr:colOff>373380</xdr:colOff>
      <xdr:row>19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7</xdr:row>
      <xdr:rowOff>175260</xdr:rowOff>
    </xdr:from>
    <xdr:to>
      <xdr:col>12</xdr:col>
      <xdr:colOff>518160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3</xdr:row>
      <xdr:rowOff>15240</xdr:rowOff>
    </xdr:from>
    <xdr:to>
      <xdr:col>13</xdr:col>
      <xdr:colOff>441960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129540</xdr:rowOff>
    </xdr:from>
    <xdr:to>
      <xdr:col>13</xdr:col>
      <xdr:colOff>601980</xdr:colOff>
      <xdr:row>31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7</xdr:row>
      <xdr:rowOff>7620</xdr:rowOff>
    </xdr:from>
    <xdr:to>
      <xdr:col>14</xdr:col>
      <xdr:colOff>411480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91439</xdr:colOff>
      <xdr:row>0</xdr:row>
      <xdr:rowOff>99060</xdr:rowOff>
    </xdr:from>
    <xdr:to>
      <xdr:col>10</xdr:col>
      <xdr:colOff>478970</xdr:colOff>
      <xdr:row>5</xdr:row>
      <xdr:rowOff>10885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E732FAC-6AD1-F52C-F780-960EBB697A4E}"/>
            </a:ext>
          </a:extLst>
        </xdr:cNvPr>
        <xdr:cNvSpPr/>
      </xdr:nvSpPr>
      <xdr:spPr>
        <a:xfrm>
          <a:off x="91439" y="99060"/>
          <a:ext cx="6483531" cy="83711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220979</xdr:colOff>
      <xdr:row>0</xdr:row>
      <xdr:rowOff>137160</xdr:rowOff>
    </xdr:from>
    <xdr:to>
      <xdr:col>8</xdr:col>
      <xdr:colOff>206828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91C8A72F-802A-092B-0CA3-0C4C8477E682}"/>
            </a:ext>
          </a:extLst>
        </xdr:cNvPr>
        <xdr:cNvSpPr txBox="1"/>
      </xdr:nvSpPr>
      <xdr:spPr>
        <a:xfrm>
          <a:off x="220979" y="137160"/>
          <a:ext cx="4862649" cy="6792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4000" b="1">
              <a:latin typeface="Times New Roman" panose="02020603050405020304" pitchFamily="18" charset="0"/>
              <a:cs typeface="Times New Roman" panose="02020603050405020304" pitchFamily="18" charset="0"/>
            </a:rPr>
            <a:t>Billionnaires 2023</a:t>
          </a:r>
        </a:p>
      </xdr:txBody>
    </xdr:sp>
    <xdr:clientData/>
  </xdr:twoCellAnchor>
  <xdr:twoCellAnchor>
    <xdr:from>
      <xdr:col>17</xdr:col>
      <xdr:colOff>44824</xdr:colOff>
      <xdr:row>26</xdr:row>
      <xdr:rowOff>78442</xdr:rowOff>
    </xdr:from>
    <xdr:to>
      <xdr:col>24</xdr:col>
      <xdr:colOff>368897</xdr:colOff>
      <xdr:row>42</xdr:row>
      <xdr:rowOff>62306</xdr:rowOff>
    </xdr:to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A0D8EBD6-BD29-FE38-8A41-EC415FA3A7F8}"/>
            </a:ext>
          </a:extLst>
        </xdr:cNvPr>
        <xdr:cNvSpPr/>
      </xdr:nvSpPr>
      <xdr:spPr>
        <a:xfrm>
          <a:off x="10331824" y="4740089"/>
          <a:ext cx="4559897" cy="2852570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17</xdr:col>
      <xdr:colOff>205292</xdr:colOff>
      <xdr:row>29</xdr:row>
      <xdr:rowOff>160019</xdr:rowOff>
    </xdr:from>
    <xdr:to>
      <xdr:col>24</xdr:col>
      <xdr:colOff>189374</xdr:colOff>
      <xdr:row>41</xdr:row>
      <xdr:rowOff>78440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BF2A60E-4CB8-404C-8B4A-FC084213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2292" y="5359548"/>
          <a:ext cx="4219906" cy="2069951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224118</xdr:colOff>
      <xdr:row>27</xdr:row>
      <xdr:rowOff>0</xdr:rowOff>
    </xdr:from>
    <xdr:to>
      <xdr:col>24</xdr:col>
      <xdr:colOff>190500</xdr:colOff>
      <xdr:row>29</xdr:row>
      <xdr:rowOff>33618</xdr:rowOff>
    </xdr:to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F71E23AB-E751-B781-42E9-A23F92B57BFF}"/>
            </a:ext>
          </a:extLst>
        </xdr:cNvPr>
        <xdr:cNvSpPr txBox="1"/>
      </xdr:nvSpPr>
      <xdr:spPr>
        <a:xfrm>
          <a:off x="10511118" y="4840941"/>
          <a:ext cx="4202206" cy="392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latin typeface="Times New Roman" panose="02020603050405020304" pitchFamily="18" charset="0"/>
              <a:cs typeface="Times New Roman" panose="02020603050405020304" pitchFamily="18" charset="0"/>
            </a:rPr>
            <a:t>TOP 10 RICHEST BILLINNAIRES</a:t>
          </a:r>
        </a:p>
      </xdr:txBody>
    </xdr:sp>
    <xdr:clientData/>
  </xdr:twoCellAnchor>
  <xdr:twoCellAnchor>
    <xdr:from>
      <xdr:col>1</xdr:col>
      <xdr:colOff>188898</xdr:colOff>
      <xdr:row>5</xdr:row>
      <xdr:rowOff>175452</xdr:rowOff>
    </xdr:from>
    <xdr:to>
      <xdr:col>8</xdr:col>
      <xdr:colOff>547486</xdr:colOff>
      <xdr:row>19</xdr:row>
      <xdr:rowOff>24011</xdr:rowOff>
    </xdr:to>
    <xdr:sp macro="" textlink="">
      <xdr:nvSpPr>
        <xdr:cNvPr id="7" name="Rectangle: Rounded Corners 6">
          <a:extLst>
            <a:ext uri="{FF2B5EF4-FFF2-40B4-BE49-F238E27FC236}">
              <a16:creationId xmlns="" xmlns:a16="http://schemas.microsoft.com/office/drawing/2014/main" id="{049FDF9E-634D-975C-E86D-2171B46F96A3}"/>
            </a:ext>
          </a:extLst>
        </xdr:cNvPr>
        <xdr:cNvSpPr/>
      </xdr:nvSpPr>
      <xdr:spPr>
        <a:xfrm>
          <a:off x="798498" y="1100738"/>
          <a:ext cx="4625788" cy="243935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220276</xdr:colOff>
      <xdr:row>7</xdr:row>
      <xdr:rowOff>55387</xdr:rowOff>
    </xdr:from>
    <xdr:to>
      <xdr:col>7</xdr:col>
      <xdr:colOff>559590</xdr:colOff>
      <xdr:row>18</xdr:row>
      <xdr:rowOff>56731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5B087AD4-098E-4455-B54D-4917DB3D6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286230</xdr:colOff>
      <xdr:row>6</xdr:row>
      <xdr:rowOff>163605</xdr:rowOff>
    </xdr:from>
    <xdr:to>
      <xdr:col>7</xdr:col>
      <xdr:colOff>342260</xdr:colOff>
      <xdr:row>8</xdr:row>
      <xdr:rowOff>79402</xdr:rowOff>
    </xdr:to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B1471599-E9E9-C744-2FA5-5E40CC169282}"/>
            </a:ext>
          </a:extLst>
        </xdr:cNvPr>
        <xdr:cNvSpPr txBox="1"/>
      </xdr:nvSpPr>
      <xdr:spPr>
        <a:xfrm>
          <a:off x="1505430" y="1273948"/>
          <a:ext cx="3104030" cy="2859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      #Self Made Proportion</a:t>
          </a:r>
        </a:p>
      </xdr:txBody>
    </xdr:sp>
    <xdr:clientData/>
  </xdr:twoCellAnchor>
  <xdr:twoCellAnchor>
    <xdr:from>
      <xdr:col>9</xdr:col>
      <xdr:colOff>43544</xdr:colOff>
      <xdr:row>26</xdr:row>
      <xdr:rowOff>87085</xdr:rowOff>
    </xdr:from>
    <xdr:to>
      <xdr:col>16</xdr:col>
      <xdr:colOff>497136</xdr:colOff>
      <xdr:row>42</xdr:row>
      <xdr:rowOff>22072</xdr:rowOff>
    </xdr:to>
    <xdr:sp macro="" textlink="">
      <xdr:nvSpPr>
        <xdr:cNvPr id="10" name="Rectangle: Rounded Corners 9">
          <a:extLst>
            <a:ext uri="{FF2B5EF4-FFF2-40B4-BE49-F238E27FC236}">
              <a16:creationId xmlns="" xmlns:a16="http://schemas.microsoft.com/office/drawing/2014/main" id="{CCA4289B-074D-4279-94DA-E8A9FDBC59A5}"/>
            </a:ext>
          </a:extLst>
        </xdr:cNvPr>
        <xdr:cNvSpPr/>
      </xdr:nvSpPr>
      <xdr:spPr>
        <a:xfrm>
          <a:off x="5529944" y="4898571"/>
          <a:ext cx="4720792" cy="289590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588817</xdr:colOff>
      <xdr:row>12</xdr:row>
      <xdr:rowOff>116114</xdr:rowOff>
    </xdr:from>
    <xdr:to>
      <xdr:col>24</xdr:col>
      <xdr:colOff>416316</xdr:colOff>
      <xdr:row>25</xdr:row>
      <xdr:rowOff>149731</xdr:rowOff>
    </xdr:to>
    <xdr:sp macro="" textlink="">
      <xdr:nvSpPr>
        <xdr:cNvPr id="11" name="Rectangle: Rounded Corners 10">
          <a:extLst>
            <a:ext uri="{FF2B5EF4-FFF2-40B4-BE49-F238E27FC236}">
              <a16:creationId xmlns="" xmlns:a16="http://schemas.microsoft.com/office/drawing/2014/main" id="{68EFFB3E-7B35-4818-8BAE-1A33EE34F1F4}"/>
            </a:ext>
          </a:extLst>
        </xdr:cNvPr>
        <xdr:cNvSpPr/>
      </xdr:nvSpPr>
      <xdr:spPr>
        <a:xfrm>
          <a:off x="12171217" y="2336800"/>
          <a:ext cx="2875499" cy="243936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116773</xdr:colOff>
      <xdr:row>19</xdr:row>
      <xdr:rowOff>130627</xdr:rowOff>
    </xdr:from>
    <xdr:to>
      <xdr:col>7</xdr:col>
      <xdr:colOff>500742</xdr:colOff>
      <xdr:row>42</xdr:row>
      <xdr:rowOff>103908</xdr:rowOff>
    </xdr:to>
    <xdr:sp macro="" textlink="">
      <xdr:nvSpPr>
        <xdr:cNvPr id="12" name="Rectangle: Rounded Corners 11">
          <a:extLst>
            <a:ext uri="{FF2B5EF4-FFF2-40B4-BE49-F238E27FC236}">
              <a16:creationId xmlns="" xmlns:a16="http://schemas.microsoft.com/office/drawing/2014/main" id="{D3A7F69F-118A-4FF4-945F-84ED38AF8F1D}"/>
            </a:ext>
          </a:extLst>
        </xdr:cNvPr>
        <xdr:cNvSpPr/>
      </xdr:nvSpPr>
      <xdr:spPr>
        <a:xfrm>
          <a:off x="1335973" y="3646713"/>
          <a:ext cx="3431969" cy="422959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201879</xdr:colOff>
      <xdr:row>15</xdr:row>
      <xdr:rowOff>45522</xdr:rowOff>
    </xdr:from>
    <xdr:to>
      <xdr:col>24</xdr:col>
      <xdr:colOff>328880</xdr:colOff>
      <xdr:row>26</xdr:row>
      <xdr:rowOff>104404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501EB5C6-41AF-4CC2-92CE-A1E307B56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250371</xdr:colOff>
      <xdr:row>13</xdr:row>
      <xdr:rowOff>123702</xdr:rowOff>
    </xdr:from>
    <xdr:to>
      <xdr:col>23</xdr:col>
      <xdr:colOff>496455</xdr:colOff>
      <xdr:row>15</xdr:row>
      <xdr:rowOff>169885</xdr:rowOff>
    </xdr:to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A3FD0478-1510-CBAF-D63B-672EF065379B}"/>
            </a:ext>
          </a:extLst>
        </xdr:cNvPr>
        <xdr:cNvSpPr txBox="1"/>
      </xdr:nvSpPr>
      <xdr:spPr>
        <a:xfrm>
          <a:off x="12442371" y="2529445"/>
          <a:ext cx="2074884" cy="416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Gender wise Billionaires</a:t>
          </a:r>
        </a:p>
      </xdr:txBody>
    </xdr:sp>
    <xdr:clientData/>
  </xdr:twoCellAnchor>
  <xdr:twoCellAnchor>
    <xdr:from>
      <xdr:col>2</xdr:col>
      <xdr:colOff>378032</xdr:colOff>
      <xdr:row>19</xdr:row>
      <xdr:rowOff>130628</xdr:rowOff>
    </xdr:from>
    <xdr:to>
      <xdr:col>7</xdr:col>
      <xdr:colOff>27512</xdr:colOff>
      <xdr:row>42</xdr:row>
      <xdr:rowOff>88568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598714</xdr:colOff>
      <xdr:row>27</xdr:row>
      <xdr:rowOff>1</xdr:rowOff>
    </xdr:from>
    <xdr:to>
      <xdr:col>16</xdr:col>
      <xdr:colOff>407126</xdr:colOff>
      <xdr:row>41</xdr:row>
      <xdr:rowOff>152401</xdr:rowOff>
    </xdr:to>
    <xdr:graphicFrame macro="">
      <xdr:nvGraphicFramePr>
        <xdr:cNvPr id="18" name="Chart 17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10886</xdr:colOff>
      <xdr:row>7</xdr:row>
      <xdr:rowOff>65314</xdr:rowOff>
    </xdr:from>
    <xdr:to>
      <xdr:col>14</xdr:col>
      <xdr:colOff>544286</xdr:colOff>
      <xdr:row>25</xdr:row>
      <xdr:rowOff>174171</xdr:rowOff>
    </xdr:to>
    <xdr:sp macro="" textlink="">
      <xdr:nvSpPr>
        <xdr:cNvPr id="17" name="Rounded Rectangle 16"/>
        <xdr:cNvSpPr/>
      </xdr:nvSpPr>
      <xdr:spPr>
        <a:xfrm>
          <a:off x="5497286" y="1360714"/>
          <a:ext cx="3581400" cy="3439886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533400</xdr:colOff>
      <xdr:row>8</xdr:row>
      <xdr:rowOff>43543</xdr:rowOff>
    </xdr:from>
    <xdr:to>
      <xdr:col>14</xdr:col>
      <xdr:colOff>424543</xdr:colOff>
      <xdr:row>25</xdr:row>
      <xdr:rowOff>141513</xdr:rowOff>
    </xdr:to>
    <xdr:graphicFrame macro="">
      <xdr:nvGraphicFramePr>
        <xdr:cNvPr id="19" name="Chart 18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JYOTI" refreshedDate="45558.743614467596" createdVersion="3" refreshedVersion="3" minRefreshableVersion="3" recordCount="2640">
  <cacheSource type="worksheet">
    <worksheetSource ref="A1:AB2641" sheet="DATA"/>
  </cacheSource>
  <cacheFields count="27">
    <cacheField name="rank" numFmtId="0">
      <sharedItems containsSemiMixedTypes="0" containsString="0" containsNumber="1" containsInteger="1" minValue="1" maxValue="2540"/>
    </cacheField>
    <cacheField name="finalWorth" numFmtId="0">
      <sharedItems containsSemiMixedTypes="0" containsString="0" containsNumber="1" containsInteger="1" minValue="1000" maxValue="211000" count="219">
        <n v="211000"/>
        <n v="180000"/>
        <n v="114000"/>
        <n v="107000"/>
        <n v="106000"/>
        <n v="104000"/>
        <n v="94500"/>
        <n v="93000"/>
        <n v="83400"/>
        <n v="80700"/>
        <n v="80500"/>
        <n v="79200"/>
        <n v="77300"/>
        <n v="76000"/>
        <n v="68000"/>
        <n v="64400"/>
        <n v="59000"/>
        <n v="58800"/>
        <n v="57600"/>
        <n v="56700"/>
        <n v="54400"/>
        <n v="50100"/>
        <n v="47200"/>
        <n v="45100"/>
        <n v="45000"/>
        <n v="42900"/>
        <n v="40100"/>
        <n v="39100"/>
        <n v="38900"/>
        <n v="38300"/>
        <n v="38000"/>
        <n v="35300"/>
        <n v="35000"/>
        <n v="34700"/>
        <n v="33400"/>
        <n v="32600"/>
        <n v="32100"/>
        <n v="31600"/>
        <n v="31200"/>
        <n v="30200"/>
        <n v="29700"/>
        <n v="29500"/>
        <n v="28500"/>
        <n v="28100"/>
        <n v="27800"/>
        <n v="27400"/>
        <n v="27000"/>
        <n v="26700"/>
        <n v="26600"/>
        <n v="25600"/>
        <n v="25500"/>
        <n v="25300"/>
        <n v="25200"/>
        <n v="24600"/>
        <n v="24400"/>
        <n v="24200"/>
        <n v="23700"/>
        <n v="23500"/>
        <n v="23400"/>
        <n v="23100"/>
        <n v="22900"/>
        <n v="22600"/>
        <n v="22400"/>
        <n v="22100"/>
        <n v="22000"/>
        <n v="21600"/>
        <n v="21200"/>
        <n v="21100"/>
        <n v="21000"/>
        <n v="20900"/>
        <n v="20500"/>
        <n v="20200"/>
        <n v="19600"/>
        <n v="19100"/>
        <n v="19000"/>
        <n v="18900"/>
        <n v="18700"/>
        <n v="18500"/>
        <n v="18000"/>
        <n v="17700"/>
        <n v="17500"/>
        <n v="17400"/>
        <n v="17100"/>
        <n v="16700"/>
        <n v="16500"/>
        <n v="16300"/>
        <n v="16200"/>
        <n v="16000"/>
        <n v="15900"/>
        <n v="15800"/>
        <n v="15600"/>
        <n v="15500"/>
        <n v="15300"/>
        <n v="15200"/>
        <n v="14900"/>
        <n v="14800"/>
        <n v="14700"/>
        <n v="14600"/>
        <n v="14500"/>
        <n v="14400"/>
        <n v="14300"/>
        <n v="14200"/>
        <n v="14100"/>
        <n v="14000"/>
        <n v="13900"/>
        <n v="13700"/>
        <n v="13300"/>
        <n v="13200"/>
        <n v="13100"/>
        <n v="12900"/>
        <n v="12600"/>
        <n v="12300"/>
        <n v="12200"/>
        <n v="12100"/>
        <n v="12000"/>
        <n v="11800"/>
        <n v="11600"/>
        <n v="11500"/>
        <n v="11400"/>
        <n v="11300"/>
        <n v="11100"/>
        <n v="11000"/>
        <n v="10900"/>
        <n v="10700"/>
        <n v="10600"/>
        <n v="10500"/>
        <n v="10300"/>
        <n v="10200"/>
        <n v="10100"/>
        <n v="10000"/>
        <n v="9900"/>
        <n v="9800"/>
        <n v="9700"/>
        <n v="9600"/>
        <n v="9500"/>
        <n v="9400"/>
        <n v="9300"/>
        <n v="9200"/>
        <n v="9000"/>
        <n v="8900"/>
        <n v="8800"/>
        <n v="8700"/>
        <n v="8600"/>
        <n v="8500"/>
        <n v="8400"/>
        <n v="8300"/>
        <n v="8200"/>
        <n v="8100"/>
        <n v="8000"/>
        <n v="7900"/>
        <n v="7800"/>
        <n v="7700"/>
        <n v="7600"/>
        <n v="7500"/>
        <n v="7400"/>
        <n v="7300"/>
        <n v="7200"/>
        <n v="7100"/>
        <n v="7000"/>
        <n v="6900"/>
        <n v="6800"/>
        <n v="6700"/>
        <n v="6600"/>
        <n v="6500"/>
        <n v="6400"/>
        <n v="6300"/>
        <n v="6200"/>
        <n v="6100"/>
        <n v="6000"/>
        <n v="5900"/>
        <n v="5800"/>
        <n v="5700"/>
        <n v="5600"/>
        <n v="5500"/>
        <n v="5400"/>
        <n v="5300"/>
        <n v="5200"/>
        <n v="5100"/>
        <n v="5000"/>
        <n v="4900"/>
        <n v="4800"/>
        <n v="4700"/>
        <n v="4600"/>
        <n v="4500"/>
        <n v="4400"/>
        <n v="4300"/>
        <n v="4200"/>
        <n v="4100"/>
        <n v="4000"/>
        <n v="3900"/>
        <n v="3800"/>
        <n v="3700"/>
        <n v="3600"/>
        <n v="3500"/>
        <n v="3400"/>
        <n v="3300"/>
        <n v="3200"/>
        <n v="3100"/>
        <n v="3000"/>
        <n v="2900"/>
        <n v="2800"/>
        <n v="2700"/>
        <n v="2600"/>
        <n v="2500"/>
        <n v="2400"/>
        <n v="2300"/>
        <n v="2200"/>
        <n v="2100"/>
        <n v="2000"/>
        <n v="1900"/>
        <n v="1800"/>
        <n v="1700"/>
        <n v="1600"/>
        <n v="1500"/>
        <n v="1400"/>
        <n v="1300"/>
        <n v="1200"/>
        <n v="1100"/>
        <n v="1000"/>
      </sharedItems>
    </cacheField>
    <cacheField name="category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Real Estate"/>
        <s v="Metals &amp; Mining"/>
        <s v="Energy"/>
        <s v="Healthcare"/>
        <s v="Service"/>
        <s v="Construction &amp; Engineering"/>
        <s v="Sports"/>
      </sharedItems>
    </cacheField>
    <cacheField name="personName" numFmtId="0">
      <sharedItems/>
    </cacheField>
    <cacheField name="age" numFmtId="0">
      <sharedItems containsString="0" containsBlank="1" containsNumber="1" containsInteger="1" minValue="18" maxValue="101"/>
    </cacheField>
    <cacheField name="age category" numFmtId="0">
      <sharedItems containsBlank="1" count="9">
        <s v="70-80"/>
        <s v="50-60"/>
        <s v="90-100"/>
        <s v="60-70"/>
        <s v="80-90"/>
        <s v="40-50"/>
        <s v="30-40"/>
        <m/>
        <s v="20-30"/>
      </sharedItems>
    </cacheField>
    <cacheField name="country" numFmtId="0">
      <sharedItems containsBlank="1" count="79">
        <s v="France"/>
        <s v="United States"/>
        <s v="Mexico"/>
        <s v="India"/>
        <s v="Spain"/>
        <s v="China"/>
        <s v="Canada"/>
        <s v="Germany"/>
        <s v="Switzerland"/>
        <s v="Belgium"/>
        <s v="Hong Kong"/>
        <s v="Austria"/>
        <s v="Japan"/>
        <s v="United Kingdom"/>
        <s v="Australia"/>
        <s v="Indonesia"/>
        <s v="United Arab Emirates"/>
        <s v="Russia"/>
        <s v="Chile"/>
        <s v="Monaco"/>
        <s v="Czech Republic"/>
        <s v="Sweden"/>
        <m/>
        <s v="Thailand"/>
        <s v="Uzbekistan"/>
        <s v="Singapore"/>
        <s v="Nigeria"/>
        <s v="Israel"/>
        <s v="Italy"/>
        <s v="South Africa"/>
        <s v="Brazil"/>
        <s v="Malaysia"/>
        <s v="South Korea"/>
        <s v="New Zealand"/>
        <s v="Philippines"/>
        <s v="Taiwan"/>
        <s v="Norway"/>
        <s v="Egypt"/>
        <s v="Denmark"/>
        <s v="Eswatini (Swaziland)"/>
        <s v="Colombia"/>
        <s v="Netherlands"/>
        <s v="Poland"/>
        <s v="Bahamas"/>
        <s v="Ukraine"/>
        <s v="Cayman Islands"/>
        <s v="Greece"/>
        <s v="Turkey"/>
        <s v="Argentina"/>
        <s v="Georgia"/>
        <s v="Portugal"/>
        <s v="Kazakhstan"/>
        <s v="Algeria"/>
        <s v="Vietnam"/>
        <s v="Latvia"/>
        <s v="Finland"/>
        <s v="Bermuda"/>
        <s v="Luxembourg"/>
        <s v="British Virgin Islands"/>
        <s v="Cambodia"/>
        <s v="Lebanon"/>
        <s v="Oman"/>
        <s v="Ireland"/>
        <s v="Cyprus"/>
        <s v="Guernsey"/>
        <s v="Liechtenstein"/>
        <s v="Turks and Caicos Islands"/>
        <s v="Romania"/>
        <s v="Qatar"/>
        <s v="Uruguay"/>
        <s v="Nepal"/>
        <s v="Slovakia"/>
        <s v="Morocco"/>
        <s v="Hungary"/>
        <s v="Tanzania"/>
        <s v="Bahrain"/>
        <s v="Peru"/>
        <s v="Andorra"/>
        <s v="Armenia"/>
      </sharedItems>
    </cacheField>
    <cacheField name="city" numFmtId="0">
      <sharedItems containsBlank="1"/>
    </cacheField>
    <cacheField name="source" numFmtId="0">
      <sharedItems/>
    </cacheField>
    <cacheField name="industries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Real Estate"/>
        <s v="Metals &amp; Mining"/>
        <s v="Energy"/>
        <s v="Healthcare"/>
        <s v="Service"/>
        <s v="Construction &amp; Engineering"/>
        <s v="Sports"/>
      </sharedItems>
    </cacheField>
    <cacheField name="countryOfCitizenship" numFmtId="0">
      <sharedItems/>
    </cacheField>
    <cacheField name="organization" numFmtId="0">
      <sharedItems containsBlank="1"/>
    </cacheField>
    <cacheField name="selfMade" numFmtId="0">
      <sharedItems count="2">
        <b v="0"/>
        <b v="1"/>
      </sharedItems>
    </cacheField>
    <cacheField name="status" numFmtId="0">
      <sharedItems/>
    </cacheField>
    <cacheField name="gender" numFmtId="0">
      <sharedItems count="2">
        <s v="M"/>
        <s v="F"/>
      </sharedItems>
    </cacheField>
    <cacheField name="title" numFmtId="0">
      <sharedItems containsBlank="1"/>
    </cacheField>
    <cacheField name="cpi_country" numFmtId="0">
      <sharedItems containsString="0" containsBlank="1" containsNumber="1" minValue="99.55" maxValue="288.57"/>
    </cacheField>
    <cacheField name="cpi_change_country" numFmtId="0">
      <sharedItems containsString="0" containsBlank="1" containsNumber="1" minValue="-1.9" maxValue="53.5"/>
    </cacheField>
    <cacheField name="gdp_country" numFmtId="0">
      <sharedItems containsBlank="1"/>
    </cacheField>
    <cacheField name="gross_tertiary_education_enrollment" numFmtId="0">
      <sharedItems containsString="0" containsBlank="1" containsNumber="1" minValue="4" maxValue="136.6" count="64">
        <n v="65.599999999999994"/>
        <n v="88.2"/>
        <n v="40.200000000000003"/>
        <n v="28.1"/>
        <n v="88.9"/>
        <n v="50.6"/>
        <n v="68.900000000000006"/>
        <n v="70.2"/>
        <n v="59.6"/>
        <n v="79.7"/>
        <m/>
        <n v="85.1"/>
        <n v="63.2"/>
        <n v="60"/>
        <n v="113.1"/>
        <n v="36.299999999999997"/>
        <n v="36.799999999999997"/>
        <n v="81.900000000000006"/>
        <n v="88.5"/>
        <n v="64.099999999999994"/>
        <n v="67"/>
        <n v="49.3"/>
        <n v="10.1"/>
        <n v="84.8"/>
        <n v="10.199999999999999"/>
        <n v="63.4"/>
        <n v="61.9"/>
        <n v="22.4"/>
        <n v="51.3"/>
        <n v="45.1"/>
        <n v="94.3"/>
        <n v="82"/>
        <n v="35.5"/>
        <n v="35.200000000000003"/>
        <n v="80.599999999999994"/>
        <n v="55.3"/>
        <n v="85"/>
        <n v="67.8"/>
        <n v="82.7"/>
        <n v="136.6"/>
        <n v="23.9"/>
        <n v="90"/>
        <n v="63.9"/>
        <n v="61.7"/>
        <n v="51.4"/>
        <n v="28.5"/>
        <n v="88.1"/>
        <n v="19.2"/>
        <n v="13.7"/>
        <n v="26.3"/>
        <n v="38"/>
        <n v="75.900000000000006"/>
        <n v="35.6"/>
        <n v="49.4"/>
        <n v="17.899999999999999"/>
        <n v="63.1"/>
        <n v="12.4"/>
        <n v="46.6"/>
        <n v="35.9"/>
        <n v="48.5"/>
        <n v="4"/>
        <n v="50.5"/>
        <n v="70.7"/>
        <n v="54.6"/>
      </sharedItems>
    </cacheField>
    <cacheField name="gross_primary_education_enrollment_country" numFmtId="0">
      <sharedItems containsString="0" containsBlank="1" containsNumber="1" minValue="84.7" maxValue="142.1"/>
    </cacheField>
    <cacheField name="life_expectancy_country" numFmtId="0">
      <sharedItems containsString="0" containsBlank="1" containsNumber="1" minValue="54.3" maxValue="84.2"/>
    </cacheField>
    <cacheField name="tax_revenue_country_country" numFmtId="0">
      <sharedItems containsString="0" containsBlank="1" containsNumber="1" minValue="0.1" maxValue="37.200000000000003"/>
    </cacheField>
    <cacheField name="total_tax_rate_country" numFmtId="0">
      <sharedItems containsString="0" containsBlank="1" containsNumber="1" minValue="9.9" maxValue="106.3"/>
    </cacheField>
    <cacheField name="population_country" numFmtId="0">
      <sharedItems containsString="0" containsBlank="1" containsNumber="1" containsInteger="1" minValue="38019" maxValue="1397715000" count="69">
        <n v="67059887"/>
        <n v="328239523"/>
        <n v="126014024"/>
        <n v="1366417754"/>
        <n v="47076781"/>
        <n v="1397715000"/>
        <n v="36991981"/>
        <n v="83132799"/>
        <n v="8574832"/>
        <n v="11484055"/>
        <m/>
        <n v="8877067"/>
        <n v="126226568"/>
        <n v="66834405"/>
        <n v="25766605"/>
        <n v="270203917"/>
        <n v="9770529"/>
        <n v="144373535"/>
        <n v="18952038"/>
        <n v="38964"/>
        <n v="10669709"/>
        <n v="10285453"/>
        <n v="69625582"/>
        <n v="33580650"/>
        <n v="5703569"/>
        <n v="200963599"/>
        <n v="9053300"/>
        <n v="60297396"/>
        <n v="58558270"/>
        <n v="212559417"/>
        <n v="32447385"/>
        <n v="51709098"/>
        <n v="4841000"/>
        <n v="108116615"/>
        <n v="5347896"/>
        <n v="100388073"/>
        <n v="5818553"/>
        <n v="50339443"/>
        <n v="17332850"/>
        <n v="37970874"/>
        <n v="44385155"/>
        <n v="10716322"/>
        <n v="83429615"/>
        <n v="44938712"/>
        <n v="3720382"/>
        <n v="10269417"/>
        <n v="18513930"/>
        <n v="43053054"/>
        <n v="96462106"/>
        <n v="1912789"/>
        <n v="5520314"/>
        <n v="645397"/>
        <n v="16486542"/>
        <n v="6855713"/>
        <n v="5266535"/>
        <n v="1198575"/>
        <n v="38019"/>
        <n v="19356544"/>
        <n v="2832067"/>
        <n v="3461734"/>
        <n v="28608710"/>
        <n v="5454073"/>
        <n v="36910560"/>
        <n v="9769949"/>
        <n v="58005463"/>
        <n v="1501635"/>
        <n v="32510453"/>
        <n v="77142"/>
        <n v="2957731"/>
      </sharedItems>
    </cacheField>
    <cacheField name="latitude_country" numFmtId="0">
      <sharedItems containsString="0" containsBlank="1" containsNumber="1" minValue="-40.900556999999999" maxValue="61.924109999999999"/>
    </cacheField>
    <cacheField name="longitude_country" numFmtId="0">
      <sharedItems containsString="0" containsBlank="1" containsNumber="1" minValue="-106.346771" maxValue="174.88597100000001"/>
    </cacheField>
  </cacheFields>
  <extLst>
    <ext xmlns:x14="http://schemas.microsoft.com/office/spreadsheetml/2009/9/main" uri="{725AE2AE-9491-48be-B2B4-4EB974FC3084}">
      <x14:pivotCacheDefinition pivotCacheId="16046540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40">
  <r>
    <n v="1"/>
    <x v="0"/>
    <x v="0"/>
    <s v="Bernard Arnault &amp; family"/>
    <n v="74"/>
    <x v="0"/>
    <x v="0"/>
    <s v="Paris"/>
    <s v="LVMH"/>
    <x v="0"/>
    <s v="France"/>
    <s v="LVMH MoÃ«t Hennessy Louis Vuitton"/>
    <x v="0"/>
    <s v="U"/>
    <x v="0"/>
    <s v="Chairman and CEO"/>
    <n v="110.05"/>
    <n v="1.1000000000000001"/>
    <s v="$2,715,518,274,227 "/>
    <x v="0"/>
    <n v="102.5"/>
    <n v="82.5"/>
    <n v="24.2"/>
    <n v="60.7"/>
    <x v="0"/>
    <n v="46.227637999999999"/>
    <n v="2.213749"/>
  </r>
  <r>
    <n v="2"/>
    <x v="1"/>
    <x v="1"/>
    <s v="Elon Musk"/>
    <n v="51"/>
    <x v="1"/>
    <x v="1"/>
    <s v="Austin"/>
    <s v="Tesla, SpaceX"/>
    <x v="1"/>
    <s v="United States"/>
    <s v="Tesla"/>
    <x v="1"/>
    <s v="D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3"/>
    <x v="2"/>
    <x v="2"/>
    <s v="Jeff Bezos"/>
    <n v="59"/>
    <x v="1"/>
    <x v="1"/>
    <s v="Medina"/>
    <s v="Amazon"/>
    <x v="2"/>
    <s v="United States"/>
    <s v="Amazon"/>
    <x v="1"/>
    <s v="D"/>
    <x v="0"/>
    <s v="Chairman and Founder"/>
    <n v="117.24"/>
    <n v="7.5"/>
    <s v="$21,427,700,000,000 "/>
    <x v="1"/>
    <n v="101.8"/>
    <n v="78.5"/>
    <n v="9.6"/>
    <n v="36.6"/>
    <x v="1"/>
    <n v="37.090240000000001"/>
    <n v="-95.712890999999999"/>
  </r>
  <r>
    <n v="4"/>
    <x v="3"/>
    <x v="2"/>
    <s v="Larry Ellison"/>
    <n v="78"/>
    <x v="0"/>
    <x v="1"/>
    <s v="Lanai"/>
    <s v="Oracle"/>
    <x v="2"/>
    <s v="United States"/>
    <s v="Oracle"/>
    <x v="1"/>
    <s v="U"/>
    <x v="0"/>
    <s v="CTO and Founder"/>
    <n v="117.24"/>
    <n v="7.5"/>
    <s v="$21,427,700,000,000 "/>
    <x v="1"/>
    <n v="101.8"/>
    <n v="78.5"/>
    <n v="9.6"/>
    <n v="36.6"/>
    <x v="1"/>
    <n v="37.090240000000001"/>
    <n v="-95.712890999999999"/>
  </r>
  <r>
    <n v="5"/>
    <x v="4"/>
    <x v="3"/>
    <s v="Warren Buffett"/>
    <n v="92"/>
    <x v="2"/>
    <x v="1"/>
    <s v="Omaha"/>
    <s v="Berkshire Hathaway"/>
    <x v="3"/>
    <s v="United States"/>
    <s v="Berkshire Hathaway Inc. (Cl A)"/>
    <x v="1"/>
    <s v="D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6"/>
    <x v="5"/>
    <x v="2"/>
    <s v="Bill Gates"/>
    <n v="67"/>
    <x v="3"/>
    <x v="1"/>
    <s v="Medina"/>
    <s v="Microsoft"/>
    <x v="2"/>
    <s v="United States"/>
    <s v="Bill &amp; Melinda Gates Foundation"/>
    <x v="1"/>
    <s v="D"/>
    <x v="0"/>
    <s v="Cochair"/>
    <n v="117.24"/>
    <n v="7.5"/>
    <s v="$21,427,700,000,000 "/>
    <x v="1"/>
    <n v="101.8"/>
    <n v="78.5"/>
    <n v="9.6"/>
    <n v="36.6"/>
    <x v="1"/>
    <n v="37.090240000000001"/>
    <n v="-95.712890999999999"/>
  </r>
  <r>
    <n v="7"/>
    <x v="6"/>
    <x v="4"/>
    <s v="Michael Bloomberg"/>
    <n v="81"/>
    <x v="4"/>
    <x v="1"/>
    <s v="New York"/>
    <s v="Bloomberg LP"/>
    <x v="4"/>
    <s v="United States"/>
    <s v="Bloomberg"/>
    <x v="1"/>
    <s v="U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8"/>
    <x v="7"/>
    <x v="5"/>
    <s v="Carlos Slim Helu &amp; family"/>
    <n v="83"/>
    <x v="4"/>
    <x v="2"/>
    <s v="Mexico City"/>
    <s v="Telecom"/>
    <x v="5"/>
    <s v="Mexico"/>
    <s v="AmÃ©rica MÃ³vil"/>
    <x v="1"/>
    <s v="U"/>
    <x v="0"/>
    <s v="Honorary Chairman"/>
    <n v="141.54"/>
    <n v="3.6"/>
    <s v="$1,258,286,717,125 "/>
    <x v="2"/>
    <n v="105.8"/>
    <n v="75"/>
    <n v="13.1"/>
    <n v="55.1"/>
    <x v="2"/>
    <n v="23.634501"/>
    <n v="-102.552784"/>
  </r>
  <r>
    <n v="9"/>
    <x v="8"/>
    <x v="6"/>
    <s v="Mukesh Ambani"/>
    <n v="65"/>
    <x v="3"/>
    <x v="3"/>
    <s v="Mumbai"/>
    <s v="Diversified"/>
    <x v="6"/>
    <s v="India"/>
    <s v="Reliance Industries"/>
    <x v="0"/>
    <s v="D"/>
    <x v="0"/>
    <s v="Founder and Chairman"/>
    <n v="180.44"/>
    <n v="7.7"/>
    <s v="$2,611,000,000,000 "/>
    <x v="3"/>
    <n v="113"/>
    <n v="69.400000000000006"/>
    <n v="11.2"/>
    <n v="49.7"/>
    <x v="3"/>
    <n v="20.593684"/>
    <n v="78.962879999999998"/>
  </r>
  <r>
    <n v="10"/>
    <x v="9"/>
    <x v="2"/>
    <s v="Steve Ballmer"/>
    <n v="67"/>
    <x v="3"/>
    <x v="1"/>
    <s v="Hunts Point"/>
    <s v="Microsoft"/>
    <x v="2"/>
    <s v="United States"/>
    <s v="Los Angeles Clippers"/>
    <x v="1"/>
    <s v="D"/>
    <x v="0"/>
    <s v="Owner"/>
    <n v="117.24"/>
    <n v="7.5"/>
    <s v="$21,427,700,000,000 "/>
    <x v="1"/>
    <n v="101.8"/>
    <n v="78.5"/>
    <n v="9.6"/>
    <n v="36.6"/>
    <x v="1"/>
    <n v="37.090240000000001"/>
    <n v="-95.712890999999999"/>
  </r>
  <r>
    <n v="11"/>
    <x v="10"/>
    <x v="0"/>
    <s v="Francoise Bettencourt Meyers &amp; family"/>
    <n v="69"/>
    <x v="3"/>
    <x v="0"/>
    <s v="Paris"/>
    <s v="L'OrÃ©al"/>
    <x v="0"/>
    <s v="France"/>
    <m/>
    <x v="0"/>
    <s v="U"/>
    <x v="1"/>
    <m/>
    <n v="110.05"/>
    <n v="1.1000000000000001"/>
    <s v="$2,715,518,274,227 "/>
    <x v="0"/>
    <n v="102.5"/>
    <n v="82.5"/>
    <n v="24.2"/>
    <n v="60.7"/>
    <x v="0"/>
    <n v="46.227637999999999"/>
    <n v="2.213749"/>
  </r>
  <r>
    <n v="12"/>
    <x v="11"/>
    <x v="2"/>
    <s v="Larry Page"/>
    <n v="50"/>
    <x v="1"/>
    <x v="1"/>
    <s v="Palo Alto"/>
    <s v="Google"/>
    <x v="2"/>
    <s v="United States"/>
    <s v="Alphabet"/>
    <x v="1"/>
    <s v="D"/>
    <x v="0"/>
    <s v="Cofounder and board member"/>
    <n v="117.24"/>
    <n v="7.5"/>
    <s v="$21,427,700,000,000 "/>
    <x v="1"/>
    <n v="101.8"/>
    <n v="78.5"/>
    <n v="9.6"/>
    <n v="36.6"/>
    <x v="1"/>
    <n v="37.090240000000001"/>
    <n v="-95.712890999999999"/>
  </r>
  <r>
    <n v="13"/>
    <x v="12"/>
    <x v="0"/>
    <s v="Amancio Ortega"/>
    <n v="87"/>
    <x v="4"/>
    <x v="4"/>
    <s v="La Coruna"/>
    <s v="Zara"/>
    <x v="0"/>
    <s v="Spain"/>
    <m/>
    <x v="1"/>
    <s v="U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14"/>
    <x v="13"/>
    <x v="2"/>
    <s v="Sergey Brin"/>
    <n v="49"/>
    <x v="5"/>
    <x v="1"/>
    <s v="Los Altos"/>
    <s v="Google"/>
    <x v="2"/>
    <s v="United States"/>
    <s v="Alphabet"/>
    <x v="1"/>
    <s v="D"/>
    <x v="0"/>
    <s v="Cofounder and board member"/>
    <n v="117.24"/>
    <n v="7.5"/>
    <s v="$21,427,700,000,000 "/>
    <x v="1"/>
    <n v="101.8"/>
    <n v="78.5"/>
    <n v="9.6"/>
    <n v="36.6"/>
    <x v="1"/>
    <n v="37.090240000000001"/>
    <n v="-95.712890999999999"/>
  </r>
  <r>
    <n v="15"/>
    <x v="14"/>
    <x v="7"/>
    <s v="Zhong Shanshan"/>
    <n v="68"/>
    <x v="3"/>
    <x v="5"/>
    <s v="Hangzhou"/>
    <s v="Beverages, pharmaceuticals"/>
    <x v="7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"/>
    <x v="15"/>
    <x v="2"/>
    <s v="Mark Zuckerberg"/>
    <n v="38"/>
    <x v="6"/>
    <x v="1"/>
    <s v="Palo Alto"/>
    <s v="Facebook"/>
    <x v="2"/>
    <s v="United States"/>
    <s v="Meta Platforms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7"/>
    <x v="16"/>
    <x v="6"/>
    <s v="Charles Koch &amp; family"/>
    <n v="87"/>
    <x v="4"/>
    <x v="1"/>
    <s v="Wichita"/>
    <s v="Koch Industries"/>
    <x v="6"/>
    <s v="United States"/>
    <s v="Koch Industries, Inc."/>
    <x v="0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17"/>
    <x v="16"/>
    <x v="6"/>
    <s v="Julia Koch &amp; family"/>
    <n v="60"/>
    <x v="3"/>
    <x v="1"/>
    <s v="New York"/>
    <s v="Koch Industries"/>
    <x v="6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9"/>
    <x v="17"/>
    <x v="0"/>
    <s v="Jim Walton"/>
    <n v="74"/>
    <x v="0"/>
    <x v="1"/>
    <s v="Bentonville"/>
    <s v="Walmart"/>
    <x v="0"/>
    <s v="United States"/>
    <s v="Arvest Bank Group, Inc."/>
    <x v="0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20"/>
    <x v="18"/>
    <x v="0"/>
    <s v="Rob Walton &amp; family"/>
    <n v="78"/>
    <x v="0"/>
    <x v="1"/>
    <s v="Bentonville"/>
    <s v="Walmart"/>
    <x v="0"/>
    <s v="United States"/>
    <s v="Walmart"/>
    <x v="0"/>
    <s v="D"/>
    <x v="0"/>
    <s v="Director"/>
    <n v="117.24"/>
    <n v="7.5"/>
    <s v="$21,427,700,000,000 "/>
    <x v="1"/>
    <n v="101.8"/>
    <n v="78.5"/>
    <n v="9.6"/>
    <n v="36.6"/>
    <x v="1"/>
    <n v="37.090240000000001"/>
    <n v="-95.712890999999999"/>
  </r>
  <r>
    <n v="21"/>
    <x v="19"/>
    <x v="0"/>
    <s v="Alice Walton"/>
    <n v="73"/>
    <x v="0"/>
    <x v="1"/>
    <s v="Fort Worth"/>
    <s v="Walmart"/>
    <x v="0"/>
    <s v="United States"/>
    <s v="Crystal Bridges Museum of American Art"/>
    <x v="0"/>
    <s v="D"/>
    <x v="1"/>
    <s v="Philanthropist"/>
    <n v="117.24"/>
    <n v="7.5"/>
    <s v="$21,427,700,000,000 "/>
    <x v="1"/>
    <n v="101.8"/>
    <n v="78.5"/>
    <n v="9.6"/>
    <n v="36.6"/>
    <x v="1"/>
    <n v="37.090240000000001"/>
    <n v="-95.712890999999999"/>
  </r>
  <r>
    <n v="22"/>
    <x v="20"/>
    <x v="4"/>
    <s v="David Thomson &amp; family"/>
    <n v="65"/>
    <x v="3"/>
    <x v="6"/>
    <s v="Toronto"/>
    <s v="Media"/>
    <x v="4"/>
    <s v="Canada"/>
    <s v="Thomson Reuters Corporation"/>
    <x v="0"/>
    <s v="U"/>
    <x v="0"/>
    <s v="Chairman"/>
    <n v="116.76"/>
    <n v="1.9"/>
    <s v="$1,736,425,629,520 "/>
    <x v="6"/>
    <n v="100.9"/>
    <n v="81.900000000000006"/>
    <n v="12.8"/>
    <n v="24.5"/>
    <x v="6"/>
    <n v="56.130366000000002"/>
    <n v="-106.346771"/>
  </r>
  <r>
    <n v="23"/>
    <x v="21"/>
    <x v="2"/>
    <s v="Michael Dell"/>
    <n v="58"/>
    <x v="1"/>
    <x v="1"/>
    <s v="Austin"/>
    <s v="Dell Technologies"/>
    <x v="2"/>
    <s v="United States"/>
    <s v="Dell Inc."/>
    <x v="1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24"/>
    <x v="22"/>
    <x v="6"/>
    <s v="Gautam Adani"/>
    <n v="60"/>
    <x v="3"/>
    <x v="3"/>
    <s v="Ahmedabad"/>
    <s v="Infrastructure, commodities"/>
    <x v="6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5"/>
    <x v="23"/>
    <x v="0"/>
    <s v="Phil Knight &amp; family"/>
    <n v="85"/>
    <x v="4"/>
    <x v="1"/>
    <s v="Hillsboro"/>
    <s v="Nike"/>
    <x v="0"/>
    <s v="United States"/>
    <s v="Nike"/>
    <x v="1"/>
    <s v="D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26"/>
    <x v="24"/>
    <x v="2"/>
    <s v="Zhang Yiming"/>
    <n v="39"/>
    <x v="6"/>
    <x v="5"/>
    <s v="Beijing"/>
    <s v="TikTok"/>
    <x v="2"/>
    <s v="China"/>
    <s v="ByteDance"/>
    <x v="1"/>
    <s v="D"/>
    <x v="0"/>
    <s v="Founder"/>
    <n v="125.08"/>
    <n v="2.9"/>
    <s v="$19,910,000,000,000 "/>
    <x v="5"/>
    <n v="100.2"/>
    <n v="77"/>
    <n v="9.4"/>
    <n v="59.2"/>
    <x v="5"/>
    <n v="35.861660000000001"/>
    <n v="104.195397"/>
  </r>
  <r>
    <n v="27"/>
    <x v="25"/>
    <x v="0"/>
    <s v="Dieter Schwarz"/>
    <n v="83"/>
    <x v="4"/>
    <x v="7"/>
    <s v="Neckarsulm"/>
    <s v="Retail"/>
    <x v="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8"/>
    <x v="26"/>
    <x v="0"/>
    <s v="FranÃ§ois Pinault &amp; family"/>
    <n v="86"/>
    <x v="4"/>
    <x v="0"/>
    <s v="Paris"/>
    <s v="Luxury goods"/>
    <x v="0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29"/>
    <x v="27"/>
    <x v="8"/>
    <s v="Klaus-Michael Kuehne"/>
    <n v="85"/>
    <x v="4"/>
    <x v="8"/>
    <s v="Schindellegi"/>
    <s v="Shipping"/>
    <x v="8"/>
    <s v="Germany"/>
    <m/>
    <x v="0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30"/>
    <x v="28"/>
    <x v="7"/>
    <s v="Giovanni Ferrero"/>
    <n v="58"/>
    <x v="1"/>
    <x v="9"/>
    <s v="Brussels"/>
    <s v="Nutella, chocolates"/>
    <x v="7"/>
    <s v="Italy"/>
    <m/>
    <x v="0"/>
    <s v="U"/>
    <x v="0"/>
    <m/>
    <n v="117.11"/>
    <n v="1.4"/>
    <s v="$529,606,710,418 "/>
    <x v="9"/>
    <n v="103.9"/>
    <n v="81.599999999999994"/>
    <n v="24"/>
    <n v="55.4"/>
    <x v="9"/>
    <n v="50.503886999999999"/>
    <n v="4.4699359999999997"/>
  </r>
  <r>
    <n v="31"/>
    <x v="29"/>
    <x v="7"/>
    <s v="Jacqueline Mars"/>
    <n v="83"/>
    <x v="4"/>
    <x v="1"/>
    <s v="The Plains"/>
    <s v="Candy, pet food"/>
    <x v="7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31"/>
    <x v="29"/>
    <x v="7"/>
    <s v="John Mars"/>
    <n v="87"/>
    <x v="4"/>
    <x v="1"/>
    <s v="Jackson"/>
    <s v="Candy, pet food"/>
    <x v="7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3"/>
    <x v="30"/>
    <x v="6"/>
    <s v="Li Ka-shing"/>
    <n v="94"/>
    <x v="2"/>
    <x v="10"/>
    <m/>
    <s v="Diversified"/>
    <x v="6"/>
    <s v="Hong Kong"/>
    <s v="CK Hutchison Holdings"/>
    <x v="1"/>
    <s v="U"/>
    <x v="0"/>
    <s v="Senior Advisor"/>
    <m/>
    <m/>
    <m/>
    <x v="10"/>
    <m/>
    <m/>
    <m/>
    <m/>
    <x v="10"/>
    <m/>
    <m/>
  </r>
  <r>
    <n v="34"/>
    <x v="31"/>
    <x v="2"/>
    <s v="Ma Huateng"/>
    <n v="51"/>
    <x v="1"/>
    <x v="5"/>
    <s v="Shenzhen"/>
    <s v="Internet media"/>
    <x v="2"/>
    <s v="China"/>
    <s v="Tencent Holdings"/>
    <x v="1"/>
    <s v="D"/>
    <x v="0"/>
    <s v="Chairman and CEO"/>
    <n v="125.08"/>
    <n v="2.9"/>
    <s v="$19,910,000,000,000 "/>
    <x v="5"/>
    <n v="100.2"/>
    <n v="77"/>
    <n v="9.4"/>
    <n v="59.2"/>
    <x v="5"/>
    <n v="35.861660000000001"/>
    <n v="104.195397"/>
  </r>
  <r>
    <n v="35"/>
    <x v="32"/>
    <x v="9"/>
    <s v="Miriam Adelson &amp; family"/>
    <n v="77"/>
    <x v="0"/>
    <x v="1"/>
    <s v="Las Vegas"/>
    <s v="Casinos"/>
    <x v="9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35"/>
    <x v="32"/>
    <x v="3"/>
    <s v="Ken Griffin"/>
    <n v="54"/>
    <x v="1"/>
    <x v="1"/>
    <s v="Miami"/>
    <s v="Hedge funds"/>
    <x v="3"/>
    <s v="United States"/>
    <s v="Citadel LLC"/>
    <x v="1"/>
    <s v="U"/>
    <x v="0"/>
    <s v="Founder &amp; CEO"/>
    <n v="117.24"/>
    <n v="7.5"/>
    <s v="$21,427,700,000,000 "/>
    <x v="1"/>
    <n v="101.8"/>
    <n v="78.5"/>
    <n v="9.6"/>
    <n v="36.6"/>
    <x v="1"/>
    <n v="37.090240000000001"/>
    <n v="-95.712890999999999"/>
  </r>
  <r>
    <n v="37"/>
    <x v="33"/>
    <x v="7"/>
    <s v="Mark Mateschitz"/>
    <n v="30"/>
    <x v="6"/>
    <x v="11"/>
    <s v="Salzburg"/>
    <s v="Red Bull"/>
    <x v="7"/>
    <s v="Austria"/>
    <m/>
    <x v="0"/>
    <s v="N"/>
    <x v="0"/>
    <m/>
    <n v="118.06"/>
    <n v="1.5"/>
    <s v="$446,314,739,528 "/>
    <x v="11"/>
    <n v="103.1"/>
    <n v="81.599999999999994"/>
    <n v="25.4"/>
    <n v="51.4"/>
    <x v="11"/>
    <n v="47.516230999999998"/>
    <n v="14.550072"/>
  </r>
  <r>
    <n v="38"/>
    <x v="34"/>
    <x v="1"/>
    <s v="Robin Zeng"/>
    <n v="54"/>
    <x v="1"/>
    <x v="5"/>
    <s v="Ningde"/>
    <s v="Batteries"/>
    <x v="1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39"/>
    <x v="35"/>
    <x v="0"/>
    <s v="Tadashi Yanai &amp; family"/>
    <n v="74"/>
    <x v="0"/>
    <x v="12"/>
    <s v="Tokyo"/>
    <s v="Fashion retail"/>
    <x v="0"/>
    <s v="Japan"/>
    <m/>
    <x v="1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40"/>
    <x v="36"/>
    <x v="6"/>
    <s v="Len Blavatnik"/>
    <n v="65"/>
    <x v="3"/>
    <x v="13"/>
    <s v="London"/>
    <s v="Music, chemicals"/>
    <x v="6"/>
    <s v="United States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41"/>
    <x v="37"/>
    <x v="0"/>
    <s v="Alain Wertheimer"/>
    <n v="74"/>
    <x v="0"/>
    <x v="1"/>
    <s v="New York"/>
    <s v="Chanel"/>
    <x v="0"/>
    <s v="France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1"/>
    <x v="37"/>
    <x v="0"/>
    <s v="Gerard Wertheimer"/>
    <n v="72"/>
    <x v="0"/>
    <x v="1"/>
    <s v="New York"/>
    <s v="Chanel"/>
    <x v="0"/>
    <s v="France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3"/>
    <x v="38"/>
    <x v="8"/>
    <s v="Gianluigi Aponte"/>
    <n v="82"/>
    <x v="4"/>
    <x v="8"/>
    <s v="Geneva"/>
    <s v="Shipping"/>
    <x v="8"/>
    <s v="Switzerland"/>
    <m/>
    <x v="1"/>
    <s v="Split Family Fortun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43"/>
    <x v="38"/>
    <x v="8"/>
    <s v="Rafaela Aponte-Diamant"/>
    <n v="78"/>
    <x v="0"/>
    <x v="8"/>
    <s v="Geneva"/>
    <s v="Shipping"/>
    <x v="8"/>
    <s v="Switzerland"/>
    <m/>
    <x v="1"/>
    <s v="Split Family Fortune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45"/>
    <x v="39"/>
    <x v="2"/>
    <s v="Colin Zheng Huang"/>
    <n v="43"/>
    <x v="5"/>
    <x v="5"/>
    <s v="Shanghai"/>
    <s v="E-commerce"/>
    <x v="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46"/>
    <x v="40"/>
    <x v="10"/>
    <s v="Reinhold Wuerth &amp; family"/>
    <n v="87"/>
    <x v="4"/>
    <x v="7"/>
    <s v="Kuenzelsau"/>
    <s v="Fasteners"/>
    <x v="10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47"/>
    <x v="41"/>
    <x v="11"/>
    <s v="Lee Shau Kee"/>
    <n v="95"/>
    <x v="2"/>
    <x v="10"/>
    <s v="Hong Kong"/>
    <s v="Real estate"/>
    <x v="11"/>
    <s v="Hong Kong"/>
    <m/>
    <x v="1"/>
    <s v="D"/>
    <x v="0"/>
    <m/>
    <m/>
    <m/>
    <m/>
    <x v="10"/>
    <m/>
    <m/>
    <m/>
    <m/>
    <x v="10"/>
    <m/>
    <m/>
  </r>
  <r>
    <n v="48"/>
    <x v="42"/>
    <x v="3"/>
    <s v="Jeff Yass"/>
    <n v="64"/>
    <x v="3"/>
    <x v="1"/>
    <s v="Haverford"/>
    <s v="Trading, investments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9"/>
    <x v="43"/>
    <x v="3"/>
    <s v="Jim Simons"/>
    <n v="84"/>
    <x v="4"/>
    <x v="1"/>
    <s v="East Setauket"/>
    <s v="Hedge funds"/>
    <x v="3"/>
    <s v="United States"/>
    <s v="Renaissance Technologies Corp."/>
    <x v="1"/>
    <s v="D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50"/>
    <x v="44"/>
    <x v="3"/>
    <s v="Stephen Schwarzman"/>
    <n v="76"/>
    <x v="0"/>
    <x v="1"/>
    <s v="New York"/>
    <s v="Investments"/>
    <x v="3"/>
    <s v="United States"/>
    <s v="Blackstone Group"/>
    <x v="1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51"/>
    <x v="45"/>
    <x v="1"/>
    <s v="Susanne Klatten"/>
    <n v="60"/>
    <x v="3"/>
    <x v="7"/>
    <s v="Bad Homburg"/>
    <s v="BMW, pharmaceuticals"/>
    <x v="1"/>
    <s v="Germany"/>
    <m/>
    <x v="0"/>
    <s v="U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52"/>
    <x v="46"/>
    <x v="12"/>
    <s v="Gina Rinehart"/>
    <n v="69"/>
    <x v="3"/>
    <x v="14"/>
    <s v="Perth"/>
    <s v="Mining"/>
    <x v="12"/>
    <s v="Australia"/>
    <s v="Hancock Prospecting"/>
    <x v="0"/>
    <s v="D"/>
    <x v="1"/>
    <s v="Executive Chairman"/>
    <n v="119.8"/>
    <n v="1.6"/>
    <s v="$1,392,680,589,329 "/>
    <x v="14"/>
    <n v="100.3"/>
    <n v="82.7"/>
    <n v="23"/>
    <n v="47.4"/>
    <x v="14"/>
    <n v="-25.274398000000001"/>
    <n v="133.775136"/>
  </r>
  <r>
    <n v="53"/>
    <x v="47"/>
    <x v="2"/>
    <s v="William Ding"/>
    <n v="51"/>
    <x v="1"/>
    <x v="5"/>
    <s v="Hangzhou"/>
    <s v="Online games"/>
    <x v="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54"/>
    <x v="48"/>
    <x v="12"/>
    <s v="GermÃ¡n Larrea Mota Velasco &amp; family"/>
    <n v="69"/>
    <x v="3"/>
    <x v="2"/>
    <s v="Mexico City"/>
    <s v="Mining"/>
    <x v="12"/>
    <s v="Mexico"/>
    <m/>
    <x v="0"/>
    <s v="D"/>
    <x v="0"/>
    <m/>
    <n v="141.54"/>
    <n v="3.6"/>
    <s v="$1,258,286,717,125 "/>
    <x v="2"/>
    <n v="105.8"/>
    <n v="75"/>
    <n v="13.1"/>
    <n v="55.1"/>
    <x v="2"/>
    <n v="23.634501"/>
    <n v="-102.552784"/>
  </r>
  <r>
    <n v="55"/>
    <x v="49"/>
    <x v="2"/>
    <s v="Shiv Nadar"/>
    <n v="77"/>
    <x v="0"/>
    <x v="3"/>
    <s v="Delhi"/>
    <s v="software services"/>
    <x v="2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56"/>
    <x v="50"/>
    <x v="13"/>
    <s v="Low Tuck Kwong"/>
    <n v="74"/>
    <x v="0"/>
    <x v="15"/>
    <s v="Jakarta"/>
    <s v="Coal"/>
    <x v="13"/>
    <s v="Indonesia"/>
    <m/>
    <x v="1"/>
    <s v="U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57"/>
    <x v="51"/>
    <x v="3"/>
    <s v="Thomas Peterffy"/>
    <n v="78"/>
    <x v="0"/>
    <x v="1"/>
    <s v="Palm Beach"/>
    <s v="Discount brokerage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8"/>
    <x v="52"/>
    <x v="12"/>
    <s v="Andrey Melnichenko &amp; family"/>
    <n v="51"/>
    <x v="1"/>
    <x v="16"/>
    <s v="Ras Al Khaimah"/>
    <s v="Fertilizers, coal"/>
    <x v="12"/>
    <s v="Russia"/>
    <m/>
    <x v="1"/>
    <s v="U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59"/>
    <x v="53"/>
    <x v="1"/>
    <s v="Stefan Quandt"/>
    <n v="56"/>
    <x v="1"/>
    <x v="7"/>
    <s v="Frankfurt"/>
    <s v="BMW"/>
    <x v="1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60"/>
    <x v="54"/>
    <x v="2"/>
    <s v="MacKenzie Scott"/>
    <n v="52"/>
    <x v="1"/>
    <x v="1"/>
    <s v="Seattle"/>
    <s v="Amazon"/>
    <x v="2"/>
    <s v="United States"/>
    <m/>
    <x v="0"/>
    <s v="D"/>
    <x v="1"/>
    <s v="Philanthropist"/>
    <n v="117.24"/>
    <n v="7.5"/>
    <s v="$21,427,700,000,000 "/>
    <x v="1"/>
    <n v="101.8"/>
    <n v="78.5"/>
    <n v="9.6"/>
    <n v="36.6"/>
    <x v="1"/>
    <n v="37.090240000000001"/>
    <n v="-95.712890999999999"/>
  </r>
  <r>
    <n v="61"/>
    <x v="55"/>
    <x v="3"/>
    <s v="R. Budi Hartono"/>
    <n v="82"/>
    <x v="4"/>
    <x v="15"/>
    <s v="Kudus"/>
    <s v="Banking, tobacco"/>
    <x v="3"/>
    <s v="Indonesia"/>
    <m/>
    <x v="0"/>
    <s v="U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62"/>
    <x v="56"/>
    <x v="12"/>
    <s v="Vladimir Potanin"/>
    <n v="62"/>
    <x v="3"/>
    <x v="17"/>
    <s v="Moscow"/>
    <s v="Metals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63"/>
    <x v="57"/>
    <x v="2"/>
    <s v="Jack Ma"/>
    <n v="58"/>
    <x v="1"/>
    <x v="5"/>
    <s v="Hangzhou"/>
    <s v="E-commerce"/>
    <x v="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64"/>
    <x v="58"/>
    <x v="10"/>
    <s v="He Xiangjian &amp; family"/>
    <n v="80"/>
    <x v="4"/>
    <x v="5"/>
    <s v="Foshan"/>
    <s v="Home appliance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5"/>
    <x v="59"/>
    <x v="12"/>
    <s v="Iris Fontbona &amp; family"/>
    <n v="80"/>
    <x v="4"/>
    <x v="18"/>
    <s v="Santiago"/>
    <s v="Mining"/>
    <x v="12"/>
    <s v="Chile"/>
    <m/>
    <x v="0"/>
    <s v="U"/>
    <x v="1"/>
    <m/>
    <n v="131.91"/>
    <n v="2.6"/>
    <s v="$282,318,159,745 "/>
    <x v="18"/>
    <n v="101.4"/>
    <n v="80"/>
    <n v="18.2"/>
    <n v="34"/>
    <x v="18"/>
    <n v="-35.675147000000003"/>
    <n v="-71.542968999999999"/>
  </r>
  <r>
    <n v="65"/>
    <x v="59"/>
    <x v="10"/>
    <s v="Michael Hartono"/>
    <n v="83"/>
    <x v="4"/>
    <x v="15"/>
    <s v="Kudus"/>
    <s v="Banking, tobacco"/>
    <x v="10"/>
    <s v="Indonesia"/>
    <m/>
    <x v="0"/>
    <s v="U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67"/>
    <x v="60"/>
    <x v="10"/>
    <s v="James Ratcliffe"/>
    <n v="70"/>
    <x v="0"/>
    <x v="13"/>
    <s v="London"/>
    <s v="Chemicals"/>
    <x v="10"/>
    <s v="United Kingdom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68"/>
    <x v="61"/>
    <x v="14"/>
    <s v="Cyrus Poonawalla"/>
    <n v="81"/>
    <x v="4"/>
    <x v="3"/>
    <s v="Pune"/>
    <s v="Vaccines"/>
    <x v="14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69"/>
    <x v="62"/>
    <x v="5"/>
    <s v="Masayoshi Son"/>
    <n v="65"/>
    <x v="3"/>
    <x v="12"/>
    <s v="Tokyo"/>
    <s v="Internet, telecom"/>
    <x v="5"/>
    <s v="Japan"/>
    <s v="SoftBank Group Corp."/>
    <x v="1"/>
    <s v="U"/>
    <x v="0"/>
    <s v="CEO"/>
    <n v="105.48"/>
    <n v="0.5"/>
    <s v="$5,081,769,542,380 "/>
    <x v="12"/>
    <n v="98.8"/>
    <n v="84.2"/>
    <n v="11.9"/>
    <n v="46.7"/>
    <x v="12"/>
    <n v="36.204824000000002"/>
    <n v="138.25292400000001"/>
  </r>
  <r>
    <n v="70"/>
    <x v="63"/>
    <x v="12"/>
    <s v="Vladimir Lisin"/>
    <n v="66"/>
    <x v="3"/>
    <x v="17"/>
    <s v="Moscow"/>
    <s v="Steel, transport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71"/>
    <x v="64"/>
    <x v="7"/>
    <s v="Emmanuel Besnier"/>
    <n v="52"/>
    <x v="1"/>
    <x v="0"/>
    <s v="Laval"/>
    <s v="Cheese"/>
    <x v="7"/>
    <s v="France"/>
    <m/>
    <x v="0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72"/>
    <x v="65"/>
    <x v="3"/>
    <s v="Abigail Johnson"/>
    <n v="61"/>
    <x v="3"/>
    <x v="1"/>
    <s v="Milton"/>
    <s v="Fidelity"/>
    <x v="3"/>
    <s v="United States"/>
    <s v="Fidelity Investments"/>
    <x v="0"/>
    <s v="U"/>
    <x v="1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72"/>
    <x v="65"/>
    <x v="13"/>
    <s v="Leonid Mikhelson &amp; family"/>
    <n v="67"/>
    <x v="3"/>
    <x v="17"/>
    <s v="Moscow"/>
    <s v="Gas, chemicals"/>
    <x v="1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74"/>
    <x v="66"/>
    <x v="0"/>
    <s v="Lukas Walton"/>
    <n v="36"/>
    <x v="6"/>
    <x v="1"/>
    <s v="Chicago"/>
    <s v="Walmart"/>
    <x v="0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4"/>
    <x v="66"/>
    <x v="15"/>
    <s v="Wang Wei"/>
    <n v="52"/>
    <x v="1"/>
    <x v="5"/>
    <s v="Shenzhen"/>
    <s v="Package delivery"/>
    <x v="15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76"/>
    <x v="67"/>
    <x v="2"/>
    <s v="Jensen Huang"/>
    <n v="60"/>
    <x v="3"/>
    <x v="1"/>
    <s v="Los Altos"/>
    <s v="Semiconductors"/>
    <x v="2"/>
    <s v="United States"/>
    <s v="Nvidia"/>
    <x v="1"/>
    <s v="U"/>
    <x v="0"/>
    <s v="CEO &amp; President"/>
    <n v="117.24"/>
    <n v="7.5"/>
    <s v="$21,427,700,000,000 "/>
    <x v="1"/>
    <n v="101.8"/>
    <n v="78.5"/>
    <n v="9.6"/>
    <n v="36.6"/>
    <x v="1"/>
    <n v="37.090240000000001"/>
    <n v="-95.712890999999999"/>
  </r>
  <r>
    <n v="77"/>
    <x v="68"/>
    <x v="0"/>
    <s v="Leonard Lauder"/>
    <n v="90"/>
    <x v="2"/>
    <x v="1"/>
    <s v="New York"/>
    <s v="Estee Lauder"/>
    <x v="0"/>
    <s v="United States"/>
    <s v="The EstÃ©e Lauder Companies"/>
    <x v="0"/>
    <s v="D"/>
    <x v="0"/>
    <s v="Chairman Emeritus"/>
    <n v="117.24"/>
    <n v="7.5"/>
    <s v="$21,427,700,000,000 "/>
    <x v="1"/>
    <n v="101.8"/>
    <n v="78.5"/>
    <n v="9.6"/>
    <n v="36.6"/>
    <x v="1"/>
    <n v="37.090240000000001"/>
    <n v="-95.712890999999999"/>
  </r>
  <r>
    <n v="77"/>
    <x v="68"/>
    <x v="10"/>
    <s v="Takemitsu Takizaki"/>
    <n v="77"/>
    <x v="0"/>
    <x v="12"/>
    <s v="Osaka"/>
    <s v="Sensors"/>
    <x v="10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79"/>
    <x v="69"/>
    <x v="12"/>
    <s v="Alexey Mordashov &amp; family"/>
    <n v="57"/>
    <x v="1"/>
    <x v="17"/>
    <s v="Moscow"/>
    <s v="Steel, investments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80"/>
    <x v="70"/>
    <x v="13"/>
    <s v="Vagit Alekperov"/>
    <n v="72"/>
    <x v="0"/>
    <x v="17"/>
    <s v="Moscow"/>
    <s v="Oil"/>
    <x v="1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81"/>
    <x v="71"/>
    <x v="14"/>
    <s v="Thomas Frist, Jr. &amp; family"/>
    <n v="84"/>
    <x v="4"/>
    <x v="1"/>
    <s v="Nashville"/>
    <s v="Hospitals"/>
    <x v="1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2"/>
    <x v="72"/>
    <x v="12"/>
    <s v="Andrew Forrest"/>
    <n v="61"/>
    <x v="3"/>
    <x v="14"/>
    <s v="Perth"/>
    <s v="Mining"/>
    <x v="12"/>
    <s v="Australia"/>
    <m/>
    <x v="1"/>
    <s v="U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83"/>
    <x v="73"/>
    <x v="3"/>
    <s v="Ray Dalio"/>
    <n v="73"/>
    <x v="0"/>
    <x v="1"/>
    <s v="Greenwich"/>
    <s v="Hedge funds"/>
    <x v="3"/>
    <s v="United States"/>
    <s v="Bridgewater Associates"/>
    <x v="1"/>
    <s v="D"/>
    <x v="0"/>
    <s v="Founder &amp; Co-Chief Investment Officer"/>
    <n v="117.24"/>
    <n v="7.5"/>
    <s v="$21,427,700,000,000 "/>
    <x v="1"/>
    <n v="101.8"/>
    <n v="78.5"/>
    <n v="9.6"/>
    <n v="36.6"/>
    <x v="1"/>
    <n v="37.090240000000001"/>
    <n v="-95.712890999999999"/>
  </r>
  <r>
    <n v="84"/>
    <x v="74"/>
    <x v="1"/>
    <s v="Eric Li"/>
    <n v="59"/>
    <x v="1"/>
    <x v="5"/>
    <s v="Hangzhou"/>
    <s v="Automobile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84"/>
    <x v="74"/>
    <x v="12"/>
    <s v="Wang Wenyin"/>
    <n v="55"/>
    <x v="1"/>
    <x v="5"/>
    <s v="Shenzhen"/>
    <s v="Mining, copper products"/>
    <x v="1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86"/>
    <x v="75"/>
    <x v="6"/>
    <s v="Eyal Ofer"/>
    <n v="72"/>
    <x v="0"/>
    <x v="19"/>
    <s v="Monte Carlo"/>
    <s v="Real estate, shipping"/>
    <x v="6"/>
    <s v="Israel"/>
    <m/>
    <x v="0"/>
    <s v="U"/>
    <x v="0"/>
    <m/>
    <m/>
    <m/>
    <s v="$7,184,844,193 "/>
    <x v="10"/>
    <m/>
    <m/>
    <m/>
    <m/>
    <x v="19"/>
    <n v="43.738417599999998"/>
    <n v="7.4246157999999998"/>
  </r>
  <r>
    <n v="86"/>
    <x v="75"/>
    <x v="7"/>
    <s v="Qin Yinglin"/>
    <n v="57"/>
    <x v="1"/>
    <x v="5"/>
    <s v="Nanyang"/>
    <s v="Pig breeding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88"/>
    <x v="76"/>
    <x v="1"/>
    <s v="Wang Chuanfu"/>
    <n v="57"/>
    <x v="1"/>
    <x v="5"/>
    <s v="Shenzhen"/>
    <s v="Batteries, automobile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89"/>
    <x v="77"/>
    <x v="13"/>
    <s v="Harold Hamm &amp; family"/>
    <n v="77"/>
    <x v="0"/>
    <x v="1"/>
    <s v="Oklahoma City"/>
    <s v="Oil &amp; gas"/>
    <x v="13"/>
    <s v="United States"/>
    <s v="Continental Resources Inc. "/>
    <x v="1"/>
    <s v="U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89"/>
    <x v="77"/>
    <x v="3"/>
    <s v="David Tepper"/>
    <n v="65"/>
    <x v="3"/>
    <x v="1"/>
    <s v="Palm Beach"/>
    <s v="Hedge funds"/>
    <x v="3"/>
    <s v="United States"/>
    <s v="Appaloosa Management"/>
    <x v="1"/>
    <s v="U"/>
    <x v="0"/>
    <s v="President and Founder"/>
    <n v="117.24"/>
    <n v="7.5"/>
    <s v="$21,427,700,000,000 "/>
    <x v="1"/>
    <n v="101.8"/>
    <n v="78.5"/>
    <n v="9.6"/>
    <n v="36.6"/>
    <x v="1"/>
    <n v="37.090240000000001"/>
    <n v="-95.712890999999999"/>
  </r>
  <r>
    <n v="89"/>
    <x v="77"/>
    <x v="13"/>
    <s v="Gennady Timchenko"/>
    <n v="70"/>
    <x v="0"/>
    <x v="17"/>
    <s v="Moscow"/>
    <s v="Oil, gas"/>
    <x v="1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92"/>
    <x v="78"/>
    <x v="3"/>
    <s v="Daniel Gilbert"/>
    <n v="61"/>
    <x v="3"/>
    <x v="1"/>
    <s v="Franklin"/>
    <s v="Quicken Loans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3"/>
    <x v="79"/>
    <x v="12"/>
    <s v="Lakshmi Mittal"/>
    <n v="72"/>
    <x v="0"/>
    <x v="13"/>
    <s v="London"/>
    <s v="Steel"/>
    <x v="12"/>
    <s v="India"/>
    <s v="ArcelorMittal (ADR)"/>
    <x v="0"/>
    <s v="D"/>
    <x v="0"/>
    <s v="Chairman and CEO"/>
    <n v="119.62"/>
    <n v="1.7"/>
    <s v="$2,827,113,184,696 "/>
    <x v="13"/>
    <n v="101.2"/>
    <n v="81.3"/>
    <n v="25.5"/>
    <n v="30.6"/>
    <x v="13"/>
    <n v="55.378050999999999"/>
    <n v="-3.4359730000000002"/>
  </r>
  <r>
    <n v="94"/>
    <x v="80"/>
    <x v="3"/>
    <s v="Steve Cohen"/>
    <n v="66"/>
    <x v="3"/>
    <x v="1"/>
    <s v="Greenwich"/>
    <s v="Hedge funds"/>
    <x v="3"/>
    <s v="United States"/>
    <s v="Point72 Asset Management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94"/>
    <x v="80"/>
    <x v="3"/>
    <s v="Carl Icahn"/>
    <n v="87"/>
    <x v="4"/>
    <x v="1"/>
    <s v="Indian Creek"/>
    <s v="Investments"/>
    <x v="3"/>
    <s v="United States"/>
    <s v="Icahn Capital Management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94"/>
    <x v="80"/>
    <x v="12"/>
    <s v="Savitri Jindal &amp; family"/>
    <n v="73"/>
    <x v="0"/>
    <x v="3"/>
    <s v="Hisar"/>
    <s v="Steel"/>
    <x v="12"/>
    <s v="India"/>
    <m/>
    <x v="0"/>
    <s v="D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97"/>
    <x v="81"/>
    <x v="11"/>
    <s v="Donald Bren"/>
    <n v="90"/>
    <x v="2"/>
    <x v="1"/>
    <s v="Newport Beach"/>
    <s v="Real estate"/>
    <x v="11"/>
    <s v="United States"/>
    <s v="Irvine Company"/>
    <x v="1"/>
    <s v="U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97"/>
    <x v="81"/>
    <x v="0"/>
    <s v="John Menard, Jr."/>
    <n v="83"/>
    <x v="4"/>
    <x v="1"/>
    <s v="Eau Claire"/>
    <s v="Home improvement stores"/>
    <x v="0"/>
    <s v="United States"/>
    <s v="Menard, Inc.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99"/>
    <x v="82"/>
    <x v="4"/>
    <s v="Rupert Murdoch &amp; family"/>
    <n v="92"/>
    <x v="2"/>
    <x v="1"/>
    <s v="New York"/>
    <s v="Newspapers, TV network"/>
    <x v="4"/>
    <s v="United States"/>
    <s v="News Corp Class A"/>
    <x v="0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100"/>
    <x v="83"/>
    <x v="3"/>
    <s v="Vicky Safra &amp; family"/>
    <n v="70"/>
    <x v="0"/>
    <x v="8"/>
    <s v="Crans-Montana"/>
    <s v="Banking"/>
    <x v="3"/>
    <s v="Brazil"/>
    <m/>
    <x v="0"/>
    <s v="U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101"/>
    <x v="84"/>
    <x v="0"/>
    <s v="Theo Albrecht, Jr. &amp; family"/>
    <n v="72"/>
    <x v="0"/>
    <x v="7"/>
    <s v="Mulheim an der Ruhr"/>
    <s v="Aldi, Trader Joe's"/>
    <x v="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01"/>
    <x v="84"/>
    <x v="3"/>
    <s v="Renata Kellnerova &amp; family"/>
    <n v="55"/>
    <x v="1"/>
    <x v="20"/>
    <s v="Prague"/>
    <s v="Finance, telecommunications"/>
    <x v="3"/>
    <s v="Czech Republic"/>
    <m/>
    <x v="0"/>
    <s v="D"/>
    <x v="1"/>
    <m/>
    <n v="116.48"/>
    <n v="2.8"/>
    <s v="$246,489,245,495 "/>
    <x v="19"/>
    <n v="100.7"/>
    <n v="79"/>
    <n v="14.9"/>
    <n v="46.1"/>
    <x v="20"/>
    <n v="49.817492000000001"/>
    <n v="15.472962000000001"/>
  </r>
  <r>
    <n v="103"/>
    <x v="85"/>
    <x v="14"/>
    <s v="Li Xiting"/>
    <n v="72"/>
    <x v="0"/>
    <x v="5"/>
    <s v="Shenzhen"/>
    <s v="medical devices"/>
    <x v="14"/>
    <s v="Singapore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4"/>
    <x v="86"/>
    <x v="0"/>
    <s v="Stefan Persson"/>
    <n v="75"/>
    <x v="0"/>
    <x v="21"/>
    <s v="Stockholm"/>
    <s v="H&amp;M"/>
    <x v="0"/>
    <s v="Sweden"/>
    <s v="Hennes &amp; Mauritz Unsponsored ADR"/>
    <x v="0"/>
    <s v="D"/>
    <x v="0"/>
    <s v="Chairman"/>
    <n v="110.51"/>
    <n v="1.8"/>
    <s v="$530,832,908,738 "/>
    <x v="20"/>
    <n v="126.6"/>
    <n v="82.5"/>
    <n v="27.9"/>
    <n v="49.1"/>
    <x v="21"/>
    <n v="60.128160999999999"/>
    <n v="18.643501000000001"/>
  </r>
  <r>
    <n v="104"/>
    <x v="86"/>
    <x v="2"/>
    <s v="Eric Schmidt"/>
    <n v="67"/>
    <x v="3"/>
    <x v="1"/>
    <s v="Atherton"/>
    <s v="Google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06"/>
    <x v="87"/>
    <x v="3"/>
    <s v="Michael Platt"/>
    <n v="55"/>
    <x v="1"/>
    <x v="8"/>
    <s v="Geneva"/>
    <s v="Hedge funds"/>
    <x v="3"/>
    <s v="United Kingdom"/>
    <s v="BlueCrest Capital Management"/>
    <x v="1"/>
    <s v="U"/>
    <x v="0"/>
    <s v="Founder "/>
    <n v="99.55"/>
    <n v="0.4"/>
    <s v="$703,082,435,360 "/>
    <x v="8"/>
    <n v="105.2"/>
    <n v="83.6"/>
    <n v="10.1"/>
    <n v="28.8"/>
    <x v="8"/>
    <n v="46.818187999999999"/>
    <n v="8.2275120000000008"/>
  </r>
  <r>
    <n v="107"/>
    <x v="88"/>
    <x v="7"/>
    <s v="Pang Kang"/>
    <n v="67"/>
    <x v="3"/>
    <x v="5"/>
    <s v="Foshan"/>
    <s v="Soy sauce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8"/>
    <x v="89"/>
    <x v="0"/>
    <s v="Karl Albrecht Jr. &amp; family"/>
    <m/>
    <x v="7"/>
    <x v="7"/>
    <m/>
    <s v="Supermarkets"/>
    <x v="0"/>
    <s v="Germany"/>
    <m/>
    <x v="0"/>
    <s v="Split Family Fortune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08"/>
    <x v="89"/>
    <x v="0"/>
    <s v="Beate Heister"/>
    <m/>
    <x v="7"/>
    <x v="22"/>
    <m/>
    <s v="Supermarkets"/>
    <x v="0"/>
    <s v="Germany"/>
    <m/>
    <x v="0"/>
    <s v="Split Family Fortune"/>
    <x v="1"/>
    <m/>
    <m/>
    <m/>
    <m/>
    <x v="10"/>
    <m/>
    <m/>
    <m/>
    <m/>
    <x v="10"/>
    <m/>
    <m/>
  </r>
  <r>
    <n v="108"/>
    <x v="89"/>
    <x v="7"/>
    <s v="Jorge Paulo Lemann &amp; family"/>
    <n v="83"/>
    <x v="7"/>
    <x v="8"/>
    <s v="Zurich"/>
    <s v="Beer"/>
    <x v="7"/>
    <s v="Brazil"/>
    <m/>
    <x v="1"/>
    <s v="U"/>
    <x v="0"/>
    <s v="Investor, Philanthropist"/>
    <n v="99.55"/>
    <n v="0.4"/>
    <s v="$703,082,435,360 "/>
    <x v="8"/>
    <n v="105.2"/>
    <n v="83.6"/>
    <n v="10.1"/>
    <n v="28.8"/>
    <x v="8"/>
    <n v="46.818187999999999"/>
    <n v="8.2275120000000008"/>
  </r>
  <r>
    <n v="108"/>
    <x v="89"/>
    <x v="11"/>
    <s v="Peter Woo"/>
    <n v="76"/>
    <x v="7"/>
    <x v="10"/>
    <s v="Hong Kong"/>
    <s v="Real estate"/>
    <x v="11"/>
    <s v="Hong Kong"/>
    <m/>
    <x v="0"/>
    <s v="D"/>
    <x v="0"/>
    <m/>
    <m/>
    <m/>
    <m/>
    <x v="10"/>
    <m/>
    <m/>
    <m/>
    <m/>
    <x v="10"/>
    <m/>
    <m/>
  </r>
  <r>
    <n v="112"/>
    <x v="90"/>
    <x v="14"/>
    <s v="Dilip Shanghvi"/>
    <n v="67"/>
    <x v="7"/>
    <x v="3"/>
    <s v="Mumbai"/>
    <s v="Pharmaceuticals"/>
    <x v="14"/>
    <s v="India"/>
    <m/>
    <x v="1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13"/>
    <x v="91"/>
    <x v="2"/>
    <s v="Robert Pera"/>
    <n v="45"/>
    <x v="5"/>
    <x v="1"/>
    <s v="San Jose"/>
    <s v="Wireless networking"/>
    <x v="2"/>
    <s v="United States"/>
    <s v="Ubiquiti"/>
    <x v="1"/>
    <s v="U"/>
    <x v="0"/>
    <s v="Chief Executive Officer"/>
    <n v="117.24"/>
    <n v="7.5"/>
    <s v="$21,427,700,000,000 "/>
    <x v="1"/>
    <n v="101.8"/>
    <n v="78.5"/>
    <n v="9.6"/>
    <n v="36.6"/>
    <x v="1"/>
    <n v="37.090240000000001"/>
    <n v="-95.712890999999999"/>
  </r>
  <r>
    <n v="114"/>
    <x v="92"/>
    <x v="0"/>
    <s v="Radhakishan Damani"/>
    <n v="68"/>
    <x v="7"/>
    <x v="3"/>
    <s v="Mumbai"/>
    <s v="Retail, investments"/>
    <x v="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15"/>
    <x v="93"/>
    <x v="1"/>
    <s v="Huang Shilin"/>
    <n v="56"/>
    <x v="7"/>
    <x v="5"/>
    <s v="Ningde"/>
    <s v="Batterie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"/>
    <x v="94"/>
    <x v="6"/>
    <s v="Dhanin Chearavanont"/>
    <n v="83"/>
    <x v="7"/>
    <x v="23"/>
    <s v="Bangkok"/>
    <s v="Diversified"/>
    <x v="6"/>
    <s v="Thailand"/>
    <m/>
    <x v="0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16"/>
    <x v="94"/>
    <x v="0"/>
    <s v="David Green &amp; family"/>
    <n v="81"/>
    <x v="4"/>
    <x v="1"/>
    <s v="Oklahoma City"/>
    <s v="Retail"/>
    <x v="0"/>
    <s v="United States"/>
    <s v="Hobby Lobby"/>
    <x v="1"/>
    <s v="U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18"/>
    <x v="95"/>
    <x v="7"/>
    <s v="Charoen Sirivadhanabhakdi"/>
    <n v="78"/>
    <x v="7"/>
    <x v="23"/>
    <s v="Bangkok"/>
    <s v="Alcohol, real estate"/>
    <x v="7"/>
    <s v="Thailand"/>
    <m/>
    <x v="1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19"/>
    <x v="96"/>
    <x v="7"/>
    <s v="Charlene de Carvalho-Heineken &amp; family"/>
    <n v="68"/>
    <x v="7"/>
    <x v="13"/>
    <s v="London"/>
    <s v="Heineken"/>
    <x v="7"/>
    <s v="Netherlands"/>
    <m/>
    <x v="0"/>
    <s v="D"/>
    <x v="1"/>
    <m/>
    <n v="119.62"/>
    <n v="1.7"/>
    <s v="$2,827,113,184,696 "/>
    <x v="13"/>
    <n v="101.2"/>
    <n v="81.3"/>
    <n v="25.5"/>
    <n v="30.6"/>
    <x v="13"/>
    <n v="55.378050999999999"/>
    <n v="-3.4359730000000002"/>
  </r>
  <r>
    <n v="120"/>
    <x v="97"/>
    <x v="14"/>
    <s v="Xu Hang"/>
    <n v="60"/>
    <x v="7"/>
    <x v="5"/>
    <s v="Shenzhen"/>
    <s v="Medical devices"/>
    <x v="14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1"/>
    <x v="98"/>
    <x v="1"/>
    <s v="Wei Jianjun &amp; family"/>
    <n v="59"/>
    <x v="7"/>
    <x v="5"/>
    <s v="Baoding"/>
    <s v="Automobile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2"/>
    <x v="99"/>
    <x v="12"/>
    <s v="Alisher Usmanov"/>
    <n v="69"/>
    <x v="7"/>
    <x v="24"/>
    <s v="Tashkent"/>
    <s v="Steel, telecom, investments"/>
    <x v="12"/>
    <s v="Russia"/>
    <s v="Metalloinvest"/>
    <x v="1"/>
    <s v="U"/>
    <x v="0"/>
    <s v="Founder"/>
    <m/>
    <m/>
    <s v="$57,921,286,440 "/>
    <x v="22"/>
    <n v="104.2"/>
    <n v="71.599999999999994"/>
    <n v="14.8"/>
    <n v="31.6"/>
    <x v="23"/>
    <n v="41.377490999999999"/>
    <n v="64.585262"/>
  </r>
  <r>
    <n v="123"/>
    <x v="100"/>
    <x v="10"/>
    <s v="Goh Cheng Liang"/>
    <n v="95"/>
    <x v="7"/>
    <x v="25"/>
    <s v="Singapore"/>
    <s v="Paints"/>
    <x v="10"/>
    <s v="Singapore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124"/>
    <x v="101"/>
    <x v="6"/>
    <s v="Kumar Birla"/>
    <n v="55"/>
    <x v="7"/>
    <x v="3"/>
    <s v="Mumbai"/>
    <s v="Commodities"/>
    <x v="6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24"/>
    <x v="101"/>
    <x v="10"/>
    <s v="Aliko Dangote"/>
    <n v="65"/>
    <x v="3"/>
    <x v="26"/>
    <s v="Lagos"/>
    <s v="Cement, sugar"/>
    <x v="10"/>
    <s v="Nigeria"/>
    <s v="Dangote Group"/>
    <x v="1"/>
    <s v="U"/>
    <x v="0"/>
    <s v="CEO"/>
    <n v="267.51"/>
    <n v="11.4"/>
    <s v="$448,120,428,859 "/>
    <x v="24"/>
    <n v="84.7"/>
    <n v="54.3"/>
    <n v="1.5"/>
    <n v="34.799999999999997"/>
    <x v="25"/>
    <n v="9.0819989999999997"/>
    <n v="8.6752769999999995"/>
  </r>
  <r>
    <n v="126"/>
    <x v="102"/>
    <x v="11"/>
    <s v="Kwong Siu-hing"/>
    <n v="93"/>
    <x v="7"/>
    <x v="10"/>
    <s v="Hong Kong"/>
    <s v="Real estate"/>
    <x v="11"/>
    <s v="Hong Kong"/>
    <m/>
    <x v="0"/>
    <s v="U"/>
    <x v="1"/>
    <m/>
    <m/>
    <m/>
    <m/>
    <x v="10"/>
    <m/>
    <m/>
    <m/>
    <m/>
    <x v="10"/>
    <m/>
    <m/>
  </r>
  <r>
    <n v="127"/>
    <x v="103"/>
    <x v="6"/>
    <s v="Idan Ofer"/>
    <n v="67"/>
    <x v="7"/>
    <x v="13"/>
    <s v="London"/>
    <s v="Shipping"/>
    <x v="6"/>
    <s v="Israel"/>
    <m/>
    <x v="0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28"/>
    <x v="104"/>
    <x v="14"/>
    <s v="Chen Bang"/>
    <n v="57"/>
    <x v="7"/>
    <x v="5"/>
    <s v="Changsha"/>
    <s v="Hospital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8"/>
    <x v="104"/>
    <x v="9"/>
    <s v="Lui Che Woo"/>
    <n v="94"/>
    <x v="7"/>
    <x v="10"/>
    <s v="Hong Kong"/>
    <s v="Casinos/hotels"/>
    <x v="9"/>
    <s v="Hong Kong"/>
    <m/>
    <x v="1"/>
    <s v="U"/>
    <x v="0"/>
    <m/>
    <m/>
    <m/>
    <m/>
    <x v="10"/>
    <m/>
    <m/>
    <m/>
    <m/>
    <x v="10"/>
    <m/>
    <m/>
  </r>
  <r>
    <n v="130"/>
    <x v="105"/>
    <x v="8"/>
    <s v="John Fredriksen"/>
    <n v="78"/>
    <x v="7"/>
    <x v="13"/>
    <s v="London"/>
    <s v="Shipping"/>
    <x v="8"/>
    <s v="Cyprus"/>
    <m/>
    <x v="1"/>
    <s v="U"/>
    <x v="0"/>
    <s v="Investor"/>
    <n v="119.62"/>
    <n v="1.7"/>
    <s v="$2,827,113,184,696 "/>
    <x v="13"/>
    <n v="101.2"/>
    <n v="81.3"/>
    <n v="25.5"/>
    <n v="30.6"/>
    <x v="13"/>
    <n v="55.378050999999999"/>
    <n v="-3.4359730000000002"/>
  </r>
  <r>
    <n v="130"/>
    <x v="105"/>
    <x v="16"/>
    <s v="Diane Hendricks"/>
    <n v="76"/>
    <x v="0"/>
    <x v="1"/>
    <s v="Afton"/>
    <s v="Building supplies"/>
    <x v="16"/>
    <s v="United States"/>
    <s v="ABC Supply"/>
    <x v="1"/>
    <s v="U"/>
    <x v="1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30"/>
    <x v="105"/>
    <x v="2"/>
    <s v="Jan Koum"/>
    <n v="47"/>
    <x v="5"/>
    <x v="1"/>
    <s v="Atherton"/>
    <s v="WhatsApp"/>
    <x v="2"/>
    <s v="United States"/>
    <s v="WhatsApp Inc."/>
    <x v="1"/>
    <s v="U"/>
    <x v="0"/>
    <s v="CEO, cofounder"/>
    <n v="117.24"/>
    <n v="7.5"/>
    <s v="$21,427,700,000,000 "/>
    <x v="1"/>
    <n v="101.8"/>
    <n v="78.5"/>
    <n v="9.6"/>
    <n v="36.6"/>
    <x v="1"/>
    <n v="37.090240000000001"/>
    <n v="-95.712890999999999"/>
  </r>
  <r>
    <n v="133"/>
    <x v="106"/>
    <x v="17"/>
    <s v="Jerry Jones"/>
    <n v="80"/>
    <x v="4"/>
    <x v="1"/>
    <s v="Dallas"/>
    <s v="Dallas Cowboys"/>
    <x v="17"/>
    <s v="United States"/>
    <s v="Dallas Cowboys"/>
    <x v="1"/>
    <s v="U"/>
    <x v="0"/>
    <s v="President and General Manager"/>
    <n v="117.24"/>
    <n v="7.5"/>
    <s v="$21,427,700,000,000 "/>
    <x v="1"/>
    <n v="101.8"/>
    <n v="78.5"/>
    <n v="9.6"/>
    <n v="36.6"/>
    <x v="1"/>
    <n v="37.090240000000001"/>
    <n v="-95.712890999999999"/>
  </r>
  <r>
    <n v="133"/>
    <x v="106"/>
    <x v="13"/>
    <s v="George Kaiser"/>
    <n v="80"/>
    <x v="4"/>
    <x v="1"/>
    <s v="Tulsa"/>
    <s v="Oil &amp; gas, banking"/>
    <x v="13"/>
    <s v="United States"/>
    <s v="BOK Financial Corp."/>
    <x v="0"/>
    <s v="U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133"/>
    <x v="106"/>
    <x v="11"/>
    <s v="Joseph Lau"/>
    <n v="71"/>
    <x v="7"/>
    <x v="10"/>
    <s v="Hong Kong"/>
    <s v="Real estate"/>
    <x v="11"/>
    <s v="Hong Kong"/>
    <m/>
    <x v="1"/>
    <s v="D"/>
    <x v="0"/>
    <m/>
    <m/>
    <m/>
    <m/>
    <x v="10"/>
    <m/>
    <m/>
    <m/>
    <m/>
    <x v="10"/>
    <m/>
    <m/>
  </r>
  <r>
    <n v="136"/>
    <x v="107"/>
    <x v="1"/>
    <s v="Lu Xiangyang"/>
    <n v="60"/>
    <x v="7"/>
    <x v="5"/>
    <s v="Guangzhou"/>
    <s v="Automobiles, batterie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7"/>
    <x v="108"/>
    <x v="11"/>
    <s v="Harry Triguboff"/>
    <n v="90"/>
    <x v="7"/>
    <x v="14"/>
    <s v="Sydney"/>
    <s v="Real estate"/>
    <x v="11"/>
    <s v="Australia"/>
    <m/>
    <x v="1"/>
    <s v="U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38"/>
    <x v="109"/>
    <x v="3"/>
    <s v="Uday Kotak"/>
    <n v="64"/>
    <x v="7"/>
    <x v="3"/>
    <s v="Mumbai"/>
    <s v="Banking"/>
    <x v="3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38"/>
    <x v="109"/>
    <x v="17"/>
    <s v="Stanley Kroenke"/>
    <n v="75"/>
    <x v="7"/>
    <x v="1"/>
    <s v="Electra"/>
    <s v="Sports, real estate"/>
    <x v="1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0"/>
    <x v="110"/>
    <x v="13"/>
    <s v="Mikhail Fridman"/>
    <n v="58"/>
    <x v="7"/>
    <x v="13"/>
    <s v="London"/>
    <s v="Oil, banking, telecom"/>
    <x v="13"/>
    <s v="Russia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41"/>
    <x v="111"/>
    <x v="13"/>
    <s v="Sarath Ratanavadi"/>
    <n v="57"/>
    <x v="7"/>
    <x v="23"/>
    <s v="Bangkok"/>
    <s v="Energy"/>
    <x v="13"/>
    <s v="Thailand"/>
    <m/>
    <x v="1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42"/>
    <x v="112"/>
    <x v="12"/>
    <s v="Dang Yanbao"/>
    <n v="50"/>
    <x v="7"/>
    <x v="5"/>
    <s v="Yinchuan"/>
    <s v="Coal"/>
    <x v="1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2"/>
    <x v="112"/>
    <x v="14"/>
    <s v="Jiang Rensheng &amp; family"/>
    <n v="69"/>
    <x v="7"/>
    <x v="5"/>
    <s v="Chongqing"/>
    <s v="Vaccine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4"/>
    <x v="113"/>
    <x v="1"/>
    <s v="Shahid Khan"/>
    <n v="72"/>
    <x v="7"/>
    <x v="1"/>
    <s v="Naples"/>
    <s v="Auto parts"/>
    <x v="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5"/>
    <x v="114"/>
    <x v="2"/>
    <s v="Laurene Powell Jobs &amp; family"/>
    <n v="59"/>
    <x v="1"/>
    <x v="1"/>
    <s v="Palo Alto"/>
    <s v="Apple, Disney"/>
    <x v="2"/>
    <s v="United States"/>
    <s v="Emerson Collective"/>
    <x v="0"/>
    <s v="D"/>
    <x v="1"/>
    <s v="Investor, Philanthropist"/>
    <n v="117.24"/>
    <n v="7.5"/>
    <s v="$21,427,700,000,000 "/>
    <x v="1"/>
    <n v="101.8"/>
    <n v="78.5"/>
    <n v="9.6"/>
    <n v="36.6"/>
    <x v="1"/>
    <n v="37.090240000000001"/>
    <n v="-95.712890999999999"/>
  </r>
  <r>
    <n v="146"/>
    <x v="115"/>
    <x v="6"/>
    <s v="Robert Kuok"/>
    <n v="99"/>
    <x v="7"/>
    <x v="10"/>
    <s v="Hong Kong"/>
    <s v="Palm oil, shipping, property"/>
    <x v="6"/>
    <s v="Malaysia"/>
    <m/>
    <x v="1"/>
    <s v="U"/>
    <x v="0"/>
    <m/>
    <m/>
    <m/>
    <m/>
    <x v="10"/>
    <m/>
    <m/>
    <m/>
    <m/>
    <x v="10"/>
    <m/>
    <m/>
  </r>
  <r>
    <n v="147"/>
    <x v="116"/>
    <x v="11"/>
    <s v="Stephen Ross"/>
    <n v="82"/>
    <x v="7"/>
    <x v="1"/>
    <s v="New York"/>
    <s v="Real estate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8"/>
    <x v="117"/>
    <x v="2"/>
    <s v="Pavel Durov"/>
    <n v="38"/>
    <x v="7"/>
    <x v="16"/>
    <s v="Dubai"/>
    <s v="Messaging app"/>
    <x v="2"/>
    <s v="United Arab Emirates"/>
    <m/>
    <x v="1"/>
    <s v="D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148"/>
    <x v="117"/>
    <x v="14"/>
    <s v="Andreas Struengmann &amp; family"/>
    <n v="73"/>
    <x v="7"/>
    <x v="7"/>
    <s v="Tegernsee"/>
    <s v="Pharmaceuticals"/>
    <x v="14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48"/>
    <x v="117"/>
    <x v="14"/>
    <s v="Thomas Struengmann &amp; family"/>
    <n v="73"/>
    <x v="7"/>
    <x v="7"/>
    <s v="Tegernsee"/>
    <s v="Pharmaceuticals"/>
    <x v="14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51"/>
    <x v="118"/>
    <x v="7"/>
    <s v="Liu Hanyuan"/>
    <n v="59"/>
    <x v="7"/>
    <x v="5"/>
    <s v="Chengdu"/>
    <s v="Agribusiness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"/>
    <x v="118"/>
    <x v="0"/>
    <s v="Michael Rubin"/>
    <n v="50"/>
    <x v="1"/>
    <x v="1"/>
    <s v="Bryn Mawr"/>
    <s v="Online retail"/>
    <x v="0"/>
    <s v="United States"/>
    <s v="Kynetic"/>
    <x v="1"/>
    <s v="U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53"/>
    <x v="119"/>
    <x v="3"/>
    <s v="Israel Englander"/>
    <n v="74"/>
    <x v="0"/>
    <x v="1"/>
    <s v="New York"/>
    <s v="Hedge funds"/>
    <x v="3"/>
    <s v="United States"/>
    <s v="Millennium Management, L.L.C."/>
    <x v="1"/>
    <s v="D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153"/>
    <x v="119"/>
    <x v="10"/>
    <s v="Viatcheslav Kantor"/>
    <n v="69"/>
    <x v="7"/>
    <x v="27"/>
    <s v="Herzliya"/>
    <s v="Fertilizer, real estate"/>
    <x v="10"/>
    <s v="Russia"/>
    <m/>
    <x v="1"/>
    <s v="U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153"/>
    <x v="119"/>
    <x v="10"/>
    <s v="Anthony Pratt"/>
    <n v="62"/>
    <x v="7"/>
    <x v="14"/>
    <s v="Melbourne"/>
    <s v="Manufacturing"/>
    <x v="10"/>
    <s v="Australia"/>
    <m/>
    <x v="0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53"/>
    <x v="119"/>
    <x v="3"/>
    <s v="Mikhail Prokhorov"/>
    <n v="57"/>
    <x v="7"/>
    <x v="8"/>
    <s v="Frauenfeld"/>
    <s v="Investments"/>
    <x v="3"/>
    <s v="Russia"/>
    <m/>
    <x v="1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57"/>
    <x v="120"/>
    <x v="0"/>
    <s v="Giorgio Armani"/>
    <n v="88"/>
    <x v="7"/>
    <x v="28"/>
    <s v="Milan"/>
    <s v="Luxury goods"/>
    <x v="0"/>
    <s v="Italy"/>
    <m/>
    <x v="1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57"/>
    <x v="120"/>
    <x v="0"/>
    <s v="Johann Rupert &amp; family"/>
    <n v="72"/>
    <x v="7"/>
    <x v="29"/>
    <s v="Cape Town"/>
    <s v="Luxury goods"/>
    <x v="0"/>
    <s v="South Africa"/>
    <m/>
    <x v="0"/>
    <s v="U"/>
    <x v="0"/>
    <m/>
    <n v="158.93"/>
    <n v="4.0999999999999996"/>
    <s v="$351,431,649,241 "/>
    <x v="27"/>
    <n v="100.9"/>
    <n v="63.9"/>
    <n v="27.5"/>
    <n v="29.2"/>
    <x v="28"/>
    <n v="-30.559481999999999"/>
    <n v="22.937505999999999"/>
  </r>
  <r>
    <n v="159"/>
    <x v="121"/>
    <x v="3"/>
    <s v="Gong Hongjia &amp; family"/>
    <n v="58"/>
    <x v="7"/>
    <x v="10"/>
    <s v="Hong Kong"/>
    <s v="Video surveillance"/>
    <x v="3"/>
    <s v="Hong Kong"/>
    <m/>
    <x v="1"/>
    <s v="D"/>
    <x v="0"/>
    <m/>
    <m/>
    <m/>
    <m/>
    <x v="10"/>
    <m/>
    <m/>
    <m/>
    <m/>
    <x v="10"/>
    <m/>
    <m/>
  </r>
  <r>
    <n v="159"/>
    <x v="121"/>
    <x v="2"/>
    <s v="Zhang Zhidong"/>
    <n v="51"/>
    <x v="7"/>
    <x v="5"/>
    <s v="Shenzhen"/>
    <s v="Internet media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1"/>
    <x v="122"/>
    <x v="3"/>
    <s v="Philip Anschutz"/>
    <n v="83"/>
    <x v="7"/>
    <x v="1"/>
    <s v="Denver"/>
    <s v="Energy, sports, entertainment"/>
    <x v="3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1"/>
    <x v="122"/>
    <x v="0"/>
    <s v="Judy Love &amp; family"/>
    <n v="85"/>
    <x v="4"/>
    <x v="1"/>
    <s v="Oklahoma City"/>
    <s v="Gas stations"/>
    <x v="0"/>
    <s v="United States"/>
    <s v="Love's Travel Stops and Country Stores"/>
    <x v="1"/>
    <s v="U"/>
    <x v="1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161"/>
    <x v="122"/>
    <x v="0"/>
    <s v="Ricardo Salinas Pliego &amp; family"/>
    <n v="67"/>
    <x v="7"/>
    <x v="2"/>
    <s v="Mexico City"/>
    <s v="Retail, media"/>
    <x v="0"/>
    <s v="Mexico"/>
    <m/>
    <x v="0"/>
    <s v="D"/>
    <x v="0"/>
    <m/>
    <n v="141.54"/>
    <n v="3.6"/>
    <s v="$1,258,286,717,125 "/>
    <x v="2"/>
    <n v="105.8"/>
    <n v="75"/>
    <n v="13.1"/>
    <n v="55.1"/>
    <x v="2"/>
    <n v="23.634501"/>
    <n v="-102.552784"/>
  </r>
  <r>
    <n v="164"/>
    <x v="123"/>
    <x v="4"/>
    <s v="Donald Newhouse"/>
    <n v="93"/>
    <x v="7"/>
    <x v="1"/>
    <s v="New York"/>
    <s v="Media"/>
    <x v="4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5"/>
    <x v="124"/>
    <x v="17"/>
    <s v="Robert Kraft"/>
    <n v="81"/>
    <x v="4"/>
    <x v="1"/>
    <s v="Brookline"/>
    <s v="Manufacturing, New England Patriots"/>
    <x v="17"/>
    <s v="United States"/>
    <s v="The Kraft Group"/>
    <x v="1"/>
    <s v="U"/>
    <x v="0"/>
    <s v="Chairman &amp; CEO"/>
    <n v="117.24"/>
    <n v="7.5"/>
    <s v="$21,427,700,000,000 "/>
    <x v="1"/>
    <n v="101.8"/>
    <n v="78.5"/>
    <n v="9.6"/>
    <n v="36.6"/>
    <x v="1"/>
    <n v="37.090240000000001"/>
    <n v="-95.712890999999999"/>
  </r>
  <r>
    <n v="165"/>
    <x v="124"/>
    <x v="7"/>
    <s v="Marcel Herrmann Telles"/>
    <n v="73"/>
    <x v="7"/>
    <x v="30"/>
    <s v="Sao Paulo"/>
    <s v="Beer"/>
    <x v="7"/>
    <s v="Brazil"/>
    <m/>
    <x v="1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67"/>
    <x v="125"/>
    <x v="3"/>
    <s v="Suleiman Kerimov &amp; family"/>
    <n v="57"/>
    <x v="7"/>
    <x v="17"/>
    <s v="Moscow"/>
    <s v="Gold"/>
    <x v="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67"/>
    <x v="125"/>
    <x v="0"/>
    <s v="Sky Xu"/>
    <n v="39"/>
    <x v="7"/>
    <x v="5"/>
    <s v="Guangzhou"/>
    <s v="E-commerce"/>
    <x v="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7"/>
    <x v="125"/>
    <x v="3"/>
    <s v="Changpeng Zhao"/>
    <n v="45"/>
    <x v="7"/>
    <x v="16"/>
    <s v="Dubai"/>
    <s v="Cryptocurrency exchange"/>
    <x v="3"/>
    <s v="Canada"/>
    <m/>
    <x v="1"/>
    <s v="D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170"/>
    <x v="126"/>
    <x v="3"/>
    <s v="Andrew Beal"/>
    <n v="70"/>
    <x v="7"/>
    <x v="1"/>
    <s v="Dallas"/>
    <s v="Banks, real estate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1"/>
    <x v="127"/>
    <x v="2"/>
    <s v="Mike Cannon-Brookes"/>
    <n v="43"/>
    <x v="7"/>
    <x v="14"/>
    <s v="Sydney"/>
    <s v="Software"/>
    <x v="2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71"/>
    <x v="127"/>
    <x v="14"/>
    <s v="Carl Cook"/>
    <n v="60"/>
    <x v="7"/>
    <x v="1"/>
    <s v="Bloomington"/>
    <s v="Medical devices"/>
    <x v="14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1"/>
    <x v="127"/>
    <x v="2"/>
    <s v="David Duffield"/>
    <n v="82"/>
    <x v="4"/>
    <x v="1"/>
    <s v="Incline Village"/>
    <s v="Business software"/>
    <x v="2"/>
    <s v="United States"/>
    <s v="Workday"/>
    <x v="1"/>
    <s v="D"/>
    <x v="0"/>
    <s v="Chairman and Cofounder"/>
    <n v="117.24"/>
    <n v="7.5"/>
    <s v="$21,427,700,000,000 "/>
    <x v="1"/>
    <n v="101.8"/>
    <n v="78.5"/>
    <n v="9.6"/>
    <n v="36.6"/>
    <x v="1"/>
    <n v="37.090240000000001"/>
    <n v="-95.712890999999999"/>
  </r>
  <r>
    <n v="171"/>
    <x v="127"/>
    <x v="13"/>
    <s v="Jeffery Hildebrand"/>
    <n v="64"/>
    <x v="7"/>
    <x v="1"/>
    <s v="Houston"/>
    <s v="Oil"/>
    <x v="1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1"/>
    <x v="127"/>
    <x v="10"/>
    <s v="Viktor Rashnikov"/>
    <n v="74"/>
    <x v="7"/>
    <x v="17"/>
    <s v="Magnitogorsk"/>
    <s v="Steel"/>
    <x v="10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71"/>
    <x v="127"/>
    <x v="2"/>
    <s v="Eduardo Saverin"/>
    <n v="41"/>
    <x v="5"/>
    <x v="25"/>
    <s v="Singapore"/>
    <s v="Facebook"/>
    <x v="2"/>
    <s v="Brazil"/>
    <s v="Meta Platforms"/>
    <x v="1"/>
    <s v="D"/>
    <x v="0"/>
    <s v="Investor"/>
    <n v="114.41"/>
    <n v="0.6"/>
    <s v="$372,062,527,489 "/>
    <x v="23"/>
    <n v="100.6"/>
    <n v="83.1"/>
    <n v="13.1"/>
    <n v="21"/>
    <x v="24"/>
    <n v="1.3520829999999999"/>
    <n v="103.819836"/>
  </r>
  <r>
    <n v="171"/>
    <x v="127"/>
    <x v="1"/>
    <s v="Georg Schaeffler"/>
    <n v="58"/>
    <x v="7"/>
    <x v="7"/>
    <s v="Herzogenaurach"/>
    <s v="Auto parts"/>
    <x v="1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71"/>
    <x v="127"/>
    <x v="0"/>
    <s v="Christy Walton"/>
    <n v="74"/>
    <x v="7"/>
    <x v="1"/>
    <s v="Jackson"/>
    <s v="Walmart"/>
    <x v="0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79"/>
    <x v="128"/>
    <x v="2"/>
    <s v="Scott Farquhar"/>
    <n v="43"/>
    <x v="7"/>
    <x v="14"/>
    <s v="Sydney"/>
    <s v="Software"/>
    <x v="2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79"/>
    <x v="128"/>
    <x v="6"/>
    <s v="Quek Leng Chan"/>
    <n v="81"/>
    <x v="7"/>
    <x v="31"/>
    <s v="Kuala Lumpur"/>
    <s v="Banking, property"/>
    <x v="6"/>
    <s v="Malaysia"/>
    <m/>
    <x v="0"/>
    <s v="D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179"/>
    <x v="128"/>
    <x v="11"/>
    <s v="Wu Yajun"/>
    <n v="59"/>
    <x v="7"/>
    <x v="5"/>
    <s v="Beijing"/>
    <s v="Real estate"/>
    <x v="11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82"/>
    <x v="129"/>
    <x v="13"/>
    <s v="Autry Stephens"/>
    <n v="85"/>
    <x v="7"/>
    <x v="1"/>
    <s v="Midland"/>
    <s v="Oil"/>
    <x v="1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3"/>
    <x v="130"/>
    <x v="15"/>
    <s v="Liu Yongxing"/>
    <n v="74"/>
    <x v="0"/>
    <x v="5"/>
    <s v="Shanghai"/>
    <s v="Diversified"/>
    <x v="15"/>
    <s v="China"/>
    <s v="East Hope Group"/>
    <x v="1"/>
    <s v="D"/>
    <x v="0"/>
    <s v="Chairman"/>
    <n v="125.08"/>
    <n v="2.9"/>
    <s v="$19,910,000,000,000 "/>
    <x v="5"/>
    <n v="100.2"/>
    <n v="77"/>
    <n v="9.4"/>
    <n v="59.2"/>
    <x v="5"/>
    <n v="35.861660000000001"/>
    <n v="104.195397"/>
  </r>
  <r>
    <n v="184"/>
    <x v="131"/>
    <x v="6"/>
    <s v="Vinod Adani"/>
    <n v="74"/>
    <x v="7"/>
    <x v="16"/>
    <s v="Dubai"/>
    <s v="Infrastructure, commodities"/>
    <x v="6"/>
    <s v="Cyprus"/>
    <m/>
    <x v="1"/>
    <s v="Split Family Fortune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184"/>
    <x v="131"/>
    <x v="0"/>
    <s v="Nicolas Puech"/>
    <n v="80"/>
    <x v="7"/>
    <x v="8"/>
    <s v="Martigny"/>
    <s v="Hermes"/>
    <x v="0"/>
    <s v="France"/>
    <m/>
    <x v="0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84"/>
    <x v="131"/>
    <x v="8"/>
    <s v="Jacques SaadÃ©, Jr."/>
    <n v="51"/>
    <x v="7"/>
    <x v="0"/>
    <s v="Marseille"/>
    <s v="Shipping"/>
    <x v="8"/>
    <s v="France"/>
    <m/>
    <x v="0"/>
    <s v="Split Family Fortune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184"/>
    <x v="131"/>
    <x v="8"/>
    <s v="Rodolphe SaadÃ©"/>
    <n v="53"/>
    <x v="1"/>
    <x v="0"/>
    <s v="Marseille"/>
    <s v="Shipping"/>
    <x v="8"/>
    <s v="France"/>
    <s v="CMA CGM"/>
    <x v="0"/>
    <s v="Split Family Fortune"/>
    <x v="0"/>
    <s v="Chairman and CEO"/>
    <n v="110.05"/>
    <n v="1.1000000000000001"/>
    <s v="$2,715,518,274,227 "/>
    <x v="0"/>
    <n v="102.5"/>
    <n v="82.5"/>
    <n v="24.2"/>
    <n v="60.7"/>
    <x v="0"/>
    <n v="46.227637999999999"/>
    <n v="2.213749"/>
  </r>
  <r>
    <n v="184"/>
    <x v="131"/>
    <x v="8"/>
    <s v="Tanya SaadÃ© Zeenny"/>
    <n v="55"/>
    <x v="7"/>
    <x v="0"/>
    <s v="Marseille"/>
    <s v="Shipping"/>
    <x v="8"/>
    <s v="France"/>
    <m/>
    <x v="0"/>
    <s v="Split Family Fortune"/>
    <x v="1"/>
    <m/>
    <n v="110.05"/>
    <n v="1.1000000000000001"/>
    <s v="$2,715,518,274,227 "/>
    <x v="0"/>
    <n v="102.5"/>
    <n v="82.5"/>
    <n v="24.2"/>
    <n v="60.7"/>
    <x v="0"/>
    <n v="46.227637999999999"/>
    <n v="2.213749"/>
  </r>
  <r>
    <n v="184"/>
    <x v="131"/>
    <x v="3"/>
    <s v="Melker Schorling &amp; family"/>
    <n v="75"/>
    <x v="7"/>
    <x v="21"/>
    <s v="Stockholm"/>
    <s v="Investments"/>
    <x v="3"/>
    <s v="Sweden"/>
    <m/>
    <x v="1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190"/>
    <x v="132"/>
    <x v="10"/>
    <s v="Andrei Guriev &amp; family"/>
    <n v="63"/>
    <x v="7"/>
    <x v="17"/>
    <s v="Moscow"/>
    <s v="Fertilizers"/>
    <x v="10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90"/>
    <x v="132"/>
    <x v="3"/>
    <s v="Michael Kim"/>
    <n v="59"/>
    <x v="7"/>
    <x v="32"/>
    <s v="Seoul"/>
    <s v="Private equity"/>
    <x v="3"/>
    <s v="United States"/>
    <s v="MBK Partners"/>
    <x v="1"/>
    <s v="U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190"/>
    <x v="132"/>
    <x v="2"/>
    <s v="Lei Jun"/>
    <n v="53"/>
    <x v="1"/>
    <x v="5"/>
    <s v="Beijing"/>
    <s v="Smartphones"/>
    <x v="2"/>
    <s v="China"/>
    <s v="Xiaomi"/>
    <x v="1"/>
    <s v="D"/>
    <x v="0"/>
    <s v="Founder and CEO"/>
    <n v="125.08"/>
    <n v="2.9"/>
    <s v="$19,910,000,000,000 "/>
    <x v="5"/>
    <n v="100.2"/>
    <n v="77"/>
    <n v="9.4"/>
    <n v="59.2"/>
    <x v="5"/>
    <n v="35.861660000000001"/>
    <n v="104.195397"/>
  </r>
  <r>
    <n v="190"/>
    <x v="132"/>
    <x v="10"/>
    <s v="Friedhelm Loh"/>
    <n v="76"/>
    <x v="7"/>
    <x v="7"/>
    <s v="Haiger"/>
    <s v="Manufacturing"/>
    <x v="10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90"/>
    <x v="132"/>
    <x v="14"/>
    <s v="Sun Piaoyang"/>
    <n v="64"/>
    <x v="7"/>
    <x v="5"/>
    <s v="Lianyungang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5"/>
    <x v="133"/>
    <x v="2"/>
    <s v="Rick Cohen &amp; family"/>
    <n v="70"/>
    <x v="0"/>
    <x v="1"/>
    <s v="Keene"/>
    <s v="Warehouse automation"/>
    <x v="2"/>
    <s v="United States"/>
    <s v="C&amp;S Wholesale Grocers"/>
    <x v="0"/>
    <s v="N"/>
    <x v="0"/>
    <s v="Entrepreneur"/>
    <n v="117.24"/>
    <n v="7.5"/>
    <s v="$21,427,700,000,000 "/>
    <x v="1"/>
    <n v="101.8"/>
    <n v="78.5"/>
    <n v="9.6"/>
    <n v="36.6"/>
    <x v="1"/>
    <n v="37.090240000000001"/>
    <n v="-95.712890999999999"/>
  </r>
  <r>
    <n v="195"/>
    <x v="133"/>
    <x v="13"/>
    <s v="Jin Baofang"/>
    <n v="70"/>
    <x v="7"/>
    <x v="5"/>
    <s v="Xingtai"/>
    <s v="Solar panels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5"/>
    <x v="133"/>
    <x v="10"/>
    <s v="Luo Liguo &amp; family"/>
    <n v="67"/>
    <x v="7"/>
    <x v="5"/>
    <s v="Ningbo"/>
    <s v="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5"/>
    <x v="133"/>
    <x v="7"/>
    <s v="Marijke Mars"/>
    <n v="58"/>
    <x v="7"/>
    <x v="1"/>
    <s v="Los Angeles"/>
    <s v="Candy, pet food"/>
    <x v="7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95"/>
    <x v="133"/>
    <x v="7"/>
    <s v="Pamela Mars"/>
    <n v="62"/>
    <x v="7"/>
    <x v="1"/>
    <s v="Alexandria"/>
    <s v="Candy, pet food"/>
    <x v="7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95"/>
    <x v="133"/>
    <x v="7"/>
    <s v="Valerie Mars"/>
    <n v="64"/>
    <x v="7"/>
    <x v="1"/>
    <s v="New York"/>
    <s v="Candy, pet food"/>
    <x v="7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95"/>
    <x v="133"/>
    <x v="7"/>
    <s v="Victoria Mars"/>
    <n v="66"/>
    <x v="7"/>
    <x v="1"/>
    <s v="Philadelphia"/>
    <s v="Candy, pet food"/>
    <x v="7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02"/>
    <x v="134"/>
    <x v="3"/>
    <s v="Vincent BollorÃ© &amp; family"/>
    <n v="71"/>
    <x v="7"/>
    <x v="0"/>
    <s v="Paris"/>
    <s v="Investments"/>
    <x v="3"/>
    <s v="France"/>
    <m/>
    <x v="0"/>
    <s v="U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202"/>
    <x v="134"/>
    <x v="6"/>
    <s v="Jim Pattison"/>
    <n v="94"/>
    <x v="2"/>
    <x v="6"/>
    <s v="Vancouver"/>
    <s v="Diversified"/>
    <x v="6"/>
    <s v="Canada"/>
    <s v="Jim Pattison Group"/>
    <x v="1"/>
    <s v="D"/>
    <x v="0"/>
    <s v="Founder, Chairman and CEO"/>
    <n v="116.76"/>
    <n v="1.9"/>
    <s v="$1,736,425,629,520 "/>
    <x v="6"/>
    <n v="100.9"/>
    <n v="81.900000000000006"/>
    <n v="12.8"/>
    <n v="24.5"/>
    <x v="6"/>
    <n v="56.130366000000002"/>
    <n v="-106.346771"/>
  </r>
  <r>
    <n v="204"/>
    <x v="135"/>
    <x v="14"/>
    <s v="Ernesto Bertarelli"/>
    <n v="57"/>
    <x v="7"/>
    <x v="8"/>
    <s v="Gstaad"/>
    <s v="Biotech, investments"/>
    <x v="14"/>
    <s v="Switzerland"/>
    <m/>
    <x v="0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04"/>
    <x v="135"/>
    <x v="2"/>
    <s v="Wang Xing"/>
    <n v="44"/>
    <x v="7"/>
    <x v="5"/>
    <s v="Beijing"/>
    <s v="Food delivery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6"/>
    <x v="136"/>
    <x v="2"/>
    <s v="Brian Chesky"/>
    <n v="41"/>
    <x v="5"/>
    <x v="1"/>
    <s v="San Francisco"/>
    <s v="Airbnb"/>
    <x v="2"/>
    <s v="United States"/>
    <s v="Airbnb, Inc."/>
    <x v="1"/>
    <s v="D"/>
    <x v="0"/>
    <s v="CEO and Cofounder"/>
    <n v="117.24"/>
    <n v="7.5"/>
    <s v="$21,427,700,000,000 "/>
    <x v="1"/>
    <n v="101.8"/>
    <n v="78.5"/>
    <n v="9.6"/>
    <n v="36.6"/>
    <x v="1"/>
    <n v="37.090240000000001"/>
    <n v="-95.712890999999999"/>
  </r>
  <r>
    <n v="206"/>
    <x v="136"/>
    <x v="10"/>
    <s v="James Dyson"/>
    <n v="75"/>
    <x v="7"/>
    <x v="13"/>
    <s v="Gloucestershire"/>
    <s v="Vacuums"/>
    <x v="10"/>
    <s v="United Kingdom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08"/>
    <x v="137"/>
    <x v="6"/>
    <s v="Roman Abramovich &amp; family"/>
    <n v="56"/>
    <x v="7"/>
    <x v="17"/>
    <s v="Moscow"/>
    <s v="Steel, investments"/>
    <x v="6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08"/>
    <x v="137"/>
    <x v="6"/>
    <s v="Antonia Ax:son Johnson &amp; family"/>
    <n v="79"/>
    <x v="7"/>
    <x v="21"/>
    <s v="Stockholm"/>
    <s v="Diversified"/>
    <x v="6"/>
    <s v="Sweden"/>
    <m/>
    <x v="0"/>
    <s v="U"/>
    <x v="1"/>
    <m/>
    <n v="110.51"/>
    <n v="1.8"/>
    <s v="$530,832,908,738 "/>
    <x v="20"/>
    <n v="126.6"/>
    <n v="82.5"/>
    <n v="27.9"/>
    <n v="49.1"/>
    <x v="21"/>
    <n v="60.128160999999999"/>
    <n v="18.643501000000001"/>
  </r>
  <r>
    <n v="208"/>
    <x v="137"/>
    <x v="13"/>
    <s v="Daniel Kretinsky"/>
    <n v="47"/>
    <x v="7"/>
    <x v="20"/>
    <s v="Prague"/>
    <s v="Energy, investments"/>
    <x v="13"/>
    <s v="Czech Republic"/>
    <m/>
    <x v="1"/>
    <s v="U"/>
    <x v="0"/>
    <m/>
    <n v="116.48"/>
    <n v="2.8"/>
    <s v="$246,489,245,495 "/>
    <x v="19"/>
    <n v="100.7"/>
    <n v="79"/>
    <n v="14.9"/>
    <n v="46.1"/>
    <x v="20"/>
    <n v="49.817492000000001"/>
    <n v="15.472962000000001"/>
  </r>
  <r>
    <n v="208"/>
    <x v="137"/>
    <x v="4"/>
    <s v="John Malone"/>
    <n v="82"/>
    <x v="7"/>
    <x v="1"/>
    <s v="Elizabeth"/>
    <s v="Cable television"/>
    <x v="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08"/>
    <x v="137"/>
    <x v="2"/>
    <s v="Azim Premji"/>
    <n v="77"/>
    <x v="0"/>
    <x v="3"/>
    <s v="Bangalore"/>
    <s v="Software services"/>
    <x v="2"/>
    <s v="India"/>
    <s v="Wipro Ltd."/>
    <x v="0"/>
    <s v="D"/>
    <x v="0"/>
    <s v="Founder Chairman"/>
    <n v="180.44"/>
    <n v="7.7"/>
    <s v="$2,611,000,000,000 "/>
    <x v="3"/>
    <n v="113"/>
    <n v="69.400000000000006"/>
    <n v="11.2"/>
    <n v="49.7"/>
    <x v="3"/>
    <n v="20.593684"/>
    <n v="78.962879999999998"/>
  </r>
  <r>
    <n v="208"/>
    <x v="137"/>
    <x v="3"/>
    <s v="Charles Schwab"/>
    <n v="85"/>
    <x v="4"/>
    <x v="1"/>
    <s v="Woodside"/>
    <s v="Discount brokerage"/>
    <x v="3"/>
    <s v="United States"/>
    <s v="Charles Schwab Corp.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208"/>
    <x v="137"/>
    <x v="0"/>
    <s v="Eric Smidt"/>
    <n v="63"/>
    <x v="7"/>
    <x v="1"/>
    <s v="Beverly Hills"/>
    <s v="Hardware stores"/>
    <x v="0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5"/>
    <x v="138"/>
    <x v="2"/>
    <s v="David Cheriton"/>
    <n v="72"/>
    <x v="0"/>
    <x v="1"/>
    <s v="Palo Alto"/>
    <s v="Google"/>
    <x v="2"/>
    <s v="Canada"/>
    <s v="Stanford University"/>
    <x v="1"/>
    <s v="D"/>
    <x v="0"/>
    <s v="Professor"/>
    <n v="117.24"/>
    <n v="7.5"/>
    <s v="$21,427,700,000,000 "/>
    <x v="1"/>
    <n v="101.8"/>
    <n v="78.5"/>
    <n v="9.6"/>
    <n v="36.6"/>
    <x v="1"/>
    <n v="37.090240000000001"/>
    <n v="-95.712890999999999"/>
  </r>
  <r>
    <n v="215"/>
    <x v="138"/>
    <x v="12"/>
    <s v="Ivan Glasenberg"/>
    <n v="66"/>
    <x v="7"/>
    <x v="8"/>
    <s v="Ruschlikon"/>
    <s v="Mining"/>
    <x v="12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15"/>
    <x v="138"/>
    <x v="11"/>
    <s v="Alexander Otto"/>
    <n v="55"/>
    <x v="7"/>
    <x v="7"/>
    <s v="Hamburg"/>
    <s v="Real estate"/>
    <x v="11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15"/>
    <x v="138"/>
    <x v="7"/>
    <s v="Anthony von Mandl"/>
    <n v="73"/>
    <x v="7"/>
    <x v="6"/>
    <s v="Vancouver"/>
    <s v="Alcoholic beverages"/>
    <x v="7"/>
    <s v="Canada"/>
    <m/>
    <x v="1"/>
    <s v="U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215"/>
    <x v="138"/>
    <x v="10"/>
    <s v="Wang Liping &amp; family"/>
    <n v="57"/>
    <x v="7"/>
    <x v="5"/>
    <s v="Changzhou"/>
    <s v="Hydraulic machinery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0"/>
    <x v="139"/>
    <x v="7"/>
    <s v="Finn Rausing"/>
    <n v="68"/>
    <x v="7"/>
    <x v="13"/>
    <s v="London"/>
    <s v="Packaging"/>
    <x v="7"/>
    <s v="Sweden"/>
    <m/>
    <x v="0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20"/>
    <x v="139"/>
    <x v="7"/>
    <s v="Jorn Rausing"/>
    <n v="63"/>
    <x v="7"/>
    <x v="13"/>
    <s v="Surrey"/>
    <s v="Packaging"/>
    <x v="7"/>
    <s v="Sweden"/>
    <m/>
    <x v="0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20"/>
    <x v="139"/>
    <x v="7"/>
    <s v="Kirsten Rausing"/>
    <n v="70"/>
    <x v="7"/>
    <x v="13"/>
    <s v="Newmarket"/>
    <s v="Packaging"/>
    <x v="7"/>
    <s v="Sweden"/>
    <m/>
    <x v="0"/>
    <s v="D"/>
    <x v="1"/>
    <m/>
    <n v="119.62"/>
    <n v="1.7"/>
    <s v="$2,827,113,184,696 "/>
    <x v="13"/>
    <n v="101.2"/>
    <n v="81.3"/>
    <n v="25.5"/>
    <n v="30.6"/>
    <x v="13"/>
    <n v="55.378050999999999"/>
    <n v="-3.4359730000000002"/>
  </r>
  <r>
    <n v="223"/>
    <x v="140"/>
    <x v="0"/>
    <s v="Tatyana Bakalchuk"/>
    <n v="47"/>
    <x v="7"/>
    <x v="17"/>
    <s v="Moscow region"/>
    <s v="Ecommerce"/>
    <x v="0"/>
    <s v="Russia"/>
    <m/>
    <x v="1"/>
    <s v="U"/>
    <x v="1"/>
    <m/>
    <n v="180.75"/>
    <n v="4.5"/>
    <s v="$1,699,876,578,871 "/>
    <x v="17"/>
    <n v="102.6"/>
    <n v="72.7"/>
    <n v="11.4"/>
    <n v="46.2"/>
    <x v="17"/>
    <n v="61.524009999999997"/>
    <n v="105.31875599999999"/>
  </r>
  <r>
    <n v="223"/>
    <x v="140"/>
    <x v="2"/>
    <s v="John Doerr"/>
    <n v="71"/>
    <x v="0"/>
    <x v="1"/>
    <s v="Woodside"/>
    <s v="Venture capital"/>
    <x v="2"/>
    <s v="United States"/>
    <s v="Kleiner Perkins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223"/>
    <x v="140"/>
    <x v="2"/>
    <s v="Richard Liu"/>
    <n v="49"/>
    <x v="7"/>
    <x v="5"/>
    <s v="Beijing"/>
    <s v="E-commerce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3"/>
    <x v="140"/>
    <x v="2"/>
    <s v="Dustin Moskovitz"/>
    <n v="38"/>
    <x v="6"/>
    <x v="1"/>
    <s v="San Francisco"/>
    <s v="Facebook"/>
    <x v="2"/>
    <s v="United States"/>
    <s v="Asana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223"/>
    <x v="140"/>
    <x v="2"/>
    <s v="Pierre Omidyar"/>
    <n v="55"/>
    <x v="1"/>
    <x v="1"/>
    <s v="Honolulu"/>
    <s v="EBay, PayPal"/>
    <x v="2"/>
    <s v="United States"/>
    <s v="eBay"/>
    <x v="1"/>
    <s v="D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223"/>
    <x v="140"/>
    <x v="13"/>
    <s v="Pei Zhenhua"/>
    <n v="64"/>
    <x v="7"/>
    <x v="5"/>
    <s v="Ningde"/>
    <s v="Batteries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3"/>
    <x v="140"/>
    <x v="13"/>
    <s v="Carrie Perrodo &amp; family"/>
    <n v="72"/>
    <x v="7"/>
    <x v="13"/>
    <s v="London"/>
    <s v="Oil"/>
    <x v="13"/>
    <s v="France"/>
    <m/>
    <x v="0"/>
    <s v="U"/>
    <x v="1"/>
    <s v="Philanthropist"/>
    <n v="119.62"/>
    <n v="1.7"/>
    <s v="$2,827,113,184,696 "/>
    <x v="13"/>
    <n v="101.2"/>
    <n v="81.3"/>
    <n v="25.5"/>
    <n v="30.6"/>
    <x v="13"/>
    <n v="55.378050999999999"/>
    <n v="-3.4359730000000002"/>
  </r>
  <r>
    <n v="230"/>
    <x v="141"/>
    <x v="10"/>
    <s v="Chen Jianhua"/>
    <n v="52"/>
    <x v="7"/>
    <x v="5"/>
    <s v="Wujiang"/>
    <s v="Chemical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30"/>
    <x v="141"/>
    <x v="0"/>
    <s v="Michael Otto"/>
    <n v="79"/>
    <x v="7"/>
    <x v="7"/>
    <s v="Hamburg"/>
    <s v="Retail, real estate"/>
    <x v="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32"/>
    <x v="142"/>
    <x v="3"/>
    <s v="Leon Black"/>
    <n v="71"/>
    <x v="7"/>
    <x v="1"/>
    <s v="New York"/>
    <s v="Private equit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32"/>
    <x v="142"/>
    <x v="3"/>
    <s v="Graeme Hart"/>
    <n v="67"/>
    <x v="7"/>
    <x v="33"/>
    <s v="Auckland"/>
    <s v="Investments"/>
    <x v="3"/>
    <s v="New Zealand"/>
    <m/>
    <x v="1"/>
    <s v="D"/>
    <x v="0"/>
    <m/>
    <n v="114.24"/>
    <n v="1.6"/>
    <s v="$206,928,765,544 "/>
    <x v="31"/>
    <n v="100"/>
    <n v="81.900000000000006"/>
    <n v="29"/>
    <n v="34.6"/>
    <x v="32"/>
    <n v="-40.900556999999999"/>
    <n v="174.88597100000001"/>
  </r>
  <r>
    <n v="232"/>
    <x v="142"/>
    <x v="7"/>
    <s v="Ravi Jaipuria"/>
    <n v="68"/>
    <x v="7"/>
    <x v="3"/>
    <s v="Delhi"/>
    <s v="Soft drinks, fast food"/>
    <x v="7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32"/>
    <x v="142"/>
    <x v="2"/>
    <s v="Hasso Plattner &amp; family"/>
    <n v="79"/>
    <x v="7"/>
    <x v="7"/>
    <s v="Heidelberg"/>
    <s v="Software"/>
    <x v="2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32"/>
    <x v="142"/>
    <x v="7"/>
    <s v="Carlos Alberto Sicupira &amp; family"/>
    <n v="75"/>
    <x v="7"/>
    <x v="8"/>
    <s v="St. Gallen"/>
    <s v="Beer"/>
    <x v="7"/>
    <s v="Brazil"/>
    <m/>
    <x v="1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32"/>
    <x v="142"/>
    <x v="11"/>
    <s v="Manuel Villar"/>
    <n v="73"/>
    <x v="7"/>
    <x v="34"/>
    <s v="Manila"/>
    <s v="Real estate"/>
    <x v="11"/>
    <s v="Philippines"/>
    <m/>
    <x v="1"/>
    <s v="U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232"/>
    <x v="142"/>
    <x v="2"/>
    <s v="Andreas von Bechtolsheim &amp; family"/>
    <n v="67"/>
    <x v="3"/>
    <x v="1"/>
    <s v="Palo Alto"/>
    <s v="Google"/>
    <x v="2"/>
    <s v="Germany"/>
    <s v="Arista Networks"/>
    <x v="1"/>
    <s v="D"/>
    <x v="0"/>
    <s v="Cofounder, Chief Development Officer and Chairman"/>
    <n v="117.24"/>
    <n v="7.5"/>
    <s v="$21,427,700,000,000 "/>
    <x v="1"/>
    <n v="101.8"/>
    <n v="78.5"/>
    <n v="9.6"/>
    <n v="36.6"/>
    <x v="1"/>
    <n v="37.090240000000001"/>
    <n v="-95.712890999999999"/>
  </r>
  <r>
    <n v="239"/>
    <x v="143"/>
    <x v="3"/>
    <s v="Chase Coleman, III."/>
    <n v="47"/>
    <x v="5"/>
    <x v="1"/>
    <s v="New York"/>
    <s v="Investments"/>
    <x v="3"/>
    <s v="United States"/>
    <s v="Tiger Global Management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239"/>
    <x v="143"/>
    <x v="0"/>
    <s v="Ann Walton Kroenke"/>
    <n v="74"/>
    <x v="7"/>
    <x v="1"/>
    <s v="Electra"/>
    <s v="Walmart"/>
    <x v="0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39"/>
    <x v="143"/>
    <x v="10"/>
    <s v="Li Zhenguo &amp; family"/>
    <n v="55"/>
    <x v="7"/>
    <x v="5"/>
    <s v="Xi'an"/>
    <s v="Solar wafers and module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2"/>
    <x v="144"/>
    <x v="4"/>
    <s v="Jim Kennedy"/>
    <n v="75"/>
    <x v="0"/>
    <x v="1"/>
    <s v="Atlanta"/>
    <s v="Media, automotive"/>
    <x v="4"/>
    <s v="United States"/>
    <s v="Cox Enterprises"/>
    <x v="0"/>
    <s v="U"/>
    <x v="0"/>
    <s v="Chairman Emeritus"/>
    <n v="117.24"/>
    <n v="7.5"/>
    <s v="$21,427,700,000,000 "/>
    <x v="1"/>
    <n v="101.8"/>
    <n v="78.5"/>
    <n v="9.6"/>
    <n v="36.6"/>
    <x v="1"/>
    <n v="37.090240000000001"/>
    <n v="-95.712890999999999"/>
  </r>
  <r>
    <n v="242"/>
    <x v="144"/>
    <x v="12"/>
    <s v="Nicky Oppenheimer &amp; family"/>
    <n v="77"/>
    <x v="7"/>
    <x v="29"/>
    <s v="Johannesburg"/>
    <s v="Diamonds"/>
    <x v="12"/>
    <s v="South Africa"/>
    <m/>
    <x v="0"/>
    <s v="D"/>
    <x v="0"/>
    <m/>
    <n v="158.93"/>
    <n v="4.0999999999999996"/>
    <s v="$351,431,649,241 "/>
    <x v="27"/>
    <n v="100.9"/>
    <n v="63.9"/>
    <n v="27.5"/>
    <n v="29.2"/>
    <x v="28"/>
    <n v="-30.559481999999999"/>
    <n v="22.937505999999999"/>
  </r>
  <r>
    <n v="242"/>
    <x v="144"/>
    <x v="4"/>
    <s v="Blair Parry-Okeden"/>
    <n v="72"/>
    <x v="7"/>
    <x v="14"/>
    <s v="New South Wales"/>
    <s v="Media, automotive"/>
    <x v="4"/>
    <s v="United States"/>
    <m/>
    <x v="0"/>
    <s v="U"/>
    <x v="1"/>
    <m/>
    <n v="119.8"/>
    <n v="1.6"/>
    <s v="$1,392,680,589,329 "/>
    <x v="14"/>
    <n v="100.3"/>
    <n v="82.7"/>
    <n v="23"/>
    <n v="47.4"/>
    <x v="14"/>
    <n v="-25.274398000000001"/>
    <n v="133.775136"/>
  </r>
  <r>
    <n v="242"/>
    <x v="144"/>
    <x v="12"/>
    <s v="Zheng Shuliang &amp; family"/>
    <n v="77"/>
    <x v="7"/>
    <x v="5"/>
    <s v="Binzhou"/>
    <s v="Aluminum products"/>
    <x v="12"/>
    <s v="China"/>
    <m/>
    <x v="0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46"/>
    <x v="145"/>
    <x v="0"/>
    <s v="John Morris"/>
    <n v="75"/>
    <x v="7"/>
    <x v="1"/>
    <s v="Springfield"/>
    <s v="Sporting goods retail"/>
    <x v="0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6"/>
    <x v="145"/>
    <x v="0"/>
    <s v="Stefano Pessina"/>
    <n v="81"/>
    <x v="7"/>
    <x v="19"/>
    <s v="Monte Carlo"/>
    <s v="Drugstores"/>
    <x v="0"/>
    <s v="Monaco"/>
    <m/>
    <x v="0"/>
    <s v="D"/>
    <x v="0"/>
    <m/>
    <m/>
    <m/>
    <s v="$7,184,844,193 "/>
    <x v="10"/>
    <m/>
    <m/>
    <m/>
    <m/>
    <x v="19"/>
    <n v="43.738417599999998"/>
    <n v="7.4246157999999998"/>
  </r>
  <r>
    <n v="246"/>
    <x v="145"/>
    <x v="3"/>
    <s v="Francine von Finck &amp; family"/>
    <m/>
    <x v="7"/>
    <x v="8"/>
    <s v="Thurgau"/>
    <s v="Investments"/>
    <x v="3"/>
    <s v="Germany"/>
    <m/>
    <x v="0"/>
    <s v="D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249"/>
    <x v="146"/>
    <x v="11"/>
    <s v="Francis Choi"/>
    <n v="75"/>
    <x v="7"/>
    <x v="10"/>
    <s v="Hong Kong"/>
    <s v="Real estate"/>
    <x v="11"/>
    <s v="Hong Kong"/>
    <m/>
    <x v="1"/>
    <s v="U"/>
    <x v="0"/>
    <m/>
    <m/>
    <m/>
    <m/>
    <x v="10"/>
    <m/>
    <m/>
    <m/>
    <m/>
    <x v="10"/>
    <m/>
    <m/>
  </r>
  <r>
    <n v="249"/>
    <x v="146"/>
    <x v="13"/>
    <s v="German Khan"/>
    <n v="61"/>
    <x v="7"/>
    <x v="17"/>
    <s v="Moscow"/>
    <s v="Oil, banking, telecom"/>
    <x v="1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49"/>
    <x v="146"/>
    <x v="6"/>
    <s v="Abdulsamad Rabiu"/>
    <n v="62"/>
    <x v="7"/>
    <x v="26"/>
    <s v="Lagos"/>
    <s v="Cement, sugar"/>
    <x v="6"/>
    <s v="Nigeria"/>
    <m/>
    <x v="0"/>
    <s v="U"/>
    <x v="0"/>
    <m/>
    <n v="267.51"/>
    <n v="11.4"/>
    <s v="$448,120,428,859 "/>
    <x v="24"/>
    <n v="84.7"/>
    <n v="54.3"/>
    <n v="1.5"/>
    <n v="34.799999999999997"/>
    <x v="25"/>
    <n v="9.0819989999999997"/>
    <n v="8.6752769999999995"/>
  </r>
  <r>
    <n v="249"/>
    <x v="146"/>
    <x v="3"/>
    <s v="George Roberts"/>
    <n v="79"/>
    <x v="7"/>
    <x v="1"/>
    <s v="Atherton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9"/>
    <x v="146"/>
    <x v="11"/>
    <s v="Kushal Pal Singh"/>
    <n v="91"/>
    <x v="7"/>
    <x v="3"/>
    <s v="Delhi"/>
    <s v="Real estate"/>
    <x v="11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9"/>
    <x v="146"/>
    <x v="11"/>
    <s v="Wang Jianlin"/>
    <n v="68"/>
    <x v="3"/>
    <x v="5"/>
    <s v="Beijing"/>
    <s v="Real estate"/>
    <x v="11"/>
    <s v="China"/>
    <s v="Dalian Wanda Group"/>
    <x v="1"/>
    <s v="D"/>
    <x v="0"/>
    <s v="Chairman"/>
    <n v="125.08"/>
    <n v="2.9"/>
    <s v="$19,910,000,000,000 "/>
    <x v="5"/>
    <n v="100.2"/>
    <n v="77"/>
    <n v="9.4"/>
    <n v="59.2"/>
    <x v="5"/>
    <n v="35.861660000000001"/>
    <n v="104.195397"/>
  </r>
  <r>
    <n v="249"/>
    <x v="146"/>
    <x v="11"/>
    <s v="Yang Huiyan &amp; family"/>
    <n v="41"/>
    <x v="7"/>
    <x v="5"/>
    <s v="Foshan"/>
    <s v="Real estate"/>
    <x v="11"/>
    <s v="China"/>
    <m/>
    <x v="0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56"/>
    <x v="147"/>
    <x v="6"/>
    <s v="Laurent Dassault"/>
    <n v="69"/>
    <x v="7"/>
    <x v="0"/>
    <s v="Paris"/>
    <s v="Diversified"/>
    <x v="6"/>
    <s v="France"/>
    <m/>
    <x v="0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256"/>
    <x v="147"/>
    <x v="6"/>
    <s v="Thierry Dassault"/>
    <n v="66"/>
    <x v="7"/>
    <x v="0"/>
    <s v="Paris"/>
    <s v="Diversified"/>
    <x v="6"/>
    <s v="France"/>
    <m/>
    <x v="0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256"/>
    <x v="147"/>
    <x v="7"/>
    <s v="Tilman Fertitta"/>
    <n v="65"/>
    <x v="3"/>
    <x v="1"/>
    <s v="Houston"/>
    <s v="Houston Rockets, entertainment"/>
    <x v="7"/>
    <s v="United States"/>
    <s v="Landry's Inc"/>
    <x v="1"/>
    <s v="U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256"/>
    <x v="147"/>
    <x v="6"/>
    <s v="Marie-HÃ©lÃ¨ne Habert-Dassault"/>
    <n v="58"/>
    <x v="7"/>
    <x v="0"/>
    <s v="Paris"/>
    <s v="Diversified"/>
    <x v="6"/>
    <s v="France"/>
    <m/>
    <x v="0"/>
    <s v="D"/>
    <x v="1"/>
    <m/>
    <n v="110.05"/>
    <n v="1.1000000000000001"/>
    <s v="$2,715,518,274,227 "/>
    <x v="0"/>
    <n v="102.5"/>
    <n v="82.5"/>
    <n v="24.2"/>
    <n v="60.7"/>
    <x v="0"/>
    <n v="46.227637999999999"/>
    <n v="2.213749"/>
  </r>
  <r>
    <n v="256"/>
    <x v="147"/>
    <x v="9"/>
    <s v="Karel Komarek"/>
    <n v="54"/>
    <x v="7"/>
    <x v="8"/>
    <s v="Verbier"/>
    <s v="Oil and gas, IT, lotteries"/>
    <x v="9"/>
    <s v="Czech Republic"/>
    <m/>
    <x v="1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61"/>
    <x v="148"/>
    <x v="2"/>
    <s v="Nathan Blecharczyk"/>
    <n v="39"/>
    <x v="7"/>
    <x v="1"/>
    <s v="San Francisco"/>
    <s v="Airbnb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61"/>
    <x v="148"/>
    <x v="13"/>
    <s v="Leonid Fedun"/>
    <n v="66"/>
    <x v="7"/>
    <x v="17"/>
    <s v="Moscow"/>
    <s v="Oil"/>
    <x v="1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61"/>
    <x v="148"/>
    <x v="0"/>
    <s v="Bernard Marcus"/>
    <n v="93"/>
    <x v="2"/>
    <x v="1"/>
    <s v="Atlanta"/>
    <s v="Home Depot"/>
    <x v="0"/>
    <s v="United States"/>
    <s v="Home Depot"/>
    <x v="1"/>
    <s v="D"/>
    <x v="0"/>
    <s v="Co-founder, ex chairman of the board"/>
    <n v="117.24"/>
    <n v="7.5"/>
    <s v="$21,427,700,000,000 "/>
    <x v="1"/>
    <n v="101.8"/>
    <n v="78.5"/>
    <n v="9.6"/>
    <n v="36.6"/>
    <x v="1"/>
    <n v="37.090240000000001"/>
    <n v="-95.712890999999999"/>
  </r>
  <r>
    <n v="261"/>
    <x v="148"/>
    <x v="3"/>
    <s v="Patrick Ryan"/>
    <n v="85"/>
    <x v="4"/>
    <x v="1"/>
    <s v="Winnetka"/>
    <s v="Insurance"/>
    <x v="3"/>
    <s v="United States"/>
    <s v="Ryan Specialty Group"/>
    <x v="1"/>
    <s v="E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261"/>
    <x v="148"/>
    <x v="3"/>
    <s v="Robert F. Smith"/>
    <n v="60"/>
    <x v="7"/>
    <x v="1"/>
    <s v="Austin"/>
    <s v="Private equity"/>
    <x v="3"/>
    <s v="United States"/>
    <m/>
    <x v="1"/>
    <s v="U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261"/>
    <x v="148"/>
    <x v="12"/>
    <s v="Pavel Tykac"/>
    <n v="58"/>
    <x v="7"/>
    <x v="20"/>
    <s v="Prague"/>
    <s v="Coal mines"/>
    <x v="12"/>
    <s v="Czech Republic"/>
    <m/>
    <x v="1"/>
    <s v="U"/>
    <x v="0"/>
    <m/>
    <n v="116.48"/>
    <n v="2.8"/>
    <s v="$246,489,245,495 "/>
    <x v="19"/>
    <n v="100.7"/>
    <n v="79"/>
    <n v="14.9"/>
    <n v="46.1"/>
    <x v="20"/>
    <n v="49.817492000000001"/>
    <n v="15.472962000000001"/>
  </r>
  <r>
    <n v="261"/>
    <x v="148"/>
    <x v="3"/>
    <s v="Eric Wittouck"/>
    <n v="76"/>
    <x v="7"/>
    <x v="19"/>
    <m/>
    <s v="Investments"/>
    <x v="3"/>
    <s v="Belgium"/>
    <m/>
    <x v="0"/>
    <s v="D"/>
    <x v="0"/>
    <m/>
    <m/>
    <m/>
    <s v="$7,184,844,193 "/>
    <x v="10"/>
    <m/>
    <m/>
    <m/>
    <m/>
    <x v="19"/>
    <n v="43.738417599999998"/>
    <n v="7.4246157999999998"/>
  </r>
  <r>
    <n v="268"/>
    <x v="149"/>
    <x v="3"/>
    <s v="Orlando Bravo"/>
    <n v="52"/>
    <x v="7"/>
    <x v="1"/>
    <s v="Miami Beach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68"/>
    <x v="149"/>
    <x v="0"/>
    <s v="Ding Shizhong"/>
    <n v="52"/>
    <x v="7"/>
    <x v="5"/>
    <s v="Quanzhou"/>
    <s v="Sports apparel"/>
    <x v="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68"/>
    <x v="149"/>
    <x v="0"/>
    <s v="Nancy Walton Laurie"/>
    <n v="71"/>
    <x v="7"/>
    <x v="1"/>
    <s v="Henderson"/>
    <s v="Walmart"/>
    <x v="0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68"/>
    <x v="149"/>
    <x v="2"/>
    <s v="Jay Y. Lee"/>
    <n v="54"/>
    <x v="7"/>
    <x v="32"/>
    <s v="Seoul"/>
    <s v="Samsung"/>
    <x v="2"/>
    <s v="South Korea"/>
    <m/>
    <x v="0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68"/>
    <x v="149"/>
    <x v="3"/>
    <s v="Ramzi Musallam"/>
    <n v="54"/>
    <x v="7"/>
    <x v="1"/>
    <s v="New York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68"/>
    <x v="149"/>
    <x v="3"/>
    <s v="David Shaw"/>
    <n v="72"/>
    <x v="0"/>
    <x v="1"/>
    <s v="New York"/>
    <s v="Hedge funds"/>
    <x v="3"/>
    <s v="United States"/>
    <s v="D. E. Shaw &amp; Co., L.P.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268"/>
    <x v="149"/>
    <x v="12"/>
    <s v="Andrei Skoch &amp; family"/>
    <n v="57"/>
    <x v="7"/>
    <x v="17"/>
    <s v="Moscow"/>
    <s v="Metals and mining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68"/>
    <x v="149"/>
    <x v="6"/>
    <s v="Georg Stumpf"/>
    <n v="50"/>
    <x v="7"/>
    <x v="11"/>
    <s v="Vienna"/>
    <s v="Real estate, construction"/>
    <x v="6"/>
    <s v="Austria"/>
    <m/>
    <x v="1"/>
    <s v="E"/>
    <x v="0"/>
    <m/>
    <n v="118.06"/>
    <n v="1.5"/>
    <s v="$446,314,739,528 "/>
    <x v="11"/>
    <n v="103.1"/>
    <n v="81.599999999999994"/>
    <n v="25.4"/>
    <n v="51.4"/>
    <x v="11"/>
    <n v="47.516230999999998"/>
    <n v="14.550072"/>
  </r>
  <r>
    <n v="276"/>
    <x v="150"/>
    <x v="5"/>
    <s v="Rocco Commisso"/>
    <n v="73"/>
    <x v="7"/>
    <x v="1"/>
    <s v="Saddle River"/>
    <s v="Telecom"/>
    <x v="5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76"/>
    <x v="150"/>
    <x v="10"/>
    <s v="Li Shuirong &amp; family"/>
    <n v="66"/>
    <x v="7"/>
    <x v="5"/>
    <s v="Hangzhou"/>
    <s v="Petro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76"/>
    <x v="150"/>
    <x v="10"/>
    <s v="Lin Shu-hong"/>
    <n v="94"/>
    <x v="7"/>
    <x v="35"/>
    <s v="Taipei"/>
    <s v="Petrochemicals"/>
    <x v="10"/>
    <s v="Taiwan"/>
    <m/>
    <x v="1"/>
    <s v="U"/>
    <x v="0"/>
    <m/>
    <m/>
    <m/>
    <m/>
    <x v="10"/>
    <m/>
    <m/>
    <m/>
    <m/>
    <x v="10"/>
    <m/>
    <m/>
  </r>
  <r>
    <n v="276"/>
    <x v="150"/>
    <x v="2"/>
    <s v="Qi Shi &amp; family"/>
    <n v="53"/>
    <x v="7"/>
    <x v="5"/>
    <s v="Shanghai"/>
    <s v="Financial information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76"/>
    <x v="150"/>
    <x v="10"/>
    <s v="Yao Liangsong"/>
    <n v="58"/>
    <x v="7"/>
    <x v="5"/>
    <s v="Guangzhou"/>
    <s v="Furniture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76"/>
    <x v="150"/>
    <x v="0"/>
    <s v="Zhang Congyuan"/>
    <n v="75"/>
    <x v="7"/>
    <x v="35"/>
    <s v="Taoyuan"/>
    <s v="Shoes"/>
    <x v="0"/>
    <s v="Taiwan"/>
    <m/>
    <x v="1"/>
    <s v="D"/>
    <x v="0"/>
    <m/>
    <m/>
    <m/>
    <m/>
    <x v="10"/>
    <m/>
    <m/>
    <m/>
    <m/>
    <x v="10"/>
    <m/>
    <m/>
  </r>
  <r>
    <n v="282"/>
    <x v="151"/>
    <x v="7"/>
    <s v="Jean-Michel Besnier"/>
    <n v="55"/>
    <x v="7"/>
    <x v="0"/>
    <s v="Laval"/>
    <s v="Cheese"/>
    <x v="7"/>
    <s v="France"/>
    <m/>
    <x v="0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282"/>
    <x v="151"/>
    <x v="7"/>
    <s v="Marie Besnier Beauvalot"/>
    <n v="42"/>
    <x v="7"/>
    <x v="0"/>
    <s v="Laval"/>
    <s v="Cheese"/>
    <x v="7"/>
    <s v="France"/>
    <m/>
    <x v="0"/>
    <s v="D"/>
    <x v="1"/>
    <m/>
    <n v="110.05"/>
    <n v="1.1000000000000001"/>
    <s v="$2,715,518,274,227 "/>
    <x v="0"/>
    <n v="102.5"/>
    <n v="82.5"/>
    <n v="24.2"/>
    <n v="60.7"/>
    <x v="0"/>
    <n v="46.227637999999999"/>
    <n v="2.213749"/>
  </r>
  <r>
    <n v="282"/>
    <x v="151"/>
    <x v="4"/>
    <s v="David Geffen"/>
    <n v="80"/>
    <x v="4"/>
    <x v="1"/>
    <s v="Beverly Hills"/>
    <s v="Movies, record labels"/>
    <x v="4"/>
    <s v="United States"/>
    <s v="DreamWorks Animation SKG Inc. (Cl A)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282"/>
    <x v="151"/>
    <x v="2"/>
    <s v="Robin Li"/>
    <n v="54"/>
    <x v="1"/>
    <x v="5"/>
    <s v="Beijing"/>
    <s v="Internet search"/>
    <x v="2"/>
    <s v="China"/>
    <s v="Baidu"/>
    <x v="1"/>
    <s v="U"/>
    <x v="0"/>
    <s v="Founder and CEO"/>
    <n v="125.08"/>
    <n v="2.9"/>
    <s v="$19,910,000,000,000 "/>
    <x v="5"/>
    <n v="100.2"/>
    <n v="77"/>
    <n v="9.4"/>
    <n v="59.2"/>
    <x v="5"/>
    <n v="35.861660000000001"/>
    <n v="104.195397"/>
  </r>
  <r>
    <n v="282"/>
    <x v="151"/>
    <x v="15"/>
    <s v="Liu Yonghao &amp; family"/>
    <n v="71"/>
    <x v="7"/>
    <x v="5"/>
    <s v="Chengdu"/>
    <s v="Agribusiness"/>
    <x v="15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82"/>
    <x v="151"/>
    <x v="2"/>
    <s v="Henry Samueli"/>
    <n v="68"/>
    <x v="3"/>
    <x v="1"/>
    <s v="Newport Beach"/>
    <s v="Semiconductors"/>
    <x v="2"/>
    <s v="United States"/>
    <s v="Broadcom"/>
    <x v="1"/>
    <s v="U"/>
    <x v="0"/>
    <s v="Cofounder, Chief Technology Officer and Chairman"/>
    <n v="117.24"/>
    <n v="7.5"/>
    <s v="$21,427,700,000,000 "/>
    <x v="1"/>
    <n v="101.8"/>
    <n v="78.5"/>
    <n v="9.6"/>
    <n v="36.6"/>
    <x v="1"/>
    <n v="37.090240000000001"/>
    <n v="-95.712890999999999"/>
  </r>
  <r>
    <n v="282"/>
    <x v="151"/>
    <x v="14"/>
    <s v="Reinhold Schmieding"/>
    <n v="68"/>
    <x v="7"/>
    <x v="1"/>
    <s v="Naples"/>
    <s v="Medical devices"/>
    <x v="1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82"/>
    <x v="151"/>
    <x v="11"/>
    <s v="Ivar Tollefsen"/>
    <n v="61"/>
    <x v="7"/>
    <x v="36"/>
    <s v="Oslo"/>
    <s v="Real estate"/>
    <x v="11"/>
    <s v="Norway"/>
    <m/>
    <x v="1"/>
    <s v="U"/>
    <x v="0"/>
    <m/>
    <n v="120.27"/>
    <n v="2.2000000000000002"/>
    <s v="$403,336,363,636 "/>
    <x v="31"/>
    <n v="100.3"/>
    <n v="82.8"/>
    <n v="23.9"/>
    <n v="36.200000000000003"/>
    <x v="34"/>
    <n v="60.472023999999998"/>
    <n v="8.4689460000000008"/>
  </r>
  <r>
    <n v="290"/>
    <x v="152"/>
    <x v="13"/>
    <s v="Cao Renxian"/>
    <n v="54"/>
    <x v="7"/>
    <x v="5"/>
    <s v="Hefei"/>
    <s v="Photovoltaic equipment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90"/>
    <x v="152"/>
    <x v="14"/>
    <s v="Hasmukh Chudgar &amp; family"/>
    <n v="89"/>
    <x v="7"/>
    <x v="3"/>
    <s v="Ahmedabad"/>
    <s v="Pharmaceuticals"/>
    <x v="14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90"/>
    <x v="152"/>
    <x v="10"/>
    <s v="Andrew Currie"/>
    <n v="67"/>
    <x v="7"/>
    <x v="13"/>
    <s v="London"/>
    <s v="Chemicals"/>
    <x v="10"/>
    <s v="United Kingdom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90"/>
    <x v="152"/>
    <x v="2"/>
    <s v="Joe Gebbia"/>
    <n v="41"/>
    <x v="5"/>
    <x v="1"/>
    <s v="Austin"/>
    <s v="Airbnb"/>
    <x v="2"/>
    <s v="United States"/>
    <s v="Airbnb, Inc."/>
    <x v="1"/>
    <s v="D"/>
    <x v="0"/>
    <s v="Cofounder &amp; Chair of Airbnb.org"/>
    <n v="117.24"/>
    <n v="7.5"/>
    <s v="$21,427,700,000,000 "/>
    <x v="1"/>
    <n v="101.8"/>
    <n v="78.5"/>
    <n v="9.6"/>
    <n v="36.6"/>
    <x v="1"/>
    <n v="37.090240000000001"/>
    <n v="-95.712890999999999"/>
  </r>
  <r>
    <n v="290"/>
    <x v="152"/>
    <x v="11"/>
    <s v="Philip Ng"/>
    <n v="64"/>
    <x v="7"/>
    <x v="25"/>
    <s v="Singapore"/>
    <s v="Real Estate"/>
    <x v="11"/>
    <s v="Singapore"/>
    <m/>
    <x v="0"/>
    <s v="Split Family Fortune"/>
    <x v="0"/>
    <m/>
    <n v="114.41"/>
    <n v="0.6"/>
    <s v="$372,062,527,489 "/>
    <x v="23"/>
    <n v="100.6"/>
    <n v="83.1"/>
    <n v="13.1"/>
    <n v="21"/>
    <x v="24"/>
    <n v="1.3520829999999999"/>
    <n v="103.819836"/>
  </r>
  <r>
    <n v="290"/>
    <x v="152"/>
    <x v="10"/>
    <s v="John Reece"/>
    <n v="66"/>
    <x v="7"/>
    <x v="13"/>
    <s v="London"/>
    <s v="Chemicals"/>
    <x v="10"/>
    <s v="United Kingdom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90"/>
    <x v="152"/>
    <x v="11"/>
    <s v="Leonard Stern"/>
    <n v="85"/>
    <x v="4"/>
    <x v="1"/>
    <s v="New York"/>
    <s v="Real estate"/>
    <x v="11"/>
    <s v="United States"/>
    <s v="Hartz Mountain Industries, Inc."/>
    <x v="0"/>
    <s v="U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290"/>
    <x v="152"/>
    <x v="2"/>
    <s v="Joseph Tsai"/>
    <n v="59"/>
    <x v="7"/>
    <x v="10"/>
    <s v="Hong Kong"/>
    <s v="E-commerce"/>
    <x v="2"/>
    <s v="Canada"/>
    <m/>
    <x v="1"/>
    <s v="D"/>
    <x v="0"/>
    <m/>
    <m/>
    <m/>
    <m/>
    <x v="10"/>
    <m/>
    <m/>
    <m/>
    <m/>
    <x v="10"/>
    <m/>
    <m/>
  </r>
  <r>
    <n v="290"/>
    <x v="152"/>
    <x v="14"/>
    <s v="Zhong Huijuan"/>
    <n v="62"/>
    <x v="7"/>
    <x v="5"/>
    <s v="Shanghai"/>
    <s v="Pharmaceuticals"/>
    <x v="14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99"/>
    <x v="153"/>
    <x v="17"/>
    <s v="Arthur Blank"/>
    <n v="80"/>
    <x v="4"/>
    <x v="1"/>
    <s v="Atlanta"/>
    <s v="Home Depot"/>
    <x v="17"/>
    <s v="United States"/>
    <s v="Atlanta Falcons"/>
    <x v="1"/>
    <s v="U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299"/>
    <x v="153"/>
    <x v="0"/>
    <s v="Charles Butt"/>
    <n v="85"/>
    <x v="7"/>
    <x v="1"/>
    <s v="San Antonio"/>
    <s v="Supermarkets"/>
    <x v="0"/>
    <s v="United States"/>
    <m/>
    <x v="0"/>
    <s v="R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99"/>
    <x v="153"/>
    <x v="0"/>
    <s v="Ding Shijia"/>
    <n v="59"/>
    <x v="7"/>
    <x v="5"/>
    <s v="Quanzhou"/>
    <s v="Sports apparel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99"/>
    <x v="153"/>
    <x v="3"/>
    <s v="Paul Tudor Jones, II."/>
    <n v="68"/>
    <x v="3"/>
    <x v="1"/>
    <s v="Palm Beach"/>
    <s v="Hedge funds"/>
    <x v="3"/>
    <s v="United States"/>
    <s v="Tudor Investment Corporation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299"/>
    <x v="153"/>
    <x v="3"/>
    <s v="Henry Kravis"/>
    <n v="79"/>
    <x v="0"/>
    <x v="1"/>
    <s v="New York"/>
    <s v="Private equity"/>
    <x v="3"/>
    <s v="United States"/>
    <s v="KKR &amp; Co."/>
    <x v="1"/>
    <s v="D"/>
    <x v="0"/>
    <s v="Co-Chair and Co-CEO"/>
    <n v="117.24"/>
    <n v="7.5"/>
    <s v="$21,427,700,000,000 "/>
    <x v="1"/>
    <n v="101.8"/>
    <n v="78.5"/>
    <n v="9.6"/>
    <n v="36.6"/>
    <x v="1"/>
    <n v="37.090240000000001"/>
    <n v="-95.712890999999999"/>
  </r>
  <r>
    <n v="299"/>
    <x v="153"/>
    <x v="7"/>
    <s v="Zhang Yong"/>
    <n v="52"/>
    <x v="7"/>
    <x v="25"/>
    <s v="Singapore"/>
    <s v="Restaurants"/>
    <x v="7"/>
    <s v="Singapore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305"/>
    <x v="154"/>
    <x v="2"/>
    <s v="James Goodnight"/>
    <n v="80"/>
    <x v="4"/>
    <x v="1"/>
    <s v="Cary"/>
    <s v="Software"/>
    <x v="2"/>
    <s v="United States"/>
    <s v="SAS Institute"/>
    <x v="1"/>
    <s v="U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305"/>
    <x v="154"/>
    <x v="10"/>
    <s v="Sri Prakash Lohia"/>
    <n v="70"/>
    <x v="7"/>
    <x v="13"/>
    <s v="London"/>
    <s v="Petrochemicals"/>
    <x v="10"/>
    <s v="Indonesia"/>
    <m/>
    <x v="0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305"/>
    <x v="154"/>
    <x v="0"/>
    <s v="Ma Jianrong"/>
    <n v="59"/>
    <x v="7"/>
    <x v="5"/>
    <s v="Ningbo"/>
    <s v="Textiles, apparel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305"/>
    <x v="154"/>
    <x v="11"/>
    <s v="Robert Ng"/>
    <n v="71"/>
    <x v="7"/>
    <x v="25"/>
    <s v="Singapore"/>
    <s v="Real estate"/>
    <x v="11"/>
    <s v="Singapore"/>
    <m/>
    <x v="0"/>
    <s v="Split Family Fortune"/>
    <x v="0"/>
    <m/>
    <n v="114.41"/>
    <n v="0.6"/>
    <s v="$372,062,527,489 "/>
    <x v="23"/>
    <n v="100.6"/>
    <n v="83.1"/>
    <n v="13.1"/>
    <n v="21"/>
    <x v="24"/>
    <n v="1.3520829999999999"/>
    <n v="103.819836"/>
  </r>
  <r>
    <n v="305"/>
    <x v="154"/>
    <x v="10"/>
    <s v="Steven Rales"/>
    <n v="72"/>
    <x v="0"/>
    <x v="1"/>
    <s v="Santa Barbara"/>
    <s v="Manufacturing, investments"/>
    <x v="10"/>
    <s v="United States"/>
    <s v="Danaher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305"/>
    <x v="154"/>
    <x v="16"/>
    <s v="Nassef Sawiris"/>
    <n v="62"/>
    <x v="7"/>
    <x v="37"/>
    <s v="Cairo"/>
    <s v="Construction, investments"/>
    <x v="16"/>
    <s v="Egypt"/>
    <m/>
    <x v="0"/>
    <s v="D"/>
    <x v="0"/>
    <m/>
    <n v="288.57"/>
    <n v="9.1999999999999993"/>
    <s v="$303,175,127,598 "/>
    <x v="33"/>
    <n v="106.3"/>
    <n v="71.8"/>
    <n v="12.5"/>
    <n v="44.4"/>
    <x v="35"/>
    <n v="26.820553"/>
    <n v="30.802498"/>
  </r>
  <r>
    <n v="305"/>
    <x v="154"/>
    <x v="7"/>
    <s v="Harry Stine"/>
    <n v="81"/>
    <x v="7"/>
    <x v="1"/>
    <s v="Adel"/>
    <s v="Agriculture"/>
    <x v="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12"/>
    <x v="155"/>
    <x v="10"/>
    <s v="Benu Gopal Bangur"/>
    <n v="91"/>
    <x v="7"/>
    <x v="3"/>
    <s v="Kolkata"/>
    <s v="Cement"/>
    <x v="10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312"/>
    <x v="155"/>
    <x v="12"/>
    <s v="Iskander Makhmudov"/>
    <n v="59"/>
    <x v="7"/>
    <x v="17"/>
    <s v="Moscow"/>
    <s v="Mining, metals, machinery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312"/>
    <x v="155"/>
    <x v="0"/>
    <s v="Anders Holch Povlsen"/>
    <n v="50"/>
    <x v="7"/>
    <x v="38"/>
    <s v="Aarhus"/>
    <s v="Fashion retail"/>
    <x v="0"/>
    <s v="Denmark"/>
    <m/>
    <x v="0"/>
    <s v="D"/>
    <x v="0"/>
    <m/>
    <n v="110.35"/>
    <n v="0.8"/>
    <s v="$348,078,018,464 "/>
    <x v="34"/>
    <n v="101.3"/>
    <n v="81"/>
    <n v="32.4"/>
    <n v="23.8"/>
    <x v="36"/>
    <n v="56.263919999999999"/>
    <n v="9.5017849999999999"/>
  </r>
  <r>
    <n v="312"/>
    <x v="155"/>
    <x v="8"/>
    <s v="Enrique Razon Jr."/>
    <n v="63"/>
    <x v="7"/>
    <x v="34"/>
    <s v="Manila"/>
    <s v="Ports"/>
    <x v="8"/>
    <s v="Philippines"/>
    <m/>
    <x v="0"/>
    <s v="U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312"/>
    <x v="155"/>
    <x v="2"/>
    <s v="Wang Laichun"/>
    <n v="55"/>
    <x v="7"/>
    <x v="5"/>
    <s v="Shenzhen"/>
    <s v="Electronics components"/>
    <x v="2"/>
    <s v="Hong Kong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317"/>
    <x v="156"/>
    <x v="3"/>
    <s v="Arthur Dantchik"/>
    <n v="65"/>
    <x v="7"/>
    <x v="1"/>
    <s v="Gladwyne"/>
    <s v="Trading, investments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17"/>
    <x v="156"/>
    <x v="2"/>
    <s v="Terry Gou"/>
    <n v="72"/>
    <x v="7"/>
    <x v="35"/>
    <s v="Taipei"/>
    <s v="Electronics"/>
    <x v="2"/>
    <s v="Taiwan"/>
    <s v="Hon Hai Precision Industries"/>
    <x v="1"/>
    <s v="U"/>
    <x v="0"/>
    <s v="CEO"/>
    <m/>
    <m/>
    <m/>
    <x v="10"/>
    <m/>
    <m/>
    <m/>
    <m/>
    <x v="10"/>
    <m/>
    <m/>
  </r>
  <r>
    <n v="317"/>
    <x v="156"/>
    <x v="11"/>
    <s v="Jeff Greene"/>
    <n v="68"/>
    <x v="7"/>
    <x v="1"/>
    <s v="Palm Beach"/>
    <s v="Real estate, investments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17"/>
    <x v="156"/>
    <x v="3"/>
    <s v="Don Hankey"/>
    <n v="79"/>
    <x v="0"/>
    <x v="1"/>
    <s v="Malibu"/>
    <s v="Auto loans"/>
    <x v="3"/>
    <s v="United States"/>
    <s v="Hankey Group"/>
    <x v="1"/>
    <s v="U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317"/>
    <x v="156"/>
    <x v="13"/>
    <s v="Richard Kinder"/>
    <n v="78"/>
    <x v="0"/>
    <x v="1"/>
    <s v="Houston"/>
    <s v="Pipelines"/>
    <x v="13"/>
    <s v="United States"/>
    <s v="Kinder Morgan Inc"/>
    <x v="1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317"/>
    <x v="156"/>
    <x v="3"/>
    <s v="Guillaume Pousaz"/>
    <n v="41"/>
    <x v="7"/>
    <x v="16"/>
    <s v="Dubai"/>
    <s v="Fintech"/>
    <x v="3"/>
    <s v="Switzerland"/>
    <m/>
    <x v="1"/>
    <s v="D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317"/>
    <x v="156"/>
    <x v="0"/>
    <s v="Takahisa Takahara"/>
    <n v="61"/>
    <x v="7"/>
    <x v="12"/>
    <s v="Tokyo"/>
    <s v="Personal care goods"/>
    <x v="0"/>
    <s v="Japan"/>
    <m/>
    <x v="0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317"/>
    <x v="156"/>
    <x v="7"/>
    <s v="Zong Qinghou"/>
    <n v="77"/>
    <x v="0"/>
    <x v="5"/>
    <s v="Hangzhou"/>
    <s v="Beverages"/>
    <x v="7"/>
    <s v="China"/>
    <s v="Hangzhou Wahaha Group"/>
    <x v="1"/>
    <s v="D"/>
    <x v="0"/>
    <s v="Chairman"/>
    <n v="125.08"/>
    <n v="2.9"/>
    <s v="$19,910,000,000,000 "/>
    <x v="5"/>
    <n v="100.2"/>
    <n v="77"/>
    <n v="9.4"/>
    <n v="59.2"/>
    <x v="5"/>
    <n v="35.861660000000001"/>
    <n v="104.195397"/>
  </r>
  <r>
    <n v="325"/>
    <x v="157"/>
    <x v="2"/>
    <s v="Judy Faulkner"/>
    <n v="79"/>
    <x v="0"/>
    <x v="1"/>
    <s v="Madison"/>
    <s v="Healthcare software"/>
    <x v="2"/>
    <s v="United States"/>
    <s v="Epic Systems"/>
    <x v="1"/>
    <s v="U"/>
    <x v="1"/>
    <s v="Founder and CEO"/>
    <n v="117.24"/>
    <n v="7.5"/>
    <s v="$21,427,700,000,000 "/>
    <x v="1"/>
    <n v="101.8"/>
    <n v="78.5"/>
    <n v="9.6"/>
    <n v="36.6"/>
    <x v="1"/>
    <n v="37.090240000000001"/>
    <n v="-95.712890999999999"/>
  </r>
  <r>
    <n v="325"/>
    <x v="157"/>
    <x v="9"/>
    <s v="Johann Graf"/>
    <n v="76"/>
    <x v="7"/>
    <x v="11"/>
    <s v="Vienna"/>
    <s v="Gambling"/>
    <x v="9"/>
    <s v="Austria"/>
    <m/>
    <x v="1"/>
    <s v="U"/>
    <x v="0"/>
    <m/>
    <n v="118.06"/>
    <n v="1.5"/>
    <s v="$446,314,739,528 "/>
    <x v="11"/>
    <n v="103.1"/>
    <n v="81.599999999999994"/>
    <n v="25.4"/>
    <n v="51.4"/>
    <x v="11"/>
    <n v="47.516230999999998"/>
    <n v="14.550072"/>
  </r>
  <r>
    <n v="325"/>
    <x v="157"/>
    <x v="15"/>
    <s v="Tamara Gustavson"/>
    <n v="61"/>
    <x v="7"/>
    <x v="1"/>
    <s v="Lexington"/>
    <s v="Self storage"/>
    <x v="15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325"/>
    <x v="157"/>
    <x v="10"/>
    <s v="Liang Wengen"/>
    <n v="66"/>
    <x v="7"/>
    <x v="5"/>
    <s v="Changsha"/>
    <s v="Construction equipment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325"/>
    <x v="157"/>
    <x v="14"/>
    <s v="Frederik Paulsen"/>
    <n v="72"/>
    <x v="7"/>
    <x v="8"/>
    <s v="Lausanne"/>
    <s v="Health care"/>
    <x v="14"/>
    <s v="Sweden"/>
    <m/>
    <x v="0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325"/>
    <x v="157"/>
    <x v="3"/>
    <s v="Wee Cho Yaw"/>
    <n v="94"/>
    <x v="7"/>
    <x v="25"/>
    <s v="Singapore"/>
    <s v="Banking"/>
    <x v="3"/>
    <s v="Singapore"/>
    <m/>
    <x v="0"/>
    <s v="D"/>
    <x v="0"/>
    <m/>
    <n v="114.41"/>
    <n v="0.6"/>
    <s v="$372,062,527,489 "/>
    <x v="23"/>
    <n v="100.6"/>
    <n v="83.1"/>
    <n v="13.1"/>
    <n v="21"/>
    <x v="24"/>
    <n v="1.3520829999999999"/>
    <n v="103.819836"/>
  </r>
  <r>
    <n v="325"/>
    <x v="157"/>
    <x v="10"/>
    <s v="Zhang Hejun"/>
    <n v="71"/>
    <x v="7"/>
    <x v="5"/>
    <s v="Ningbo"/>
    <s v="Electronic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332"/>
    <x v="158"/>
    <x v="2"/>
    <s v="Marc Benioff"/>
    <n v="58"/>
    <x v="1"/>
    <x v="1"/>
    <s v="San Francisco"/>
    <s v="Business software"/>
    <x v="2"/>
    <s v="United States"/>
    <s v="Salesforce.com"/>
    <x v="1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332"/>
    <x v="158"/>
    <x v="4"/>
    <s v="Dmitri Bukhman"/>
    <n v="37"/>
    <x v="7"/>
    <x v="13"/>
    <s v="London"/>
    <s v="Online games"/>
    <x v="4"/>
    <s v="Israel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332"/>
    <x v="158"/>
    <x v="4"/>
    <s v="Igor Bukhman"/>
    <n v="41"/>
    <x v="7"/>
    <x v="13"/>
    <s v="London"/>
    <s v="Online games"/>
    <x v="4"/>
    <s v="Israel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332"/>
    <x v="158"/>
    <x v="2"/>
    <s v="Jack Dangermond"/>
    <n v="77"/>
    <x v="7"/>
    <x v="1"/>
    <s v="Redlands"/>
    <s v="Mapping software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32"/>
    <x v="158"/>
    <x v="10"/>
    <s v="Ashwin Dani &amp; family"/>
    <n v="80"/>
    <x v="7"/>
    <x v="3"/>
    <s v="Mumbai"/>
    <s v="Paints"/>
    <x v="10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332"/>
    <x v="158"/>
    <x v="0"/>
    <s v="Ralph Lauren"/>
    <n v="83"/>
    <x v="4"/>
    <x v="1"/>
    <s v="New York"/>
    <s v="Apparel"/>
    <x v="0"/>
    <s v="United States"/>
    <s v="Ralph Lauren"/>
    <x v="1"/>
    <s v="U"/>
    <x v="0"/>
    <s v="Chairman "/>
    <n v="117.24"/>
    <n v="7.5"/>
    <s v="$21,427,700,000,000 "/>
    <x v="1"/>
    <n v="101.8"/>
    <n v="78.5"/>
    <n v="9.6"/>
    <n v="36.6"/>
    <x v="1"/>
    <n v="37.090240000000001"/>
    <n v="-95.712890999999999"/>
  </r>
  <r>
    <n v="332"/>
    <x v="158"/>
    <x v="11"/>
    <s v="Law Kar Po"/>
    <n v="74"/>
    <x v="7"/>
    <x v="10"/>
    <s v="Hong Kong"/>
    <s v="Real estate"/>
    <x v="11"/>
    <s v="Hong Kong"/>
    <m/>
    <x v="0"/>
    <s v="U"/>
    <x v="0"/>
    <m/>
    <m/>
    <m/>
    <m/>
    <x v="10"/>
    <m/>
    <m/>
    <m/>
    <m/>
    <x v="10"/>
    <m/>
    <m/>
  </r>
  <r>
    <n v="332"/>
    <x v="158"/>
    <x v="6"/>
    <s v="Rohiqa Cyrus Mistry"/>
    <n v="55"/>
    <x v="7"/>
    <x v="3"/>
    <s v="Mumbai"/>
    <s v="Diversified"/>
    <x v="6"/>
    <s v="India"/>
    <m/>
    <x v="0"/>
    <s v="N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332"/>
    <x v="158"/>
    <x v="6"/>
    <s v="Shapoor Mistry"/>
    <n v="58"/>
    <x v="7"/>
    <x v="3"/>
    <s v="Mumbai"/>
    <s v="Diversified"/>
    <x v="6"/>
    <s v="Ireland"/>
    <m/>
    <x v="0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332"/>
    <x v="158"/>
    <x v="7"/>
    <s v="J. Christopher Reyes"/>
    <n v="69"/>
    <x v="3"/>
    <x v="1"/>
    <s v="Hobe Sound"/>
    <s v="Food distribution"/>
    <x v="7"/>
    <s v="United States"/>
    <s v="Reyes Holdings, LLC"/>
    <x v="1"/>
    <s v="D"/>
    <x v="0"/>
    <s v="Co-Chairman"/>
    <n v="117.24"/>
    <n v="7.5"/>
    <s v="$21,427,700,000,000 "/>
    <x v="1"/>
    <n v="101.8"/>
    <n v="78.5"/>
    <n v="9.6"/>
    <n v="36.6"/>
    <x v="1"/>
    <n v="37.090240000000001"/>
    <n v="-95.712890999999999"/>
  </r>
  <r>
    <n v="332"/>
    <x v="158"/>
    <x v="7"/>
    <s v="Jude Reyes"/>
    <n v="67"/>
    <x v="3"/>
    <x v="1"/>
    <s v="Palm Beach"/>
    <s v="Food distribution"/>
    <x v="7"/>
    <s v="United States"/>
    <s v="Reyes Holdings, LLC"/>
    <x v="1"/>
    <s v="D"/>
    <x v="0"/>
    <s v="Co-Chairman"/>
    <n v="117.24"/>
    <n v="7.5"/>
    <s v="$21,427,700,000,000 "/>
    <x v="1"/>
    <n v="101.8"/>
    <n v="78.5"/>
    <n v="9.6"/>
    <n v="36.6"/>
    <x v="1"/>
    <n v="37.090240000000001"/>
    <n v="-95.712890999999999"/>
  </r>
  <r>
    <n v="332"/>
    <x v="158"/>
    <x v="7"/>
    <s v="Don Vultaggio &amp; family"/>
    <n v="71"/>
    <x v="7"/>
    <x v="1"/>
    <s v="Port Washington"/>
    <s v="Beverages"/>
    <x v="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44"/>
    <x v="159"/>
    <x v="6"/>
    <s v="Alejandro Bailleres Gual &amp; family"/>
    <n v="62"/>
    <x v="7"/>
    <x v="2"/>
    <m/>
    <s v="Diversified"/>
    <x v="6"/>
    <s v="Mexico"/>
    <m/>
    <x v="0"/>
    <s v="U"/>
    <x v="0"/>
    <m/>
    <n v="141.54"/>
    <n v="3.6"/>
    <s v="$1,258,286,717,125 "/>
    <x v="2"/>
    <n v="105.8"/>
    <n v="75"/>
    <n v="13.1"/>
    <n v="55.1"/>
    <x v="2"/>
    <n v="23.634501"/>
    <n v="-102.552784"/>
  </r>
  <r>
    <n v="344"/>
    <x v="159"/>
    <x v="6"/>
    <s v="Edythe Broad &amp; family"/>
    <n v="87"/>
    <x v="7"/>
    <x v="1"/>
    <s v="Los Angeles"/>
    <s v="Homebuilding, insurance"/>
    <x v="6"/>
    <s v="United States"/>
    <m/>
    <x v="0"/>
    <s v="E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344"/>
    <x v="159"/>
    <x v="7"/>
    <s v="Pauline MacMillan Keinath"/>
    <n v="89"/>
    <x v="7"/>
    <x v="1"/>
    <s v="St. Louis"/>
    <s v="Cargill"/>
    <x v="7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344"/>
    <x v="159"/>
    <x v="3"/>
    <s v="Philippe Laffont"/>
    <n v="55"/>
    <x v="1"/>
    <x v="1"/>
    <s v="New York"/>
    <s v="Hedge fund"/>
    <x v="3"/>
    <s v="United States"/>
    <s v="Coatue Management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344"/>
    <x v="159"/>
    <x v="2"/>
    <s v="Liu Jincheng &amp; family"/>
    <n v="58"/>
    <x v="7"/>
    <x v="5"/>
    <s v="Huizhou"/>
    <s v="Lithium batterie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344"/>
    <x v="159"/>
    <x v="11"/>
    <s v="Igor Olenicoff"/>
    <n v="80"/>
    <x v="7"/>
    <x v="1"/>
    <s v="Lighthouse Point"/>
    <s v="Real estate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44"/>
    <x v="159"/>
    <x v="0"/>
    <s v="Sandra Ortega Mera"/>
    <n v="54"/>
    <x v="7"/>
    <x v="4"/>
    <s v="La Coruna"/>
    <s v="Zara"/>
    <x v="0"/>
    <s v="Spain"/>
    <m/>
    <x v="0"/>
    <s v="U"/>
    <x v="1"/>
    <m/>
    <n v="110.96"/>
    <n v="0.7"/>
    <s v="$1,394,116,310,769 "/>
    <x v="4"/>
    <n v="102.7"/>
    <n v="83.3"/>
    <n v="14.2"/>
    <n v="47"/>
    <x v="4"/>
    <n v="40.463667000000001"/>
    <n v="-3.7492200000000002"/>
  </r>
  <r>
    <n v="344"/>
    <x v="159"/>
    <x v="14"/>
    <s v="Ronda Stryker"/>
    <n v="68"/>
    <x v="7"/>
    <x v="1"/>
    <s v="Portage"/>
    <s v="Medical equipment"/>
    <x v="14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352"/>
    <x v="160"/>
    <x v="13"/>
    <s v="Dannine Avara"/>
    <n v="59"/>
    <x v="7"/>
    <x v="1"/>
    <s v="Houston"/>
    <s v="Pipelines"/>
    <x v="13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352"/>
    <x v="160"/>
    <x v="6"/>
    <s v="Silvio Berlusconi &amp; family"/>
    <n v="86"/>
    <x v="7"/>
    <x v="28"/>
    <s v="Milan"/>
    <s v="Media"/>
    <x v="6"/>
    <s v="Italy"/>
    <m/>
    <x v="1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352"/>
    <x v="160"/>
    <x v="9"/>
    <s v="Denise Coates"/>
    <n v="55"/>
    <x v="7"/>
    <x v="13"/>
    <s v="Stoke-on-Trent"/>
    <s v="Online gambling"/>
    <x v="9"/>
    <s v="United Kingdom"/>
    <m/>
    <x v="1"/>
    <s v="U"/>
    <x v="1"/>
    <m/>
    <n v="119.62"/>
    <n v="1.7"/>
    <s v="$2,827,113,184,696 "/>
    <x v="13"/>
    <n v="101.2"/>
    <n v="81.3"/>
    <n v="25.5"/>
    <n v="30.6"/>
    <x v="13"/>
    <n v="55.378050999999999"/>
    <n v="-3.4359730000000002"/>
  </r>
  <r>
    <n v="352"/>
    <x v="160"/>
    <x v="13"/>
    <s v="Scott Duncan"/>
    <n v="40"/>
    <x v="7"/>
    <x v="1"/>
    <s v="Houston"/>
    <s v="Pipelines"/>
    <x v="1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52"/>
    <x v="160"/>
    <x v="13"/>
    <s v="Milane Frantz"/>
    <n v="53"/>
    <x v="7"/>
    <x v="1"/>
    <s v="Houston"/>
    <s v="Pipelines"/>
    <x v="13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352"/>
    <x v="160"/>
    <x v="3"/>
    <s v="Edward Johnson, IV."/>
    <n v="58"/>
    <x v="7"/>
    <x v="1"/>
    <s v="Boston"/>
    <s v="Fidelity"/>
    <x v="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52"/>
    <x v="160"/>
    <x v="3"/>
    <s v="Yuri Milner"/>
    <n v="61"/>
    <x v="3"/>
    <x v="1"/>
    <s v="Los Altos"/>
    <s v="Tech investments"/>
    <x v="3"/>
    <s v="Israel"/>
    <s v="DST Global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352"/>
    <x v="160"/>
    <x v="2"/>
    <s v="Gordon Moore"/>
    <n v="94"/>
    <x v="2"/>
    <x v="1"/>
    <s v="Woodside"/>
    <s v="Intel"/>
    <x v="2"/>
    <s v="United States"/>
    <s v="Intel Corp."/>
    <x v="1"/>
    <s v="D"/>
    <x v="0"/>
    <s v="Cofounder and Chairman Emeritus"/>
    <n v="117.24"/>
    <n v="7.5"/>
    <s v="$21,427,700,000,000 "/>
    <x v="1"/>
    <n v="101.8"/>
    <n v="78.5"/>
    <n v="9.6"/>
    <n v="36.6"/>
    <x v="1"/>
    <n v="37.090240000000001"/>
    <n v="-95.712890999999999"/>
  </r>
  <r>
    <n v="352"/>
    <x v="160"/>
    <x v="3"/>
    <s v="John Overdeck"/>
    <n v="53"/>
    <x v="1"/>
    <x v="1"/>
    <s v="Millburn"/>
    <s v="Hedge funds"/>
    <x v="3"/>
    <s v="United States"/>
    <s v="Two Sigma"/>
    <x v="1"/>
    <s v="U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352"/>
    <x v="160"/>
    <x v="3"/>
    <s v="David Siegel"/>
    <n v="61"/>
    <x v="3"/>
    <x v="1"/>
    <s v="Scarsdale"/>
    <s v="Hedge funds"/>
    <x v="3"/>
    <s v="United States"/>
    <s v="Two Sigma"/>
    <x v="1"/>
    <s v="U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352"/>
    <x v="160"/>
    <x v="6"/>
    <s v="Viktor Vekselberg"/>
    <n v="65"/>
    <x v="7"/>
    <x v="17"/>
    <s v="Moscow"/>
    <s v="Metals, investments"/>
    <x v="6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352"/>
    <x v="160"/>
    <x v="2"/>
    <s v="Wang Laisheng"/>
    <n v="58"/>
    <x v="7"/>
    <x v="5"/>
    <s v="Shenzhen"/>
    <s v="Electronics components"/>
    <x v="2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352"/>
    <x v="160"/>
    <x v="13"/>
    <s v="Randa Duncan Williams"/>
    <n v="61"/>
    <x v="3"/>
    <x v="1"/>
    <s v="Houston"/>
    <s v="Pipelines"/>
    <x v="13"/>
    <s v="United States"/>
    <s v="Enterprise GP Holdings"/>
    <x v="0"/>
    <s v="U"/>
    <x v="1"/>
    <s v="Non-Executive Chairman of the Board"/>
    <n v="117.24"/>
    <n v="7.5"/>
    <s v="$21,427,700,000,000 "/>
    <x v="1"/>
    <n v="101.8"/>
    <n v="78.5"/>
    <n v="9.6"/>
    <n v="36.6"/>
    <x v="1"/>
    <n v="37.090240000000001"/>
    <n v="-95.712890999999999"/>
  </r>
  <r>
    <n v="365"/>
    <x v="161"/>
    <x v="3"/>
    <s v="Ken Fisher"/>
    <n v="72"/>
    <x v="7"/>
    <x v="1"/>
    <s v="Dallas"/>
    <s v="Money management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65"/>
    <x v="161"/>
    <x v="3"/>
    <s v="Christopher Hohn"/>
    <n v="56"/>
    <x v="1"/>
    <x v="13"/>
    <s v="London"/>
    <s v="Hedge funds"/>
    <x v="3"/>
    <s v="United Kingdom"/>
    <s v="The Children's Investment Fund Management"/>
    <x v="1"/>
    <s v="D"/>
    <x v="0"/>
    <s v="Investor"/>
    <n v="119.62"/>
    <n v="1.7"/>
    <s v="$2,827,113,184,696 "/>
    <x v="13"/>
    <n v="101.2"/>
    <n v="81.3"/>
    <n v="25.5"/>
    <n v="30.6"/>
    <x v="13"/>
    <n v="55.378050999999999"/>
    <n v="-3.4359730000000002"/>
  </r>
  <r>
    <n v="365"/>
    <x v="161"/>
    <x v="10"/>
    <s v="Kjeld Kirk Kristiansen"/>
    <n v="75"/>
    <x v="7"/>
    <x v="38"/>
    <s v="Billund"/>
    <s v="Lego"/>
    <x v="10"/>
    <s v="Denmark"/>
    <m/>
    <x v="0"/>
    <s v="D"/>
    <x v="0"/>
    <m/>
    <n v="110.35"/>
    <n v="0.8"/>
    <s v="$348,078,018,464 "/>
    <x v="34"/>
    <n v="101.3"/>
    <n v="81"/>
    <n v="32.4"/>
    <n v="23.8"/>
    <x v="36"/>
    <n v="56.263919999999999"/>
    <n v="9.5017849999999999"/>
  </r>
  <r>
    <n v="365"/>
    <x v="161"/>
    <x v="10"/>
    <s v="Sofie Kirk Kristiansen"/>
    <n v="47"/>
    <x v="7"/>
    <x v="38"/>
    <s v="Billund"/>
    <s v="Lego"/>
    <x v="10"/>
    <s v="Denmark"/>
    <m/>
    <x v="0"/>
    <s v="D"/>
    <x v="1"/>
    <m/>
    <n v="110.35"/>
    <n v="0.8"/>
    <s v="$348,078,018,464 "/>
    <x v="34"/>
    <n v="101.3"/>
    <n v="81"/>
    <n v="32.4"/>
    <n v="23.8"/>
    <x v="36"/>
    <n v="56.263919999999999"/>
    <n v="9.5017849999999999"/>
  </r>
  <r>
    <n v="365"/>
    <x v="161"/>
    <x v="10"/>
    <s v="Thomas Kirk Kristiansen"/>
    <n v="44"/>
    <x v="7"/>
    <x v="38"/>
    <s v="Billund"/>
    <s v="Lego"/>
    <x v="10"/>
    <s v="Denmark"/>
    <m/>
    <x v="0"/>
    <s v="D"/>
    <x v="0"/>
    <m/>
    <n v="110.35"/>
    <n v="0.8"/>
    <s v="$348,078,018,464 "/>
    <x v="34"/>
    <n v="101.3"/>
    <n v="81"/>
    <n v="32.4"/>
    <n v="23.8"/>
    <x v="36"/>
    <n v="56.263919999999999"/>
    <n v="9.5017849999999999"/>
  </r>
  <r>
    <n v="365"/>
    <x v="161"/>
    <x v="14"/>
    <s v="Massimiliana Landini Aleotti &amp; family"/>
    <n v="80"/>
    <x v="7"/>
    <x v="28"/>
    <s v="Fiesole"/>
    <s v="Pharmaceuticals"/>
    <x v="14"/>
    <s v="Italy"/>
    <m/>
    <x v="0"/>
    <s v="U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365"/>
    <x v="161"/>
    <x v="1"/>
    <s v="Li Ping"/>
    <n v="55"/>
    <x v="7"/>
    <x v="5"/>
    <s v="Ningde"/>
    <s v="Batteries"/>
    <x v="1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365"/>
    <x v="161"/>
    <x v="10"/>
    <s v="Lin Jianhua"/>
    <n v="60"/>
    <x v="7"/>
    <x v="5"/>
    <s v="Hangzhou"/>
    <s v="Solar panel components"/>
    <x v="10"/>
    <s v="China"/>
    <m/>
    <x v="1"/>
    <s v="Split Family Fortune"/>
    <x v="0"/>
    <m/>
    <n v="125.08"/>
    <n v="2.9"/>
    <s v="$19,910,000,000,000 "/>
    <x v="5"/>
    <n v="100.2"/>
    <n v="77"/>
    <n v="9.4"/>
    <n v="59.2"/>
    <x v="5"/>
    <n v="35.861660000000001"/>
    <n v="104.195397"/>
  </r>
  <r>
    <n v="365"/>
    <x v="161"/>
    <x v="10"/>
    <s v="Magdalena Martullo-Blocher"/>
    <n v="54"/>
    <x v="7"/>
    <x v="8"/>
    <s v="Feldmeilen"/>
    <s v="Chemicals"/>
    <x v="10"/>
    <s v="Switzerland"/>
    <m/>
    <x v="0"/>
    <s v="D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365"/>
    <x v="161"/>
    <x v="5"/>
    <s v="Xavier Niel"/>
    <n v="55"/>
    <x v="7"/>
    <x v="0"/>
    <s v="Paris"/>
    <s v="Internet, telecom"/>
    <x v="5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365"/>
    <x v="161"/>
    <x v="13"/>
    <s v="Terrence Pegula"/>
    <n v="72"/>
    <x v="0"/>
    <x v="1"/>
    <s v="Boca Raton"/>
    <s v="Natural gas"/>
    <x v="13"/>
    <s v="United States"/>
    <s v="Buffalo Sabres"/>
    <x v="1"/>
    <s v="U"/>
    <x v="0"/>
    <s v="Owner"/>
    <n v="117.24"/>
    <n v="7.5"/>
    <s v="$21,427,700,000,000 "/>
    <x v="1"/>
    <n v="101.8"/>
    <n v="78.5"/>
    <n v="9.6"/>
    <n v="36.6"/>
    <x v="1"/>
    <n v="37.090240000000001"/>
    <n v="-95.712890999999999"/>
  </r>
  <r>
    <n v="365"/>
    <x v="161"/>
    <x v="11"/>
    <s v="Edward Roski, Jr."/>
    <n v="84"/>
    <x v="4"/>
    <x v="1"/>
    <s v="Los Angeles"/>
    <s v="Real estate"/>
    <x v="11"/>
    <s v="United States"/>
    <s v="Majestic Realty, Co."/>
    <x v="0"/>
    <s v="U"/>
    <x v="0"/>
    <s v="President and Chairman"/>
    <n v="117.24"/>
    <n v="7.5"/>
    <s v="$21,427,700,000,000 "/>
    <x v="1"/>
    <n v="101.8"/>
    <n v="78.5"/>
    <n v="9.6"/>
    <n v="36.6"/>
    <x v="1"/>
    <n v="37.090240000000001"/>
    <n v="-95.712890999999999"/>
  </r>
  <r>
    <n v="365"/>
    <x v="161"/>
    <x v="11"/>
    <s v="John A. Sobrato &amp; family"/>
    <n v="83"/>
    <x v="4"/>
    <x v="1"/>
    <s v="Atherton"/>
    <s v="Real estate"/>
    <x v="11"/>
    <s v="United States"/>
    <s v="Sobrato Development Cos."/>
    <x v="1"/>
    <s v="U"/>
    <x v="0"/>
    <s v="Founder and Chairman"/>
    <n v="117.24"/>
    <n v="7.5"/>
    <s v="$21,427,700,000,000 "/>
    <x v="1"/>
    <n v="101.8"/>
    <n v="78.5"/>
    <n v="9.6"/>
    <n v="36.6"/>
    <x v="1"/>
    <n v="37.090240000000001"/>
    <n v="-95.712890999999999"/>
  </r>
  <r>
    <n v="365"/>
    <x v="161"/>
    <x v="3"/>
    <s v="George Soros"/>
    <n v="92"/>
    <x v="2"/>
    <x v="1"/>
    <s v="Katonah"/>
    <s v="Hedge funds"/>
    <x v="3"/>
    <s v="United States"/>
    <s v="Soros Fund Management LLC"/>
    <x v="1"/>
    <s v="D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365"/>
    <x v="161"/>
    <x v="2"/>
    <s v="David Sun"/>
    <n v="71"/>
    <x v="0"/>
    <x v="1"/>
    <s v="Irvine"/>
    <s v="Computer hardware"/>
    <x v="2"/>
    <s v="United States"/>
    <s v="Kingston Technology Corporation"/>
    <x v="1"/>
    <s v="U"/>
    <x v="0"/>
    <s v="COO"/>
    <n v="117.24"/>
    <n v="7.5"/>
    <s v="$21,427,700,000,000 "/>
    <x v="1"/>
    <n v="101.8"/>
    <n v="78.5"/>
    <n v="9.6"/>
    <n v="36.6"/>
    <x v="1"/>
    <n v="37.090240000000001"/>
    <n v="-95.712890999999999"/>
  </r>
  <r>
    <n v="365"/>
    <x v="161"/>
    <x v="10"/>
    <s v="Agnete Kirk Thinggaard"/>
    <n v="39"/>
    <x v="7"/>
    <x v="38"/>
    <s v="Billund"/>
    <s v="Lego"/>
    <x v="10"/>
    <s v="Denmark"/>
    <m/>
    <x v="0"/>
    <s v="D"/>
    <x v="1"/>
    <m/>
    <n v="110.35"/>
    <n v="0.8"/>
    <s v="$348,078,018,464 "/>
    <x v="34"/>
    <n v="101.3"/>
    <n v="81"/>
    <n v="32.4"/>
    <n v="23.8"/>
    <x v="36"/>
    <n v="56.263919999999999"/>
    <n v="9.5017849999999999"/>
  </r>
  <r>
    <n v="365"/>
    <x v="161"/>
    <x v="2"/>
    <s v="John Tu"/>
    <n v="81"/>
    <x v="4"/>
    <x v="1"/>
    <s v="Rolling Hills"/>
    <s v="Computer hardware"/>
    <x v="2"/>
    <s v="United States"/>
    <s v="Kingston Technology Corporation"/>
    <x v="1"/>
    <s v="U"/>
    <x v="0"/>
    <s v="President"/>
    <n v="117.24"/>
    <n v="7.5"/>
    <s v="$21,427,700,000,000 "/>
    <x v="1"/>
    <n v="101.8"/>
    <n v="78.5"/>
    <n v="9.6"/>
    <n v="36.6"/>
    <x v="1"/>
    <n v="37.090240000000001"/>
    <n v="-95.712890999999999"/>
  </r>
  <r>
    <n v="365"/>
    <x v="161"/>
    <x v="7"/>
    <s v="Xu Shihui"/>
    <n v="65"/>
    <x v="7"/>
    <x v="5"/>
    <s v="Quanzhou"/>
    <s v="Snacks, beverages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383"/>
    <x v="162"/>
    <x v="10"/>
    <s v="Rahel Blocher"/>
    <n v="47"/>
    <x v="7"/>
    <x v="8"/>
    <s v="Wilen bei Wollerau"/>
    <s v="Chemicals"/>
    <x v="10"/>
    <s v="Switzerland"/>
    <m/>
    <x v="0"/>
    <s v="D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383"/>
    <x v="162"/>
    <x v="7"/>
    <s v="Bubba Cathy"/>
    <n v="68"/>
    <x v="7"/>
    <x v="1"/>
    <s v="Atlanta"/>
    <s v="Chick-fil-A"/>
    <x v="7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83"/>
    <x v="162"/>
    <x v="7"/>
    <s v="Dan Cathy"/>
    <n v="70"/>
    <x v="7"/>
    <x v="1"/>
    <s v="Atlanta"/>
    <s v="Chick-fil-A"/>
    <x v="7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83"/>
    <x v="162"/>
    <x v="7"/>
    <s v="Trudy Cathy White"/>
    <n v="67"/>
    <x v="7"/>
    <x v="1"/>
    <s v="Hampton"/>
    <s v="Chick-fil-A"/>
    <x v="7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383"/>
    <x v="162"/>
    <x v="3"/>
    <s v="Bruce Kovner"/>
    <n v="78"/>
    <x v="0"/>
    <x v="1"/>
    <s v="New York"/>
    <s v="Hedge funds"/>
    <x v="3"/>
    <s v="United States"/>
    <s v="Caxton Associates LP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383"/>
    <x v="162"/>
    <x v="2"/>
    <s v="Henry Nicholas, III."/>
    <n v="63"/>
    <x v="3"/>
    <x v="1"/>
    <s v="Newport Coast"/>
    <s v="Semiconductors"/>
    <x v="2"/>
    <s v="United States"/>
    <s v="Broadcom"/>
    <x v="1"/>
    <s v="U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383"/>
    <x v="162"/>
    <x v="3"/>
    <s v="Nadia Thiele"/>
    <n v="47"/>
    <x v="7"/>
    <x v="7"/>
    <s v="Munich"/>
    <s v="Investments"/>
    <x v="3"/>
    <s v="Germany"/>
    <m/>
    <x v="0"/>
    <s v="U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390"/>
    <x v="163"/>
    <x v="3"/>
    <s v="David Bonderman"/>
    <n v="80"/>
    <x v="7"/>
    <x v="1"/>
    <s v="Fort Worth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390"/>
    <x v="163"/>
    <x v="2"/>
    <s v="Melinda French Gates"/>
    <n v="58"/>
    <x v="1"/>
    <x v="1"/>
    <s v="Medina"/>
    <s v="Microsoft"/>
    <x v="2"/>
    <s v="United States"/>
    <s v="Bill &amp; Melinda Gates Foundation"/>
    <x v="0"/>
    <s v="U"/>
    <x v="1"/>
    <s v="Cochair"/>
    <n v="117.24"/>
    <n v="7.5"/>
    <s v="$21,427,700,000,000 "/>
    <x v="1"/>
    <n v="101.8"/>
    <n v="78.5"/>
    <n v="9.6"/>
    <n v="36.6"/>
    <x v="1"/>
    <n v="37.090240000000001"/>
    <n v="-95.712890999999999"/>
  </r>
  <r>
    <n v="390"/>
    <x v="163"/>
    <x v="0"/>
    <s v="Nathan Kirsh"/>
    <n v="91"/>
    <x v="7"/>
    <x v="39"/>
    <s v="Ezulwini"/>
    <s v="Retail, real estate"/>
    <x v="0"/>
    <s v="Eswatini (Swaziland)"/>
    <m/>
    <x v="1"/>
    <s v="U"/>
    <x v="0"/>
    <m/>
    <m/>
    <m/>
    <m/>
    <x v="10"/>
    <m/>
    <m/>
    <m/>
    <m/>
    <x v="10"/>
    <m/>
    <m/>
  </r>
  <r>
    <n v="390"/>
    <x v="163"/>
    <x v="11"/>
    <s v="Annette Lerner &amp; family"/>
    <n v="93"/>
    <x v="7"/>
    <x v="1"/>
    <s v="Chevy Chase"/>
    <s v="Real estate"/>
    <x v="11"/>
    <s v="United States"/>
    <m/>
    <x v="0"/>
    <s v="N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390"/>
    <x v="163"/>
    <x v="11"/>
    <s v="David Reuben"/>
    <n v="84"/>
    <x v="7"/>
    <x v="13"/>
    <s v="London"/>
    <s v="Investments, real estate"/>
    <x v="11"/>
    <s v="United Kingdom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390"/>
    <x v="163"/>
    <x v="6"/>
    <s v="Simon Reuben"/>
    <n v="81"/>
    <x v="7"/>
    <x v="19"/>
    <s v="Monaco"/>
    <s v="Real estate, investments"/>
    <x v="6"/>
    <s v="United Kingdom"/>
    <m/>
    <x v="1"/>
    <s v="D"/>
    <x v="0"/>
    <m/>
    <m/>
    <m/>
    <s v="$7,184,844,193 "/>
    <x v="10"/>
    <m/>
    <m/>
    <m/>
    <m/>
    <x v="19"/>
    <n v="43.738417599999998"/>
    <n v="7.4246157999999998"/>
  </r>
  <r>
    <n v="390"/>
    <x v="163"/>
    <x v="11"/>
    <s v="Radovan Vitek"/>
    <n v="51"/>
    <x v="7"/>
    <x v="8"/>
    <s v="Crans Montana"/>
    <s v="Real estate"/>
    <x v="11"/>
    <s v="Czech Republic"/>
    <m/>
    <x v="1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397"/>
    <x v="164"/>
    <x v="3"/>
    <s v="Carl Bennet"/>
    <n v="71"/>
    <x v="7"/>
    <x v="21"/>
    <s v="Gothenberg"/>
    <s v="Investments"/>
    <x v="3"/>
    <s v="Sweden"/>
    <m/>
    <x v="1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397"/>
    <x v="164"/>
    <x v="17"/>
    <s v="Stephen Bisciotti"/>
    <n v="62"/>
    <x v="3"/>
    <x v="1"/>
    <s v="Hobe Sound"/>
    <s v="Staffing, Baltimore Ravens"/>
    <x v="17"/>
    <s v="United States"/>
    <s v="Baltimore Ravens"/>
    <x v="1"/>
    <s v="U"/>
    <x v="0"/>
    <s v="Owner"/>
    <n v="117.24"/>
    <n v="7.5"/>
    <s v="$21,427,700,000,000 "/>
    <x v="1"/>
    <n v="101.8"/>
    <n v="78.5"/>
    <n v="9.6"/>
    <n v="36.6"/>
    <x v="1"/>
    <n v="37.090240000000001"/>
    <n v="-95.712890999999999"/>
  </r>
  <r>
    <n v="397"/>
    <x v="164"/>
    <x v="3"/>
    <s v="Stanley Druckenmiller"/>
    <n v="69"/>
    <x v="3"/>
    <x v="1"/>
    <s v="New York"/>
    <s v="Hedge funds"/>
    <x v="3"/>
    <s v="United States"/>
    <s v="Duquesne Family Office"/>
    <x v="1"/>
    <s v="D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397"/>
    <x v="164"/>
    <x v="14"/>
    <s v="Jian Jun"/>
    <n v="59"/>
    <x v="7"/>
    <x v="5"/>
    <s v="Beijing"/>
    <s v="Biomedical products"/>
    <x v="14"/>
    <s v="China"/>
    <m/>
    <x v="1"/>
    <s v="U"/>
    <x v="1"/>
    <m/>
    <n v="125.08"/>
    <n v="2.9"/>
    <s v="$19,910,000,000,000 "/>
    <x v="5"/>
    <n v="100.2"/>
    <n v="77"/>
    <n v="9.4"/>
    <n v="59.2"/>
    <x v="5"/>
    <n v="35.861660000000001"/>
    <n v="104.195397"/>
  </r>
  <r>
    <n v="397"/>
    <x v="164"/>
    <x v="13"/>
    <s v="Alexei Kuzmichev"/>
    <n v="60"/>
    <x v="7"/>
    <x v="0"/>
    <s v="Paris"/>
    <s v="Oil, banking, telecom"/>
    <x v="13"/>
    <s v="Russia"/>
    <m/>
    <x v="1"/>
    <s v="U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397"/>
    <x v="164"/>
    <x v="10"/>
    <s v="Dmitry Rybolovlev &amp; family"/>
    <n v="56"/>
    <x v="7"/>
    <x v="19"/>
    <s v="Monaco"/>
    <s v="Fertilizer"/>
    <x v="10"/>
    <s v="Russia"/>
    <m/>
    <x v="1"/>
    <s v="D"/>
    <x v="0"/>
    <m/>
    <m/>
    <m/>
    <s v="$7,184,844,193 "/>
    <x v="10"/>
    <m/>
    <m/>
    <m/>
    <m/>
    <x v="19"/>
    <n v="43.738417599999998"/>
    <n v="7.4246157999999998"/>
  </r>
  <r>
    <n v="397"/>
    <x v="164"/>
    <x v="3"/>
    <s v="Luis Carlos Sarmiento"/>
    <n v="90"/>
    <x v="7"/>
    <x v="40"/>
    <s v="Bogota"/>
    <s v="Banking"/>
    <x v="3"/>
    <s v="Colombia"/>
    <m/>
    <x v="1"/>
    <s v="D"/>
    <x v="0"/>
    <m/>
    <n v="140.94999999999999"/>
    <n v="3.5"/>
    <s v="$323,802,808,108 "/>
    <x v="35"/>
    <n v="114.5"/>
    <n v="77.099999999999994"/>
    <n v="14.4"/>
    <n v="71.2"/>
    <x v="37"/>
    <n v="4.5708679999999999"/>
    <n v="-74.297332999999995"/>
  </r>
  <r>
    <n v="397"/>
    <x v="164"/>
    <x v="8"/>
    <s v="Dennis Washington"/>
    <n v="88"/>
    <x v="7"/>
    <x v="1"/>
    <s v="Missoula"/>
    <s v="Construction, mining"/>
    <x v="8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05"/>
    <x v="165"/>
    <x v="16"/>
    <s v="Anthony Bamford &amp; family"/>
    <n v="77"/>
    <x v="7"/>
    <x v="13"/>
    <s v="Gloucestershire"/>
    <s v="Construction equipment"/>
    <x v="16"/>
    <s v="United Kingdom"/>
    <m/>
    <x v="0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405"/>
    <x v="165"/>
    <x v="13"/>
    <s v="Gao Jifan &amp; family"/>
    <n v="58"/>
    <x v="7"/>
    <x v="5"/>
    <s v="Changzhou"/>
    <s v="Solar equipment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405"/>
    <x v="165"/>
    <x v="3"/>
    <s v="John Grayken"/>
    <n v="66"/>
    <x v="7"/>
    <x v="13"/>
    <s v="London"/>
    <s v="Private equity"/>
    <x v="3"/>
    <s v="Ireland"/>
    <m/>
    <x v="1"/>
    <s v="D"/>
    <x v="0"/>
    <s v="Investor"/>
    <n v="119.62"/>
    <n v="1.7"/>
    <s v="$2,827,113,184,696 "/>
    <x v="13"/>
    <n v="101.2"/>
    <n v="81.3"/>
    <n v="25.5"/>
    <n v="30.6"/>
    <x v="13"/>
    <n v="55.378050999999999"/>
    <n v="-3.4359730000000002"/>
  </r>
  <r>
    <n v="405"/>
    <x v="165"/>
    <x v="14"/>
    <s v="Alain Merieux &amp; family"/>
    <n v="85"/>
    <x v="7"/>
    <x v="0"/>
    <s v="Lyon"/>
    <s v="Pharmaceuticals"/>
    <x v="14"/>
    <s v="France"/>
    <m/>
    <x v="0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405"/>
    <x v="165"/>
    <x v="13"/>
    <s v="Wang Yusuo &amp; family"/>
    <n v="59"/>
    <x v="7"/>
    <x v="5"/>
    <s v="Langfang"/>
    <s v="Natural gas distribution"/>
    <x v="13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405"/>
    <x v="165"/>
    <x v="10"/>
    <s v="Stef Wertheimer &amp; family"/>
    <n v="96"/>
    <x v="7"/>
    <x v="27"/>
    <s v="Tel Aviv"/>
    <s v="Metalworking tools"/>
    <x v="10"/>
    <s v="Israel"/>
    <m/>
    <x v="1"/>
    <s v="U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411"/>
    <x v="166"/>
    <x v="7"/>
    <s v="Maria Asuncion Aramburuzabala &amp; family"/>
    <n v="59"/>
    <x v="7"/>
    <x v="2"/>
    <s v="Mexico City"/>
    <s v="Beer, investments"/>
    <x v="7"/>
    <s v="Mexico"/>
    <m/>
    <x v="0"/>
    <s v="E"/>
    <x v="1"/>
    <m/>
    <n v="141.54"/>
    <n v="3.6"/>
    <s v="$1,258,286,717,125 "/>
    <x v="2"/>
    <n v="105.8"/>
    <n v="75"/>
    <n v="13.1"/>
    <n v="55.1"/>
    <x v="2"/>
    <n v="23.634501"/>
    <n v="-102.552784"/>
  </r>
  <r>
    <n v="411"/>
    <x v="166"/>
    <x v="6"/>
    <s v="Gustaf Douglas"/>
    <n v="85"/>
    <x v="7"/>
    <x v="21"/>
    <s v="Stockholm"/>
    <s v="Investments"/>
    <x v="6"/>
    <s v="Sweden"/>
    <m/>
    <x v="1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411"/>
    <x v="166"/>
    <x v="15"/>
    <s v="Frits Goldschmeding"/>
    <n v="89"/>
    <x v="7"/>
    <x v="41"/>
    <s v="Amsterdam"/>
    <s v="Temp agency"/>
    <x v="15"/>
    <s v="Netherlands"/>
    <m/>
    <x v="1"/>
    <s v="U"/>
    <x v="0"/>
    <m/>
    <n v="115.91"/>
    <n v="2.6"/>
    <s v="$909,070,395,161 "/>
    <x v="36"/>
    <n v="104.2"/>
    <n v="81.8"/>
    <n v="23"/>
    <n v="41.2"/>
    <x v="38"/>
    <n v="52.132632999999998"/>
    <n v="5.2912660000000002"/>
  </r>
  <r>
    <n v="411"/>
    <x v="166"/>
    <x v="7"/>
    <s v="Lin Muqin &amp; family"/>
    <n v="59"/>
    <x v="7"/>
    <x v="5"/>
    <s v="Shenzhen"/>
    <s v="Beverages"/>
    <x v="7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411"/>
    <x v="166"/>
    <x v="10"/>
    <s v="Ruan Liping"/>
    <n v="59"/>
    <x v="7"/>
    <x v="5"/>
    <s v="Ningbo"/>
    <s v="Power strips"/>
    <x v="10"/>
    <s v="Hong Kong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411"/>
    <x v="166"/>
    <x v="10"/>
    <s v="Ruan Xueping"/>
    <n v="51"/>
    <x v="7"/>
    <x v="5"/>
    <s v="Ningbo"/>
    <s v="Power strip"/>
    <x v="10"/>
    <s v="Hong Kong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411"/>
    <x v="166"/>
    <x v="3"/>
    <s v="Michal Solowow"/>
    <n v="60"/>
    <x v="7"/>
    <x v="42"/>
    <s v="Kielce"/>
    <s v="Investments"/>
    <x v="3"/>
    <s v="Poland"/>
    <m/>
    <x v="1"/>
    <s v="E"/>
    <x v="0"/>
    <m/>
    <n v="114.11"/>
    <n v="2.2000000000000002"/>
    <s v="$592,164,400,688 "/>
    <x v="37"/>
    <n v="100"/>
    <n v="77.599999999999994"/>
    <n v="17.399999999999999"/>
    <n v="40.799999999999997"/>
    <x v="39"/>
    <n v="51.919438"/>
    <n v="19.145136000000001"/>
  </r>
  <r>
    <n v="418"/>
    <x v="167"/>
    <x v="6"/>
    <s v="Mike Adenuga"/>
    <n v="69"/>
    <x v="7"/>
    <x v="26"/>
    <s v="Lagos"/>
    <s v="Telecom, oil"/>
    <x v="6"/>
    <s v="Nigeria"/>
    <m/>
    <x v="1"/>
    <s v="D"/>
    <x v="0"/>
    <m/>
    <n v="267.51"/>
    <n v="11.4"/>
    <s v="$448,120,428,859 "/>
    <x v="24"/>
    <n v="84.7"/>
    <n v="54.3"/>
    <n v="1.5"/>
    <n v="34.799999999999997"/>
    <x v="25"/>
    <n v="9.0819989999999997"/>
    <n v="8.6752769999999995"/>
  </r>
  <r>
    <n v="418"/>
    <x v="167"/>
    <x v="3"/>
    <s v="Tom Gores"/>
    <n v="58"/>
    <x v="7"/>
    <x v="1"/>
    <s v="Beverly Hills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18"/>
    <x v="167"/>
    <x v="0"/>
    <s v="Michael Herz"/>
    <n v="79"/>
    <x v="7"/>
    <x v="7"/>
    <s v="Hamburg"/>
    <s v="Coffee"/>
    <x v="0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418"/>
    <x v="167"/>
    <x v="0"/>
    <s v="Wolfgang Herz"/>
    <n v="72"/>
    <x v="7"/>
    <x v="7"/>
    <s v="Hamburg"/>
    <s v="Coffee"/>
    <x v="0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418"/>
    <x v="167"/>
    <x v="13"/>
    <s v="Michael Kadoorie"/>
    <n v="81"/>
    <x v="7"/>
    <x v="10"/>
    <s v="Hong Kong"/>
    <s v="Hotels, energy"/>
    <x v="13"/>
    <s v="Hong Kong"/>
    <m/>
    <x v="0"/>
    <s v="D"/>
    <x v="0"/>
    <m/>
    <m/>
    <m/>
    <m/>
    <x v="10"/>
    <m/>
    <m/>
    <m/>
    <m/>
    <x v="10"/>
    <m/>
    <m/>
  </r>
  <r>
    <n v="418"/>
    <x v="167"/>
    <x v="5"/>
    <s v="Sunil Mittal"/>
    <n v="65"/>
    <x v="7"/>
    <x v="22"/>
    <m/>
    <s v="Telecom"/>
    <x v="5"/>
    <s v="India"/>
    <m/>
    <x v="1"/>
    <s v="Split Family Fortune"/>
    <x v="0"/>
    <m/>
    <m/>
    <m/>
    <m/>
    <x v="10"/>
    <m/>
    <m/>
    <m/>
    <m/>
    <x v="10"/>
    <m/>
    <m/>
  </r>
  <r>
    <n v="418"/>
    <x v="167"/>
    <x v="2"/>
    <s v="Zhou Qunfei"/>
    <n v="53"/>
    <x v="7"/>
    <x v="10"/>
    <s v="Hong Kong"/>
    <s v="Smartphone screens"/>
    <x v="2"/>
    <s v="Hong Kong"/>
    <s v="Lens Technology"/>
    <x v="1"/>
    <s v="D"/>
    <x v="1"/>
    <s v="Founder and CEO"/>
    <m/>
    <m/>
    <m/>
    <x v="10"/>
    <m/>
    <m/>
    <m/>
    <m/>
    <x v="10"/>
    <m/>
    <m/>
  </r>
  <r>
    <n v="425"/>
    <x v="168"/>
    <x v="12"/>
    <s v="Alexander Abramov"/>
    <n v="64"/>
    <x v="7"/>
    <x v="17"/>
    <s v="Moscow"/>
    <s v="Steel, mining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425"/>
    <x v="168"/>
    <x v="11"/>
    <s v="Rene Benko"/>
    <n v="46"/>
    <x v="7"/>
    <x v="11"/>
    <m/>
    <s v="Real estate, retail"/>
    <x v="11"/>
    <s v="Austria"/>
    <m/>
    <x v="1"/>
    <s v="U"/>
    <x v="0"/>
    <m/>
    <n v="118.06"/>
    <n v="1.5"/>
    <s v="$446,314,739,528 "/>
    <x v="11"/>
    <n v="103.1"/>
    <n v="81.599999999999994"/>
    <n v="25.4"/>
    <n v="51.4"/>
    <x v="11"/>
    <n v="47.516230999999998"/>
    <n v="14.550072"/>
  </r>
  <r>
    <n v="425"/>
    <x v="168"/>
    <x v="11"/>
    <s v="Neil Bluhm"/>
    <n v="85"/>
    <x v="7"/>
    <x v="1"/>
    <s v="Chicago"/>
    <s v="Real estate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25"/>
    <x v="168"/>
    <x v="0"/>
    <s v="Alain Bouchard"/>
    <n v="74"/>
    <x v="0"/>
    <x v="6"/>
    <s v="Montreal"/>
    <s v="Convinience stores"/>
    <x v="0"/>
    <s v="Canada"/>
    <s v="Alimentation Couche Tard Inc. Cl A"/>
    <x v="1"/>
    <s v="U"/>
    <x v="0"/>
    <s v="Chairman and CEO"/>
    <n v="116.76"/>
    <n v="1.9"/>
    <s v="$1,736,425,629,520 "/>
    <x v="6"/>
    <n v="100.9"/>
    <n v="81.900000000000006"/>
    <n v="12.8"/>
    <n v="24.5"/>
    <x v="6"/>
    <n v="56.130366000000002"/>
    <n v="-106.346771"/>
  </r>
  <r>
    <n v="425"/>
    <x v="168"/>
    <x v="2"/>
    <s v="Jay Chaudhry"/>
    <n v="63"/>
    <x v="7"/>
    <x v="1"/>
    <s v="Reno"/>
    <s v="Security software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25"/>
    <x v="168"/>
    <x v="0"/>
    <s v="Gopikishan Damani"/>
    <n v="65"/>
    <x v="7"/>
    <x v="3"/>
    <s v="Mumbai"/>
    <s v="Retail, investments"/>
    <x v="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425"/>
    <x v="168"/>
    <x v="6"/>
    <s v="Sumet Jiaravanon"/>
    <n v="88"/>
    <x v="7"/>
    <x v="23"/>
    <s v="Bangkok"/>
    <s v="Diversified"/>
    <x v="6"/>
    <s v="Thailand"/>
    <m/>
    <x v="0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425"/>
    <x v="168"/>
    <x v="3"/>
    <s v="Joe Lewis"/>
    <n v="86"/>
    <x v="7"/>
    <x v="43"/>
    <s v="Albany"/>
    <s v="Investments"/>
    <x v="3"/>
    <s v="United Kingdom"/>
    <m/>
    <x v="1"/>
    <s v="U"/>
    <x v="0"/>
    <m/>
    <m/>
    <m/>
    <m/>
    <x v="10"/>
    <m/>
    <m/>
    <m/>
    <m/>
    <x v="10"/>
    <m/>
    <m/>
  </r>
  <r>
    <n v="425"/>
    <x v="168"/>
    <x v="3"/>
    <s v="Frank Lowy"/>
    <n v="92"/>
    <x v="7"/>
    <x v="27"/>
    <s v="Tel Aviv"/>
    <s v="Investments"/>
    <x v="3"/>
    <s v="Australia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425"/>
    <x v="168"/>
    <x v="3"/>
    <s v="Michael Milken"/>
    <n v="76"/>
    <x v="7"/>
    <x v="1"/>
    <s v="Los Angeles"/>
    <s v="Investments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25"/>
    <x v="168"/>
    <x v="2"/>
    <s v="David Steward"/>
    <n v="71"/>
    <x v="7"/>
    <x v="1"/>
    <s v="St. Louis"/>
    <s v="IT provider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25"/>
    <x v="168"/>
    <x v="0"/>
    <s v="Les Wexner &amp; family"/>
    <n v="85"/>
    <x v="7"/>
    <x v="1"/>
    <s v="New Albany"/>
    <s v="Retail"/>
    <x v="0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37"/>
    <x v="169"/>
    <x v="11"/>
    <s v="Cai Kui"/>
    <n v="60"/>
    <x v="7"/>
    <x v="5"/>
    <s v="Chengdu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437"/>
    <x v="169"/>
    <x v="6"/>
    <s v="Jaran Chiaravanont"/>
    <n v="93"/>
    <x v="7"/>
    <x v="23"/>
    <s v="Bangkok"/>
    <s v="Diversified"/>
    <x v="6"/>
    <s v="Thailand"/>
    <m/>
    <x v="0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437"/>
    <x v="169"/>
    <x v="3"/>
    <s v="Andreas Halvorsen"/>
    <n v="61"/>
    <x v="3"/>
    <x v="1"/>
    <s v="Darien"/>
    <s v="Hedge funds"/>
    <x v="3"/>
    <s v="Norway"/>
    <s v="Viking Global Investors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437"/>
    <x v="169"/>
    <x v="3"/>
    <s v="Antony Ressler"/>
    <n v="62"/>
    <x v="7"/>
    <x v="1"/>
    <s v="Los Angeles"/>
    <s v="Finance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37"/>
    <x v="169"/>
    <x v="7"/>
    <s v="Tsai Eng-meng"/>
    <n v="66"/>
    <x v="7"/>
    <x v="5"/>
    <s v="Shanghai"/>
    <s v="Food, beverages"/>
    <x v="7"/>
    <s v="Taiwan"/>
    <m/>
    <x v="0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442"/>
    <x v="170"/>
    <x v="3"/>
    <s v="Josh Harris"/>
    <n v="58"/>
    <x v="7"/>
    <x v="1"/>
    <s v="Miami"/>
    <s v="Private equity"/>
    <x v="3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42"/>
    <x v="170"/>
    <x v="14"/>
    <s v="Niels Peter Louis-Hansen"/>
    <n v="75"/>
    <x v="7"/>
    <x v="38"/>
    <s v="Humlebaek"/>
    <s v="Medical devices"/>
    <x v="14"/>
    <s v="Denmark"/>
    <m/>
    <x v="0"/>
    <s v="D"/>
    <x v="0"/>
    <m/>
    <n v="110.35"/>
    <n v="0.8"/>
    <s v="$348,078,018,464 "/>
    <x v="34"/>
    <n v="101.3"/>
    <n v="81"/>
    <n v="32.4"/>
    <n v="23.8"/>
    <x v="36"/>
    <n v="56.263919999999999"/>
    <n v="9.5017849999999999"/>
  </r>
  <r>
    <n v="442"/>
    <x v="170"/>
    <x v="14"/>
    <s v="Patrick Soon-Shiong"/>
    <n v="70"/>
    <x v="7"/>
    <x v="1"/>
    <s v="Los Angeles"/>
    <s v="Pharmaceuticals"/>
    <x v="1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45"/>
    <x v="171"/>
    <x v="12"/>
    <s v="Rinat Akhmetov"/>
    <n v="56"/>
    <x v="7"/>
    <x v="44"/>
    <s v="Donetsk"/>
    <s v="Steel, coal"/>
    <x v="12"/>
    <s v="Ukraine"/>
    <m/>
    <x v="1"/>
    <s v="U"/>
    <x v="0"/>
    <m/>
    <n v="281.66000000000003"/>
    <n v="7.9"/>
    <s v="$153,781,069,118 "/>
    <x v="38"/>
    <n v="99"/>
    <n v="71.599999999999994"/>
    <n v="20.100000000000001"/>
    <n v="45.2"/>
    <x v="40"/>
    <n v="48.379432999999999"/>
    <n v="31.165579999999999"/>
  </r>
  <r>
    <n v="445"/>
    <x v="171"/>
    <x v="14"/>
    <s v="John Brown"/>
    <n v="88"/>
    <x v="7"/>
    <x v="1"/>
    <s v="Atlanta"/>
    <s v="Medical equipment"/>
    <x v="1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45"/>
    <x v="171"/>
    <x v="4"/>
    <s v="Clive Calder"/>
    <n v="76"/>
    <x v="7"/>
    <x v="45"/>
    <s v="Grand Cayman"/>
    <s v="Record label"/>
    <x v="4"/>
    <s v="United Kingdom"/>
    <m/>
    <x v="1"/>
    <s v="E"/>
    <x v="0"/>
    <m/>
    <m/>
    <m/>
    <m/>
    <x v="10"/>
    <m/>
    <m/>
    <m/>
    <m/>
    <x v="10"/>
    <m/>
    <m/>
  </r>
  <r>
    <n v="445"/>
    <x v="171"/>
    <x v="13"/>
    <s v="Arthur Irving"/>
    <n v="93"/>
    <x v="7"/>
    <x v="6"/>
    <s v="Saint John"/>
    <s v="Oil"/>
    <x v="13"/>
    <s v="Canada"/>
    <m/>
    <x v="0"/>
    <s v="U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445"/>
    <x v="171"/>
    <x v="11"/>
    <s v="Fredrik Lundberg"/>
    <n v="71"/>
    <x v="7"/>
    <x v="21"/>
    <s v="Stockholm"/>
    <s v="Real estate, investments"/>
    <x v="11"/>
    <s v="Sweden"/>
    <m/>
    <x v="0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445"/>
    <x v="171"/>
    <x v="16"/>
    <s v="Thomas Schmidheiny"/>
    <n v="77"/>
    <x v="7"/>
    <x v="8"/>
    <s v="Jona"/>
    <s v="Cement"/>
    <x v="16"/>
    <s v="Switzerland"/>
    <m/>
    <x v="0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445"/>
    <x v="171"/>
    <x v="8"/>
    <s v="Helmut Sohmen"/>
    <n v="83"/>
    <x v="7"/>
    <x v="10"/>
    <s v="Hong Kong"/>
    <s v="Shipping"/>
    <x v="8"/>
    <s v="Austria"/>
    <m/>
    <x v="0"/>
    <s v="U"/>
    <x v="0"/>
    <m/>
    <m/>
    <m/>
    <m/>
    <x v="10"/>
    <m/>
    <m/>
    <m/>
    <m/>
    <x v="10"/>
    <m/>
    <m/>
  </r>
  <r>
    <n v="445"/>
    <x v="171"/>
    <x v="3"/>
    <s v="Daniel Ziff"/>
    <n v="51"/>
    <x v="7"/>
    <x v="1"/>
    <s v="New York"/>
    <s v="Investments"/>
    <x v="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45"/>
    <x v="171"/>
    <x v="3"/>
    <s v="Dirk Ziff"/>
    <n v="59"/>
    <x v="7"/>
    <x v="1"/>
    <s v="North Palm Beach"/>
    <s v="Investments"/>
    <x v="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45"/>
    <x v="171"/>
    <x v="3"/>
    <s v="Robert Ziff"/>
    <n v="56"/>
    <x v="7"/>
    <x v="1"/>
    <s v="New York"/>
    <s v="Investments"/>
    <x v="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55"/>
    <x v="172"/>
    <x v="8"/>
    <s v="Maria Angelicoussis"/>
    <n v="41"/>
    <x v="7"/>
    <x v="46"/>
    <m/>
    <s v="Shipping"/>
    <x v="8"/>
    <s v="Greece"/>
    <m/>
    <x v="0"/>
    <s v="N"/>
    <x v="1"/>
    <m/>
    <n v="101.87"/>
    <n v="0.2"/>
    <s v="$209,852,761,469 "/>
    <x v="39"/>
    <n v="99.6"/>
    <n v="81.3"/>
    <n v="26.2"/>
    <n v="51.9"/>
    <x v="41"/>
    <n v="39.074207999999999"/>
    <n v="21.824311999999999"/>
  </r>
  <r>
    <n v="455"/>
    <x v="172"/>
    <x v="13"/>
    <s v="Ray Lee Hunt"/>
    <n v="79"/>
    <x v="7"/>
    <x v="1"/>
    <s v="Dallas"/>
    <s v="Oil, real estate"/>
    <x v="13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55"/>
    <x v="172"/>
    <x v="8"/>
    <s v="Lai Meisong"/>
    <n v="52"/>
    <x v="7"/>
    <x v="5"/>
    <s v="Shanghai"/>
    <s v="Package delivery"/>
    <x v="8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455"/>
    <x v="172"/>
    <x v="1"/>
    <s v="Vikram Lal &amp; family"/>
    <n v="81"/>
    <x v="7"/>
    <x v="3"/>
    <s v="Delhi"/>
    <s v="Motorcycles"/>
    <x v="1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455"/>
    <x v="172"/>
    <x v="3"/>
    <s v="Ken Langone"/>
    <n v="87"/>
    <x v="7"/>
    <x v="1"/>
    <s v="Sands Point"/>
    <s v="Investments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55"/>
    <x v="172"/>
    <x v="14"/>
    <s v="Li Ge"/>
    <n v="56"/>
    <x v="7"/>
    <x v="5"/>
    <s v="Shanghai"/>
    <s v="Pharmaceutical ingredients"/>
    <x v="14"/>
    <s v="United States"/>
    <m/>
    <x v="1"/>
    <s v="Split Family Fortune"/>
    <x v="0"/>
    <m/>
    <n v="125.08"/>
    <n v="2.9"/>
    <s v="$19,910,000,000,000 "/>
    <x v="5"/>
    <n v="100.2"/>
    <n v="77"/>
    <n v="9.4"/>
    <n v="59.2"/>
    <x v="5"/>
    <n v="35.861660000000001"/>
    <n v="104.195397"/>
  </r>
  <r>
    <n v="455"/>
    <x v="172"/>
    <x v="3"/>
    <s v="Karen Pritzker"/>
    <n v="65"/>
    <x v="7"/>
    <x v="1"/>
    <s v="Branford"/>
    <s v="Hotels, investments"/>
    <x v="3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455"/>
    <x v="172"/>
    <x v="15"/>
    <s v="Robert Rowling"/>
    <n v="69"/>
    <x v="7"/>
    <x v="1"/>
    <s v="Dallas"/>
    <s v="Hotels, investments"/>
    <x v="15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55"/>
    <x v="172"/>
    <x v="9"/>
    <s v="Teddy Sagi"/>
    <n v="51"/>
    <x v="7"/>
    <x v="27"/>
    <s v="Tel Aviv"/>
    <s v="Gambling software"/>
    <x v="9"/>
    <s v="Israel"/>
    <m/>
    <x v="1"/>
    <s v="E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455"/>
    <x v="172"/>
    <x v="14"/>
    <s v="Seo Jung-jin"/>
    <n v="65"/>
    <x v="7"/>
    <x v="32"/>
    <s v="Seoul"/>
    <s v="Biotech"/>
    <x v="14"/>
    <s v="South Korea"/>
    <s v="Celltrion Inc."/>
    <x v="1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455"/>
    <x v="172"/>
    <x v="1"/>
    <s v="Wu Jianshu"/>
    <n v="59"/>
    <x v="7"/>
    <x v="5"/>
    <s v="Ningbo"/>
    <s v="Auto parts"/>
    <x v="1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466"/>
    <x v="173"/>
    <x v="15"/>
    <s v="Micky Arison"/>
    <n v="73"/>
    <x v="0"/>
    <x v="1"/>
    <s v="Bal Harbour"/>
    <s v="Carnival Cruises"/>
    <x v="15"/>
    <s v="United States"/>
    <s v="Carnival Corp."/>
    <x v="0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466"/>
    <x v="173"/>
    <x v="4"/>
    <s v="James Chambers"/>
    <n v="65"/>
    <x v="7"/>
    <x v="1"/>
    <s v="Palisades"/>
    <s v="Media, automotive"/>
    <x v="4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66"/>
    <x v="173"/>
    <x v="2"/>
    <s v="Pierre Chen"/>
    <n v="66"/>
    <x v="7"/>
    <x v="35"/>
    <s v="Taipei"/>
    <s v="Electronics"/>
    <x v="2"/>
    <s v="Taiwan"/>
    <m/>
    <x v="1"/>
    <s v="U"/>
    <x v="0"/>
    <m/>
    <m/>
    <m/>
    <m/>
    <x v="10"/>
    <m/>
    <m/>
    <m/>
    <m/>
    <x v="10"/>
    <m/>
    <m/>
  </r>
  <r>
    <n v="466"/>
    <x v="173"/>
    <x v="2"/>
    <s v="John Collison"/>
    <n v="32"/>
    <x v="6"/>
    <x v="1"/>
    <s v="San Francisco"/>
    <s v="Payments software"/>
    <x v="2"/>
    <s v="Ireland"/>
    <s v="Stripe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466"/>
    <x v="173"/>
    <x v="2"/>
    <s v="Patrick Collison"/>
    <n v="34"/>
    <x v="6"/>
    <x v="1"/>
    <s v="San Francisco"/>
    <s v="Payment software"/>
    <x v="2"/>
    <s v="Ireland"/>
    <s v="Stripe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466"/>
    <x v="173"/>
    <x v="10"/>
    <s v="Archie Aldis Emmerson &amp; family"/>
    <n v="93"/>
    <x v="7"/>
    <x v="1"/>
    <s v="Redding"/>
    <s v="Timberland, lumber mills"/>
    <x v="10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66"/>
    <x v="173"/>
    <x v="1"/>
    <s v="Piero Ferrari"/>
    <n v="77"/>
    <x v="7"/>
    <x v="28"/>
    <s v="Modena"/>
    <s v="Automobiles"/>
    <x v="1"/>
    <s v="Italy"/>
    <m/>
    <x v="0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466"/>
    <x v="173"/>
    <x v="1"/>
    <s v="Dan Friedkin"/>
    <n v="58"/>
    <x v="1"/>
    <x v="1"/>
    <s v="Houston"/>
    <s v="Toyota dealerships"/>
    <x v="1"/>
    <s v="United States"/>
    <s v="Gulf States Toyota"/>
    <x v="0"/>
    <s v="U"/>
    <x v="0"/>
    <s v="owner and ceo"/>
    <n v="117.24"/>
    <n v="7.5"/>
    <s v="$21,427,700,000,000 "/>
    <x v="1"/>
    <n v="101.8"/>
    <n v="78.5"/>
    <n v="9.6"/>
    <n v="36.6"/>
    <x v="1"/>
    <n v="37.090240000000001"/>
    <n v="-95.712890999999999"/>
  </r>
  <r>
    <n v="466"/>
    <x v="173"/>
    <x v="6"/>
    <s v="James Irving"/>
    <n v="95"/>
    <x v="7"/>
    <x v="6"/>
    <s v="Saint John"/>
    <s v="Diversified"/>
    <x v="6"/>
    <s v="Canada"/>
    <m/>
    <x v="0"/>
    <s v="U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466"/>
    <x v="173"/>
    <x v="10"/>
    <s v="Jiang Weiping &amp; family"/>
    <n v="68"/>
    <x v="7"/>
    <x v="5"/>
    <s v="Chengdu"/>
    <s v="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466"/>
    <x v="173"/>
    <x v="14"/>
    <s v="Wolfgang Marguerre &amp; family"/>
    <n v="81"/>
    <x v="7"/>
    <x v="7"/>
    <s v="Heidelberg"/>
    <s v="Pharmaceuticals"/>
    <x v="14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466"/>
    <x v="173"/>
    <x v="3"/>
    <s v="Ludwig Merckle"/>
    <n v="58"/>
    <x v="7"/>
    <x v="7"/>
    <s v="Ulm"/>
    <s v="Pharmaceuticals"/>
    <x v="3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466"/>
    <x v="173"/>
    <x v="10"/>
    <s v="Mitchell Rales"/>
    <n v="66"/>
    <x v="7"/>
    <x v="1"/>
    <s v="Potomac"/>
    <s v="Manufacturing, investments"/>
    <x v="10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66"/>
    <x v="173"/>
    <x v="4"/>
    <s v="Katharine Rayner"/>
    <n v="78"/>
    <x v="7"/>
    <x v="1"/>
    <s v="East Hampton"/>
    <s v="Media, automotive"/>
    <x v="4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466"/>
    <x v="173"/>
    <x v="3"/>
    <s v="Jean Salata"/>
    <n v="57"/>
    <x v="7"/>
    <x v="10"/>
    <s v="Hong Kong"/>
    <s v="Finance"/>
    <x v="3"/>
    <s v="Chile"/>
    <m/>
    <x v="1"/>
    <s v="U"/>
    <x v="0"/>
    <m/>
    <m/>
    <m/>
    <m/>
    <x v="10"/>
    <m/>
    <m/>
    <m/>
    <m/>
    <x v="10"/>
    <m/>
    <m/>
  </r>
  <r>
    <n v="466"/>
    <x v="173"/>
    <x v="3"/>
    <s v="Paul Singer"/>
    <n v="78"/>
    <x v="0"/>
    <x v="1"/>
    <s v="New York"/>
    <s v="Hedge funds"/>
    <x v="3"/>
    <s v="United States"/>
    <s v="Elliott Management"/>
    <x v="1"/>
    <s v="U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466"/>
    <x v="173"/>
    <x v="14"/>
    <s v="Sergio Stevanato &amp; family"/>
    <n v="80"/>
    <x v="7"/>
    <x v="28"/>
    <s v="Venice"/>
    <s v="Medical packaging"/>
    <x v="14"/>
    <s v="Italy"/>
    <m/>
    <x v="1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466"/>
    <x v="173"/>
    <x v="4"/>
    <s v="Margaretta Taylor"/>
    <n v="80"/>
    <x v="7"/>
    <x v="1"/>
    <s v="Southampton"/>
    <s v="Media, automotive"/>
    <x v="4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466"/>
    <x v="173"/>
    <x v="2"/>
    <s v="Richard White"/>
    <n v="68"/>
    <x v="7"/>
    <x v="14"/>
    <s v="Sydney"/>
    <s v="Software"/>
    <x v="2"/>
    <s v="Australia"/>
    <m/>
    <x v="1"/>
    <s v="U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466"/>
    <x v="173"/>
    <x v="6"/>
    <s v="Zhao Yan"/>
    <n v="56"/>
    <x v="7"/>
    <x v="5"/>
    <s v="Beijing"/>
    <s v="Biotech"/>
    <x v="6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486"/>
    <x v="174"/>
    <x v="0"/>
    <s v="Patrizio Bertelli"/>
    <n v="77"/>
    <x v="7"/>
    <x v="28"/>
    <s v="Milan"/>
    <s v="Luxury goods"/>
    <x v="0"/>
    <s v="Italy"/>
    <m/>
    <x v="1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486"/>
    <x v="174"/>
    <x v="10"/>
    <s v="Mahendra Choksi &amp; family"/>
    <n v="81"/>
    <x v="7"/>
    <x v="3"/>
    <s v="Mumbai"/>
    <s v="Paints"/>
    <x v="10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486"/>
    <x v="174"/>
    <x v="3"/>
    <s v="Mat Ishbia"/>
    <n v="43"/>
    <x v="7"/>
    <x v="1"/>
    <s v="Bloomfield Hills"/>
    <s v="Mortgage lender"/>
    <x v="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86"/>
    <x v="174"/>
    <x v="2"/>
    <s v="Leo Koguan"/>
    <n v="68"/>
    <x v="7"/>
    <x v="25"/>
    <s v="Singapore"/>
    <s v="IT provider"/>
    <x v="2"/>
    <s v="United States"/>
    <m/>
    <x v="1"/>
    <s v="D"/>
    <x v="0"/>
    <m/>
    <n v="114.41"/>
    <n v="0.6"/>
    <s v="$372,062,527,489 "/>
    <x v="23"/>
    <n v="100.6"/>
    <n v="83.1"/>
    <n v="13.1"/>
    <n v="21"/>
    <x v="24"/>
    <n v="1.3520829999999999"/>
    <n v="103.819836"/>
  </r>
  <r>
    <n v="486"/>
    <x v="174"/>
    <x v="6"/>
    <s v="Miao Hangen"/>
    <n v="58"/>
    <x v="7"/>
    <x v="5"/>
    <s v="Suzhou"/>
    <s v="Textiles, petrochemicals"/>
    <x v="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486"/>
    <x v="174"/>
    <x v="10"/>
    <s v="Michael Pieper"/>
    <n v="77"/>
    <x v="0"/>
    <x v="8"/>
    <s v="Lucerne"/>
    <s v="Kitchen appliances"/>
    <x v="10"/>
    <s v="Switzerland"/>
    <s v="Artemis Real Estate Partners"/>
    <x v="1"/>
    <s v="U"/>
    <x v="0"/>
    <s v="CEO of Artemis Group"/>
    <n v="99.55"/>
    <n v="0.4"/>
    <s v="$703,082,435,360 "/>
    <x v="8"/>
    <n v="105.2"/>
    <n v="83.6"/>
    <n v="10.1"/>
    <n v="28.8"/>
    <x v="8"/>
    <n v="46.818187999999999"/>
    <n v="8.2275120000000008"/>
  </r>
  <r>
    <n v="486"/>
    <x v="174"/>
    <x v="0"/>
    <s v="Miuccia Prada"/>
    <n v="73"/>
    <x v="0"/>
    <x v="28"/>
    <s v="Milan"/>
    <s v="Luxury goods"/>
    <x v="0"/>
    <s v="Italy"/>
    <s v="Prada"/>
    <x v="0"/>
    <s v="U"/>
    <x v="1"/>
    <s v="CEO, Fashion Designer"/>
    <n v="110.62"/>
    <n v="0.6"/>
    <s v="$2,001,244,392,042 "/>
    <x v="26"/>
    <n v="101.9"/>
    <n v="82.9"/>
    <n v="24.3"/>
    <n v="59.1"/>
    <x v="27"/>
    <n v="41.871940000000002"/>
    <n v="12.56738"/>
  </r>
  <r>
    <n v="486"/>
    <x v="174"/>
    <x v="0"/>
    <s v="Wolfgang Reimann"/>
    <n v="70"/>
    <x v="7"/>
    <x v="7"/>
    <s v="Passau"/>
    <s v="Consumer goods"/>
    <x v="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486"/>
    <x v="174"/>
    <x v="0"/>
    <s v="Matthias Reimann-Andersen"/>
    <n v="58"/>
    <x v="7"/>
    <x v="7"/>
    <s v="Munich"/>
    <s v="Consumer goods"/>
    <x v="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486"/>
    <x v="174"/>
    <x v="0"/>
    <s v="Stefan Reimann-Andersen"/>
    <n v="59"/>
    <x v="7"/>
    <x v="11"/>
    <s v="Vienna"/>
    <s v="Consumer goods"/>
    <x v="0"/>
    <s v="Germany"/>
    <m/>
    <x v="0"/>
    <s v="D"/>
    <x v="0"/>
    <m/>
    <n v="118.06"/>
    <n v="1.5"/>
    <s v="$446,314,739,528 "/>
    <x v="11"/>
    <n v="103.1"/>
    <n v="81.599999999999994"/>
    <n v="25.4"/>
    <n v="51.4"/>
    <x v="11"/>
    <n v="47.516230999999998"/>
    <n v="14.550072"/>
  </r>
  <r>
    <n v="486"/>
    <x v="174"/>
    <x v="0"/>
    <s v="Renate Reimann-Haas"/>
    <n v="71"/>
    <x v="7"/>
    <x v="11"/>
    <s v="Vienna"/>
    <s v="Consumer goods"/>
    <x v="0"/>
    <s v="Germany"/>
    <m/>
    <x v="0"/>
    <s v="D"/>
    <x v="1"/>
    <m/>
    <n v="118.06"/>
    <n v="1.5"/>
    <s v="$446,314,739,528 "/>
    <x v="11"/>
    <n v="103.1"/>
    <n v="81.599999999999994"/>
    <n v="25.4"/>
    <n v="51.4"/>
    <x v="11"/>
    <n v="47.516230999999998"/>
    <n v="14.550072"/>
  </r>
  <r>
    <n v="497"/>
    <x v="175"/>
    <x v="3"/>
    <s v="Todd Boehly"/>
    <n v="49"/>
    <x v="7"/>
    <x v="1"/>
    <s v="Darien"/>
    <s v="Finance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97"/>
    <x v="175"/>
    <x v="11"/>
    <s v="Rick Caruso"/>
    <n v="64"/>
    <x v="7"/>
    <x v="1"/>
    <s v="Los Angeles"/>
    <s v="Real estate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97"/>
    <x v="175"/>
    <x v="10"/>
    <s v="Ibrahim Erdemoglu"/>
    <n v="60"/>
    <x v="7"/>
    <x v="47"/>
    <s v="Istanbul"/>
    <s v="Carpet"/>
    <x v="10"/>
    <s v="Turkey"/>
    <m/>
    <x v="1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497"/>
    <x v="175"/>
    <x v="3"/>
    <s v="Elizabeth Johnson"/>
    <n v="59"/>
    <x v="7"/>
    <x v="1"/>
    <s v="Boston"/>
    <s v="Fidelity"/>
    <x v="3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497"/>
    <x v="175"/>
    <x v="3"/>
    <s v="Douglas Leone"/>
    <n v="65"/>
    <x v="3"/>
    <x v="1"/>
    <s v="Atherton"/>
    <s v="Venture capital"/>
    <x v="3"/>
    <s v="United States"/>
    <s v="Sequoia"/>
    <x v="1"/>
    <s v="D"/>
    <x v="0"/>
    <s v="Global Managing Partner"/>
    <n v="117.24"/>
    <n v="7.5"/>
    <s v="$21,427,700,000,000 "/>
    <x v="1"/>
    <n v="101.8"/>
    <n v="78.5"/>
    <n v="9.6"/>
    <n v="36.6"/>
    <x v="1"/>
    <n v="37.090240000000001"/>
    <n v="-95.712890999999999"/>
  </r>
  <r>
    <n v="497"/>
    <x v="175"/>
    <x v="6"/>
    <s v="Prajogo Pangestu"/>
    <n v="78"/>
    <x v="7"/>
    <x v="15"/>
    <s v="Jakarta"/>
    <s v="Petrochemicals"/>
    <x v="6"/>
    <s v="Indonesia"/>
    <m/>
    <x v="0"/>
    <s v="D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497"/>
    <x v="175"/>
    <x v="3"/>
    <s v="Thomas Pritzker"/>
    <n v="72"/>
    <x v="0"/>
    <x v="1"/>
    <s v="Chicago"/>
    <s v="Hotels, investments"/>
    <x v="3"/>
    <s v="United States"/>
    <s v="Hyatt Hotels"/>
    <x v="0"/>
    <s v="U"/>
    <x v="0"/>
    <s v="Executive Chairman"/>
    <n v="117.24"/>
    <n v="7.5"/>
    <s v="$21,427,700,000,000 "/>
    <x v="1"/>
    <n v="101.8"/>
    <n v="78.5"/>
    <n v="9.6"/>
    <n v="36.6"/>
    <x v="1"/>
    <n v="37.090240000000001"/>
    <n v="-95.712890999999999"/>
  </r>
  <r>
    <n v="497"/>
    <x v="175"/>
    <x v="7"/>
    <s v="Lynda Resnick"/>
    <n v="80"/>
    <x v="7"/>
    <x v="1"/>
    <s v="Beverly Hills"/>
    <s v="Agriculture"/>
    <x v="7"/>
    <s v="United States"/>
    <m/>
    <x v="1"/>
    <s v="Split Family Fortune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497"/>
    <x v="175"/>
    <x v="7"/>
    <s v="Stewart Resnick"/>
    <n v="86"/>
    <x v="7"/>
    <x v="1"/>
    <s v="Beverly Hills"/>
    <s v="Agriculture"/>
    <x v="7"/>
    <s v="United States"/>
    <m/>
    <x v="1"/>
    <s v="Split Family Fortun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97"/>
    <x v="175"/>
    <x v="15"/>
    <s v="Gary Rollins"/>
    <n v="78"/>
    <x v="7"/>
    <x v="1"/>
    <s v="Atlanta"/>
    <s v="Pest control"/>
    <x v="15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97"/>
    <x v="175"/>
    <x v="3"/>
    <s v="Mark Walter"/>
    <n v="62"/>
    <x v="3"/>
    <x v="1"/>
    <s v="Chicago"/>
    <s v="Finance, asset management"/>
    <x v="3"/>
    <s v="United States"/>
    <s v="Guggenheim Partners LLC"/>
    <x v="1"/>
    <s v="U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497"/>
    <x v="175"/>
    <x v="10"/>
    <s v="Ronald Wanek"/>
    <n v="81"/>
    <x v="7"/>
    <x v="1"/>
    <s v="Saint Petersburg"/>
    <s v="Furniture"/>
    <x v="10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497"/>
    <x v="175"/>
    <x v="7"/>
    <s v="Erich Wesjohann &amp; family"/>
    <n v="77"/>
    <x v="7"/>
    <x v="7"/>
    <s v="Visbek"/>
    <s v="Poultry genetics"/>
    <x v="7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497"/>
    <x v="175"/>
    <x v="0"/>
    <s v="M.A. Yusuff Ali"/>
    <n v="67"/>
    <x v="7"/>
    <x v="16"/>
    <s v="Abu Dhabi"/>
    <s v="Retail"/>
    <x v="0"/>
    <s v="India"/>
    <m/>
    <x v="1"/>
    <s v="D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511"/>
    <x v="176"/>
    <x v="3"/>
    <s v="Alexandre Behring"/>
    <n v="56"/>
    <x v="7"/>
    <x v="1"/>
    <s v="Greenwich"/>
    <s v="Investments"/>
    <x v="3"/>
    <s v="Brazil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11"/>
    <x v="176"/>
    <x v="7"/>
    <s v="Cheng Xue"/>
    <n v="53"/>
    <x v="7"/>
    <x v="5"/>
    <s v="Foshan"/>
    <s v="Soy sauce"/>
    <x v="7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511"/>
    <x v="176"/>
    <x v="11"/>
    <s v="Robert Faith"/>
    <n v="59"/>
    <x v="7"/>
    <x v="1"/>
    <s v="Charleston"/>
    <s v="Real estate management"/>
    <x v="11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11"/>
    <x v="176"/>
    <x v="0"/>
    <s v="Gao Dekang &amp; family"/>
    <n v="71"/>
    <x v="7"/>
    <x v="5"/>
    <s v="Changshu"/>
    <s v="Apparel"/>
    <x v="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511"/>
    <x v="176"/>
    <x v="0"/>
    <s v="Micky Jagtiani"/>
    <n v="71"/>
    <x v="7"/>
    <x v="16"/>
    <s v="Dubai"/>
    <s v="Retail"/>
    <x v="0"/>
    <s v="India"/>
    <m/>
    <x v="0"/>
    <s v="U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511"/>
    <x v="176"/>
    <x v="5"/>
    <s v="Ananda Krishnan"/>
    <n v="85"/>
    <x v="7"/>
    <x v="31"/>
    <s v="Kuala Lumpur"/>
    <s v="Telecoms, media, oil-services"/>
    <x v="5"/>
    <s v="Malaysia"/>
    <m/>
    <x v="1"/>
    <s v="D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511"/>
    <x v="176"/>
    <x v="2"/>
    <s v="Barry Lam"/>
    <n v="73"/>
    <x v="7"/>
    <x v="35"/>
    <s v="Taipei"/>
    <s v="Electronics"/>
    <x v="2"/>
    <s v="Taiwan"/>
    <m/>
    <x v="1"/>
    <s v="D"/>
    <x v="0"/>
    <m/>
    <m/>
    <m/>
    <m/>
    <x v="10"/>
    <m/>
    <m/>
    <m/>
    <m/>
    <x v="10"/>
    <m/>
    <m/>
  </r>
  <r>
    <n v="511"/>
    <x v="176"/>
    <x v="7"/>
    <s v="Robert Rich, Jr."/>
    <n v="82"/>
    <x v="7"/>
    <x v="1"/>
    <s v="Islamorada"/>
    <s v="Frozen foods"/>
    <x v="7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11"/>
    <x v="176"/>
    <x v="9"/>
    <s v="Mark Scheinberg"/>
    <n v="49"/>
    <x v="7"/>
    <x v="13"/>
    <s v="Isle of Man"/>
    <s v="Online gambling"/>
    <x v="9"/>
    <s v="Canada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511"/>
    <x v="176"/>
    <x v="2"/>
    <s v="Charles Simonyi"/>
    <n v="74"/>
    <x v="7"/>
    <x v="1"/>
    <s v="Medina"/>
    <s v="Microsoft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11"/>
    <x v="176"/>
    <x v="11"/>
    <s v="Ty Warner"/>
    <n v="78"/>
    <x v="7"/>
    <x v="1"/>
    <s v="Oak Brook"/>
    <s v="Plush toys, real estate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11"/>
    <x v="176"/>
    <x v="11"/>
    <s v="Sam Zell"/>
    <n v="81"/>
    <x v="7"/>
    <x v="1"/>
    <s v="Chicago"/>
    <s v="Real estate, private equity"/>
    <x v="11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23"/>
    <x v="177"/>
    <x v="10"/>
    <s v="Fang Wei"/>
    <n v="49"/>
    <x v="7"/>
    <x v="5"/>
    <s v="Beijing"/>
    <s v="Steel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523"/>
    <x v="177"/>
    <x v="3"/>
    <s v="Rekha Jhunjhunwala"/>
    <n v="59"/>
    <x v="7"/>
    <x v="3"/>
    <s v="Mumbai"/>
    <s v="Investments"/>
    <x v="3"/>
    <s v="India"/>
    <m/>
    <x v="0"/>
    <s v="N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523"/>
    <x v="177"/>
    <x v="3"/>
    <s v="Charles B. Johnson"/>
    <n v="90"/>
    <x v="2"/>
    <x v="1"/>
    <s v="Palm Beach"/>
    <s v="Franklin Templeton"/>
    <x v="3"/>
    <s v="United States"/>
    <s v="Franklin Resources Inc."/>
    <x v="0"/>
    <s v="E"/>
    <x v="0"/>
    <s v="Former 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523"/>
    <x v="177"/>
    <x v="4"/>
    <s v="Kwon Hyuk-bin"/>
    <n v="49"/>
    <x v="7"/>
    <x v="32"/>
    <s v="Seoul"/>
    <s v="Online games"/>
    <x v="4"/>
    <s v="South Korea"/>
    <s v="Smilegate Holdings"/>
    <x v="1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523"/>
    <x v="177"/>
    <x v="3"/>
    <s v="Sami Mnaymneh"/>
    <n v="61"/>
    <x v="7"/>
    <x v="1"/>
    <s v="Miami Beach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23"/>
    <x v="177"/>
    <x v="8"/>
    <s v="Kjell Inge Rokke"/>
    <n v="64"/>
    <x v="7"/>
    <x v="36"/>
    <s v="Vettre"/>
    <s v="Shipping, seafood"/>
    <x v="8"/>
    <s v="Norway"/>
    <m/>
    <x v="1"/>
    <s v="D"/>
    <x v="0"/>
    <m/>
    <n v="120.27"/>
    <n v="2.2000000000000002"/>
    <s v="$403,336,363,636 "/>
    <x v="31"/>
    <n v="100.3"/>
    <n v="82.8"/>
    <n v="23.9"/>
    <n v="36.200000000000003"/>
    <x v="34"/>
    <n v="60.472023999999998"/>
    <n v="8.4689460000000008"/>
  </r>
  <r>
    <n v="523"/>
    <x v="177"/>
    <x v="3"/>
    <s v="Tony Tamer"/>
    <n v="65"/>
    <x v="7"/>
    <x v="1"/>
    <s v="New York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23"/>
    <x v="177"/>
    <x v="14"/>
    <s v="Tse Ping &amp; family"/>
    <n v="71"/>
    <x v="7"/>
    <x v="10"/>
    <s v="Hong Kong"/>
    <s v="Pharmaceuticals"/>
    <x v="14"/>
    <s v="China"/>
    <m/>
    <x v="1"/>
    <s v="D"/>
    <x v="0"/>
    <m/>
    <m/>
    <m/>
    <m/>
    <x v="10"/>
    <m/>
    <m/>
    <m/>
    <m/>
    <x v="10"/>
    <m/>
    <m/>
  </r>
  <r>
    <n v="523"/>
    <x v="177"/>
    <x v="2"/>
    <s v="Romesh T. Wadhwani"/>
    <n v="75"/>
    <x v="0"/>
    <x v="1"/>
    <s v="Palo Alto"/>
    <s v="Software"/>
    <x v="2"/>
    <s v="United States"/>
    <s v="Symphony Technology Group"/>
    <x v="1"/>
    <s v="U"/>
    <x v="0"/>
    <s v="Founder and Chairman"/>
    <n v="117.24"/>
    <n v="7.5"/>
    <s v="$21,427,700,000,000 "/>
    <x v="1"/>
    <n v="101.8"/>
    <n v="78.5"/>
    <n v="9.6"/>
    <n v="36.6"/>
    <x v="1"/>
    <n v="37.090240000000001"/>
    <n v="-95.712890999999999"/>
  </r>
  <r>
    <n v="523"/>
    <x v="177"/>
    <x v="14"/>
    <s v="Hansjoerg Wyss"/>
    <n v="88"/>
    <x v="7"/>
    <x v="1"/>
    <s v="Wilson"/>
    <s v="Medical devices"/>
    <x v="14"/>
    <s v="Switzerland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23"/>
    <x v="177"/>
    <x v="17"/>
    <s v="Denise York &amp; family"/>
    <n v="72"/>
    <x v="0"/>
    <x v="1"/>
    <s v="Youngstown"/>
    <s v="San Francisco 49ers"/>
    <x v="17"/>
    <s v="United States"/>
    <s v="San Francisco 49ers"/>
    <x v="0"/>
    <s v="U"/>
    <x v="1"/>
    <s v="Co-Chairman"/>
    <n v="117.24"/>
    <n v="7.5"/>
    <s v="$21,427,700,000,000 "/>
    <x v="1"/>
    <n v="101.8"/>
    <n v="78.5"/>
    <n v="9.6"/>
    <n v="36.6"/>
    <x v="1"/>
    <n v="37.090240000000001"/>
    <n v="-95.712890999999999"/>
  </r>
  <r>
    <n v="534"/>
    <x v="178"/>
    <x v="3"/>
    <s v="Ron Baron"/>
    <n v="79"/>
    <x v="7"/>
    <x v="1"/>
    <s v="New York"/>
    <s v="Money management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34"/>
    <x v="178"/>
    <x v="13"/>
    <s v="Robert Bass"/>
    <n v="75"/>
    <x v="7"/>
    <x v="1"/>
    <s v="Fort Worth"/>
    <s v="Oil, investments"/>
    <x v="13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34"/>
    <x v="178"/>
    <x v="14"/>
    <s v="Dona Bertarelli"/>
    <n v="55"/>
    <x v="7"/>
    <x v="8"/>
    <s v="Gstaad"/>
    <s v="Biotech and investments"/>
    <x v="14"/>
    <s v="Switzerland"/>
    <m/>
    <x v="0"/>
    <s v="U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534"/>
    <x v="178"/>
    <x v="3"/>
    <s v="Alexander Gerko"/>
    <n v="43"/>
    <x v="7"/>
    <x v="13"/>
    <s v="London"/>
    <s v="Trading"/>
    <x v="3"/>
    <s v="United Kingdom"/>
    <m/>
    <x v="1"/>
    <s v="N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534"/>
    <x v="178"/>
    <x v="2"/>
    <s v="Martin Haefner"/>
    <n v="69"/>
    <x v="7"/>
    <x v="8"/>
    <s v="Zurich"/>
    <s v="Software, investments"/>
    <x v="2"/>
    <s v="Switzerland"/>
    <m/>
    <x v="0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534"/>
    <x v="178"/>
    <x v="5"/>
    <s v="Robert Hale, Jr."/>
    <n v="56"/>
    <x v="7"/>
    <x v="1"/>
    <s v="Boston"/>
    <s v="Telecom"/>
    <x v="5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34"/>
    <x v="178"/>
    <x v="14"/>
    <s v="Viktor Kharitonin"/>
    <n v="50"/>
    <x v="7"/>
    <x v="17"/>
    <s v="Moscow"/>
    <s v="Pharmaceuticals"/>
    <x v="14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534"/>
    <x v="178"/>
    <x v="2"/>
    <s v="Kim Beom-su"/>
    <n v="57"/>
    <x v="7"/>
    <x v="32"/>
    <s v="Seoul"/>
    <s v="Online services"/>
    <x v="2"/>
    <s v="South Korea"/>
    <m/>
    <x v="1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534"/>
    <x v="178"/>
    <x v="0"/>
    <s v="Jane Lauder"/>
    <n v="50"/>
    <x v="7"/>
    <x v="1"/>
    <s v="New York"/>
    <s v="EstÃ©e Lauder"/>
    <x v="0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534"/>
    <x v="178"/>
    <x v="0"/>
    <s v="Michel Leclercq &amp; family"/>
    <n v="83"/>
    <x v="7"/>
    <x v="0"/>
    <s v="Lille"/>
    <s v="Sporting goods"/>
    <x v="0"/>
    <s v="France"/>
    <m/>
    <x v="0"/>
    <s v="U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534"/>
    <x v="178"/>
    <x v="4"/>
    <s v="George Lucas"/>
    <n v="78"/>
    <x v="7"/>
    <x v="1"/>
    <s v="San Anselmo"/>
    <s v="Star Wars"/>
    <x v="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34"/>
    <x v="178"/>
    <x v="17"/>
    <s v="Janice McNair"/>
    <n v="86"/>
    <x v="7"/>
    <x v="1"/>
    <s v="Houston"/>
    <s v="Energy, sports"/>
    <x v="17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534"/>
    <x v="178"/>
    <x v="14"/>
    <s v="Ugur Sahin"/>
    <n v="57"/>
    <x v="7"/>
    <x v="7"/>
    <s v="Mainz"/>
    <s v="Biotechnology"/>
    <x v="14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534"/>
    <x v="178"/>
    <x v="11"/>
    <s v="Alexandra Schoerghuber &amp; family"/>
    <n v="64"/>
    <x v="7"/>
    <x v="7"/>
    <s v="Munich"/>
    <s v="Real estate"/>
    <x v="11"/>
    <s v="Germany"/>
    <m/>
    <x v="0"/>
    <s v="U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534"/>
    <x v="178"/>
    <x v="14"/>
    <s v="Thomas Straumann"/>
    <n v="59"/>
    <x v="7"/>
    <x v="8"/>
    <s v="Basel"/>
    <s v="Dental implants"/>
    <x v="14"/>
    <s v="Switzerland"/>
    <m/>
    <x v="0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534"/>
    <x v="178"/>
    <x v="7"/>
    <s v="Murat Ulker"/>
    <n v="64"/>
    <x v="7"/>
    <x v="47"/>
    <s v="Istanbul"/>
    <s v="Food"/>
    <x v="7"/>
    <s v="Turkey"/>
    <m/>
    <x v="0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534"/>
    <x v="178"/>
    <x v="0"/>
    <s v="Chip Wilson"/>
    <n v="66"/>
    <x v="3"/>
    <x v="6"/>
    <s v="Vancouver"/>
    <s v="Lululemon"/>
    <x v="0"/>
    <s v="Canada"/>
    <s v="Lululemon"/>
    <x v="1"/>
    <s v="D"/>
    <x v="0"/>
    <s v="Chairman"/>
    <n v="116.76"/>
    <n v="1.9"/>
    <s v="$1,736,425,629,520 "/>
    <x v="6"/>
    <n v="100.9"/>
    <n v="81.900000000000006"/>
    <n v="12.8"/>
    <n v="24.5"/>
    <x v="6"/>
    <n v="56.130366000000002"/>
    <n v="-106.346771"/>
  </r>
  <r>
    <n v="534"/>
    <x v="178"/>
    <x v="11"/>
    <s v="Zhu Yan &amp; family"/>
    <m/>
    <x v="7"/>
    <x v="5"/>
    <s v="Beijing"/>
    <s v="Real estate"/>
    <x v="11"/>
    <s v="China"/>
    <m/>
    <x v="0"/>
    <s v="U"/>
    <x v="1"/>
    <m/>
    <n v="125.08"/>
    <n v="2.9"/>
    <s v="$19,910,000,000,000 "/>
    <x v="5"/>
    <n v="100.2"/>
    <n v="77"/>
    <n v="9.4"/>
    <n v="59.2"/>
    <x v="5"/>
    <n v="35.861660000000001"/>
    <n v="104.195397"/>
  </r>
  <r>
    <n v="552"/>
    <x v="179"/>
    <x v="10"/>
    <s v="Jim Davis &amp; family"/>
    <n v="79"/>
    <x v="0"/>
    <x v="1"/>
    <s v="Newton"/>
    <s v="New Balance"/>
    <x v="10"/>
    <s v="United States"/>
    <s v="New Balance"/>
    <x v="1"/>
    <s v="D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552"/>
    <x v="179"/>
    <x v="14"/>
    <s v="Murali Divi &amp; family"/>
    <n v="72"/>
    <x v="7"/>
    <x v="3"/>
    <s v="Hyderabad"/>
    <s v="Pharmaceuticals"/>
    <x v="14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552"/>
    <x v="179"/>
    <x v="2"/>
    <s v="Dagmar Dolby &amp; family"/>
    <n v="81"/>
    <x v="7"/>
    <x v="1"/>
    <s v="San Francisco"/>
    <s v="Dolby Laboratories"/>
    <x v="2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552"/>
    <x v="179"/>
    <x v="2"/>
    <s v="Marcos Galperin"/>
    <m/>
    <x v="7"/>
    <x v="48"/>
    <s v="Buenos Aires"/>
    <s v="E-commerce"/>
    <x v="2"/>
    <s v="Argentina"/>
    <m/>
    <x v="1"/>
    <s v="U"/>
    <x v="0"/>
    <m/>
    <n v="232.75"/>
    <n v="53.5"/>
    <s v="$449,663,446,954 "/>
    <x v="41"/>
    <n v="109.7"/>
    <n v="76.5"/>
    <n v="10.1"/>
    <n v="106.3"/>
    <x v="43"/>
    <n v="-38.416097000000001"/>
    <n v="-63.616672000000001"/>
  </r>
  <r>
    <n v="552"/>
    <x v="179"/>
    <x v="15"/>
    <s v="Tom Golisano"/>
    <n v="81"/>
    <x v="7"/>
    <x v="1"/>
    <s v="Naples"/>
    <s v="Payroll services"/>
    <x v="15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52"/>
    <x v="179"/>
    <x v="3"/>
    <s v="Jonathan Gray"/>
    <n v="53"/>
    <x v="7"/>
    <x v="1"/>
    <s v="New York"/>
    <s v="Investments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52"/>
    <x v="179"/>
    <x v="3"/>
    <s v="Bidzina Ivanishvili"/>
    <n v="67"/>
    <x v="7"/>
    <x v="49"/>
    <s v="Tbilisi"/>
    <s v="Investments"/>
    <x v="3"/>
    <s v="Georgia"/>
    <m/>
    <x v="1"/>
    <s v="U"/>
    <x v="0"/>
    <m/>
    <n v="133.61000000000001"/>
    <n v="4.9000000000000004"/>
    <s v="$17,743,195,770 "/>
    <x v="42"/>
    <n v="98.6"/>
    <n v="73.599999999999994"/>
    <n v="21.7"/>
    <n v="9.9"/>
    <x v="44"/>
    <n v="42.315407"/>
    <n v="43.356892000000002"/>
  </r>
  <r>
    <n v="552"/>
    <x v="179"/>
    <x v="12"/>
    <s v="Lim Hariyanto Wijaya Sarwono"/>
    <n v="94"/>
    <x v="7"/>
    <x v="15"/>
    <s v="Jakarta"/>
    <s v="Palm oil, nickel mining"/>
    <x v="12"/>
    <s v="Indonesia"/>
    <m/>
    <x v="1"/>
    <s v="U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552"/>
    <x v="179"/>
    <x v="14"/>
    <s v="Rudolf Maag"/>
    <n v="77"/>
    <x v="7"/>
    <x v="8"/>
    <s v="Binningen"/>
    <s v="Medical devices"/>
    <x v="14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552"/>
    <x v="179"/>
    <x v="7"/>
    <s v="Emanuele (Lino) Saputo &amp; family"/>
    <n v="86"/>
    <x v="4"/>
    <x v="6"/>
    <s v="Montreal"/>
    <s v="Cheese"/>
    <x v="7"/>
    <s v="Canada"/>
    <s v="Saputo"/>
    <x v="0"/>
    <s v="U"/>
    <x v="0"/>
    <s v="Chairman"/>
    <n v="116.76"/>
    <n v="1.9"/>
    <s v="$1,736,425,629,520 "/>
    <x v="6"/>
    <n v="100.9"/>
    <n v="81.900000000000006"/>
    <n v="12.8"/>
    <n v="24.5"/>
    <x v="6"/>
    <n v="56.130366000000002"/>
    <n v="-106.346771"/>
  </r>
  <r>
    <n v="552"/>
    <x v="179"/>
    <x v="1"/>
    <s v="Mark Shoen"/>
    <n v="72"/>
    <x v="7"/>
    <x v="1"/>
    <s v="Phoenix"/>
    <s v="U-Haul"/>
    <x v="1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52"/>
    <x v="179"/>
    <x v="17"/>
    <s v="Dan Snyder"/>
    <n v="58"/>
    <x v="7"/>
    <x v="1"/>
    <s v="Potomac"/>
    <s v="Washington Commanders"/>
    <x v="1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52"/>
    <x v="179"/>
    <x v="6"/>
    <s v="Chairul Tanjung"/>
    <n v="60"/>
    <x v="7"/>
    <x v="15"/>
    <s v="Jakarta"/>
    <s v="Diversified"/>
    <x v="6"/>
    <s v="Indonesia"/>
    <m/>
    <x v="1"/>
    <s v="D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552"/>
    <x v="179"/>
    <x v="13"/>
    <s v="Kelcy Warren"/>
    <n v="67"/>
    <x v="7"/>
    <x v="1"/>
    <s v="Dallas"/>
    <s v="Pipelines"/>
    <x v="1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52"/>
    <x v="179"/>
    <x v="0"/>
    <s v="Zhang Tao"/>
    <n v="50"/>
    <x v="7"/>
    <x v="5"/>
    <s v="Beijing"/>
    <s v="E-commerce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567"/>
    <x v="180"/>
    <x v="0"/>
    <s v="Michael Ashley"/>
    <n v="58"/>
    <x v="7"/>
    <x v="13"/>
    <s v="Hertfordshire"/>
    <s v="Sports retailing"/>
    <x v="0"/>
    <s v="United Kingdom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567"/>
    <x v="180"/>
    <x v="0"/>
    <s v="Tomasz Biernacki"/>
    <n v="50"/>
    <x v="7"/>
    <x v="42"/>
    <s v="Krotoszyn,"/>
    <s v="Supermarkets"/>
    <x v="0"/>
    <s v="Poland"/>
    <m/>
    <x v="1"/>
    <s v="U"/>
    <x v="0"/>
    <m/>
    <n v="114.11"/>
    <n v="2.2000000000000002"/>
    <s v="$592,164,400,688 "/>
    <x v="37"/>
    <n v="100"/>
    <n v="77.599999999999994"/>
    <n v="17.399999999999999"/>
    <n v="40.799999999999997"/>
    <x v="39"/>
    <n v="51.919438"/>
    <n v="19.145136000000001"/>
  </r>
  <r>
    <n v="567"/>
    <x v="180"/>
    <x v="14"/>
    <s v="Bernard Broermann"/>
    <n v="79"/>
    <x v="7"/>
    <x v="7"/>
    <s v="Koenigstein"/>
    <s v="Hospitals"/>
    <x v="14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567"/>
    <x v="180"/>
    <x v="0"/>
    <s v="Jimmy Haslam"/>
    <n v="69"/>
    <x v="3"/>
    <x v="1"/>
    <s v="Knoxville"/>
    <s v="Gas stations, retail"/>
    <x v="0"/>
    <s v="United States"/>
    <s v="Pilot Flying J"/>
    <x v="0"/>
    <s v="U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567"/>
    <x v="180"/>
    <x v="10"/>
    <s v="H. Fisk Johnson"/>
    <n v="64"/>
    <x v="7"/>
    <x v="1"/>
    <s v="Racine"/>
    <s v="Cleaning products"/>
    <x v="10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67"/>
    <x v="180"/>
    <x v="10"/>
    <s v="S. Curtis Johnson"/>
    <n v="67"/>
    <x v="7"/>
    <x v="1"/>
    <s v="Racine"/>
    <s v="Cleaning products"/>
    <x v="10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67"/>
    <x v="180"/>
    <x v="10"/>
    <s v="Helen Johnson-Leipold"/>
    <n v="66"/>
    <x v="7"/>
    <x v="1"/>
    <s v="Racine"/>
    <s v="Cleaning products"/>
    <x v="10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567"/>
    <x v="180"/>
    <x v="2"/>
    <s v="Vinod Khosla"/>
    <n v="68"/>
    <x v="3"/>
    <x v="1"/>
    <s v="Portola Valley"/>
    <s v="Venture capital"/>
    <x v="2"/>
    <s v="United States"/>
    <s v="Khosla Ventures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567"/>
    <x v="180"/>
    <x v="2"/>
    <s v="Thai Lee"/>
    <n v="64"/>
    <x v="7"/>
    <x v="1"/>
    <s v="Austin"/>
    <s v="IT provider"/>
    <x v="2"/>
    <s v="United States"/>
    <m/>
    <x v="1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567"/>
    <x v="180"/>
    <x v="10"/>
    <s v="Winifred J. Marquart"/>
    <n v="63"/>
    <x v="7"/>
    <x v="1"/>
    <s v="Virginia Beach"/>
    <s v="Cleaning products"/>
    <x v="10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567"/>
    <x v="180"/>
    <x v="14"/>
    <s v="Pankaj Patel"/>
    <n v="70"/>
    <x v="7"/>
    <x v="3"/>
    <s v="Ahmedabad"/>
    <s v="Pharmaceuticals"/>
    <x v="14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567"/>
    <x v="180"/>
    <x v="10"/>
    <s v="Horst Julius Pudwill"/>
    <n v="78"/>
    <x v="7"/>
    <x v="10"/>
    <s v="Hong Kong"/>
    <s v="Manufacturing"/>
    <x v="10"/>
    <s v="Germany"/>
    <m/>
    <x v="1"/>
    <s v="D"/>
    <x v="0"/>
    <m/>
    <m/>
    <m/>
    <m/>
    <x v="10"/>
    <m/>
    <m/>
    <m/>
    <m/>
    <x v="10"/>
    <m/>
    <m/>
  </r>
  <r>
    <n v="567"/>
    <x v="180"/>
    <x v="3"/>
    <s v="Yu Yong"/>
    <n v="62"/>
    <x v="7"/>
    <x v="5"/>
    <s v="Shanghai"/>
    <s v="Mining"/>
    <x v="3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580"/>
    <x v="181"/>
    <x v="6"/>
    <s v="Maria Fernanda Amorim &amp; family"/>
    <n v="88"/>
    <x v="7"/>
    <x v="50"/>
    <s v="Grijo"/>
    <s v="Energy, investments"/>
    <x v="6"/>
    <s v="Portugal"/>
    <m/>
    <x v="0"/>
    <s v="E"/>
    <x v="1"/>
    <m/>
    <n v="110.62"/>
    <n v="0.3"/>
    <s v="$237,686,075,635 "/>
    <x v="42"/>
    <n v="106.2"/>
    <n v="81.3"/>
    <n v="22.8"/>
    <n v="39.799999999999997"/>
    <x v="45"/>
    <n v="39.399872000000002"/>
    <n v="-8.2244539999999997"/>
  </r>
  <r>
    <n v="580"/>
    <x v="181"/>
    <x v="17"/>
    <s v="Gayle Benson"/>
    <n v="76"/>
    <x v="7"/>
    <x v="1"/>
    <s v="New Orleans"/>
    <s v="New Orleans Saints"/>
    <x v="17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580"/>
    <x v="181"/>
    <x v="2"/>
    <s v="Jason Chang"/>
    <n v="78"/>
    <x v="7"/>
    <x v="35"/>
    <s v="Taipei"/>
    <s v="Electronics"/>
    <x v="2"/>
    <s v="Singapore"/>
    <m/>
    <x v="1"/>
    <s v="U"/>
    <x v="0"/>
    <m/>
    <m/>
    <m/>
    <m/>
    <x v="10"/>
    <m/>
    <m/>
    <m/>
    <m/>
    <x v="10"/>
    <m/>
    <m/>
  </r>
  <r>
    <n v="580"/>
    <x v="181"/>
    <x v="10"/>
    <s v="Ali Erdemoglu"/>
    <n v="63"/>
    <x v="7"/>
    <x v="47"/>
    <s v="Istanbul"/>
    <s v="Carpet"/>
    <x v="10"/>
    <s v="Turkey"/>
    <m/>
    <x v="1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580"/>
    <x v="181"/>
    <x v="3"/>
    <s v="Andre Esteves"/>
    <n v="54"/>
    <x v="7"/>
    <x v="30"/>
    <s v="Sao paulo"/>
    <s v="Banking"/>
    <x v="3"/>
    <s v="Brazil"/>
    <m/>
    <x v="1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580"/>
    <x v="181"/>
    <x v="11"/>
    <s v="Carlo Fidani"/>
    <n v="68"/>
    <x v="3"/>
    <x v="6"/>
    <s v="Toronto"/>
    <s v="Real estate"/>
    <x v="11"/>
    <s v="Canada"/>
    <s v="Orlando Corporation"/>
    <x v="0"/>
    <s v="U"/>
    <x v="0"/>
    <s v="Chairman"/>
    <n v="116.76"/>
    <n v="1.9"/>
    <s v="$1,736,425,629,520 "/>
    <x v="6"/>
    <n v="100.9"/>
    <n v="81.900000000000006"/>
    <n v="12.8"/>
    <n v="24.5"/>
    <x v="6"/>
    <n v="56.130366000000002"/>
    <n v="-106.346771"/>
  </r>
  <r>
    <n v="580"/>
    <x v="181"/>
    <x v="2"/>
    <s v="Hong Ra-hee"/>
    <n v="77"/>
    <x v="7"/>
    <x v="32"/>
    <s v="Seoul"/>
    <s v="Samsung"/>
    <x v="2"/>
    <s v="South Korea"/>
    <m/>
    <x v="0"/>
    <s v="D"/>
    <x v="1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580"/>
    <x v="181"/>
    <x v="10"/>
    <s v="Li Gaiteng"/>
    <n v="50"/>
    <x v="7"/>
    <x v="5"/>
    <s v="Shanghai"/>
    <s v="Hair dryer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580"/>
    <x v="181"/>
    <x v="4"/>
    <s v="Thomas Secunda"/>
    <n v="68"/>
    <x v="7"/>
    <x v="1"/>
    <s v="Croton-on-Hudson"/>
    <s v="Bloomberg LP"/>
    <x v="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80"/>
    <x v="181"/>
    <x v="6"/>
    <s v="Zuowen Song"/>
    <n v="76"/>
    <x v="7"/>
    <x v="5"/>
    <s v="Longkou"/>
    <s v="Aluminum, diversified"/>
    <x v="6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580"/>
    <x v="181"/>
    <x v="4"/>
    <s v="Tim Sweeney"/>
    <n v="52"/>
    <x v="7"/>
    <x v="1"/>
    <s v="Cary"/>
    <s v="Video games"/>
    <x v="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7"/>
    <s v="Bert Beveridge"/>
    <n v="61"/>
    <x v="7"/>
    <x v="1"/>
    <s v="Austin"/>
    <s v="Vodka"/>
    <x v="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4"/>
    <s v="Mark Cuban"/>
    <n v="64"/>
    <x v="3"/>
    <x v="1"/>
    <s v="Dallas"/>
    <s v="Online media, Dallas Mavericks"/>
    <x v="4"/>
    <s v="United States"/>
    <s v="Dallas Mavericks"/>
    <x v="1"/>
    <s v="D"/>
    <x v="0"/>
    <s v="Owner"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4"/>
    <s v="Charles Dolan &amp; family"/>
    <n v="96"/>
    <x v="2"/>
    <x v="1"/>
    <s v="Oyster Bay"/>
    <s v="Cable television"/>
    <x v="4"/>
    <s v="United States"/>
    <s v="Cablevision Systems Corp."/>
    <x v="1"/>
    <s v="D"/>
    <x v="0"/>
    <s v="Chairman and Founder"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2"/>
    <s v="Jack Dorsey"/>
    <n v="46"/>
    <x v="5"/>
    <x v="1"/>
    <s v="San Francisco"/>
    <s v="Twitter, Square"/>
    <x v="2"/>
    <s v="United States"/>
    <s v="Twitter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13"/>
    <s v="Fan Hongwei"/>
    <n v="56"/>
    <x v="7"/>
    <x v="5"/>
    <s v="Wujiang"/>
    <s v="Petrochemicals"/>
    <x v="13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591"/>
    <x v="182"/>
    <x v="12"/>
    <s v="Vladimir Kim"/>
    <n v="62"/>
    <x v="7"/>
    <x v="51"/>
    <s v="Almaty"/>
    <s v="Mining"/>
    <x v="12"/>
    <s v="Kazakhstan"/>
    <m/>
    <x v="1"/>
    <s v="D"/>
    <x v="0"/>
    <m/>
    <n v="182.75"/>
    <n v="5.2"/>
    <s v="$180,161,741,180 "/>
    <x v="43"/>
    <n v="104.4"/>
    <n v="73.2"/>
    <n v="11.7"/>
    <n v="28.4"/>
    <x v="46"/>
    <n v="48.019573000000001"/>
    <n v="66.923683999999994"/>
  </r>
  <r>
    <n v="591"/>
    <x v="182"/>
    <x v="3"/>
    <s v="Andre Koo, Sr."/>
    <n v="55"/>
    <x v="7"/>
    <x v="35"/>
    <s v="Taipei"/>
    <s v="Financial services"/>
    <x v="3"/>
    <s v="Taiwan"/>
    <m/>
    <x v="0"/>
    <s v="D"/>
    <x v="0"/>
    <m/>
    <m/>
    <m/>
    <m/>
    <x v="10"/>
    <m/>
    <m/>
    <m/>
    <m/>
    <x v="10"/>
    <m/>
    <m/>
  </r>
  <r>
    <n v="591"/>
    <x v="182"/>
    <x v="0"/>
    <s v="Ronald Lauder"/>
    <n v="79"/>
    <x v="7"/>
    <x v="1"/>
    <s v="New York"/>
    <s v="Estee Lauder"/>
    <x v="0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10"/>
    <s v="Li Chunan"/>
    <n v="54"/>
    <x v="7"/>
    <x v="5"/>
    <s v="Fushun"/>
    <s v="Renewable energy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591"/>
    <x v="182"/>
    <x v="4"/>
    <s v="Forrest Li"/>
    <n v="45"/>
    <x v="7"/>
    <x v="25"/>
    <s v="Singapore"/>
    <s v="Gaming"/>
    <x v="4"/>
    <s v="Singapore"/>
    <m/>
    <x v="1"/>
    <s v="D"/>
    <x v="0"/>
    <m/>
    <n v="114.41"/>
    <n v="0.6"/>
    <s v="$372,062,527,489 "/>
    <x v="23"/>
    <n v="100.6"/>
    <n v="83.1"/>
    <n v="13.1"/>
    <n v="21"/>
    <x v="24"/>
    <n v="1.3520829999999999"/>
    <n v="103.819836"/>
  </r>
  <r>
    <n v="591"/>
    <x v="182"/>
    <x v="5"/>
    <s v="Richard Li"/>
    <n v="56"/>
    <x v="7"/>
    <x v="10"/>
    <s v="Hong Kong"/>
    <s v="Telecom"/>
    <x v="5"/>
    <s v="Hong Kong"/>
    <m/>
    <x v="0"/>
    <s v="D"/>
    <x v="0"/>
    <m/>
    <m/>
    <m/>
    <m/>
    <x v="10"/>
    <m/>
    <m/>
    <m/>
    <m/>
    <x v="10"/>
    <m/>
    <m/>
  </r>
  <r>
    <n v="591"/>
    <x v="182"/>
    <x v="0"/>
    <s v="Doug Meijer &amp; family"/>
    <n v="69"/>
    <x v="7"/>
    <x v="1"/>
    <s v="Grand Rapids"/>
    <s v="Supermarkets"/>
    <x v="0"/>
    <s v="United States"/>
    <m/>
    <x v="0"/>
    <s v="Split Family Fortun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0"/>
    <s v="Hank Meijer &amp; family"/>
    <n v="71"/>
    <x v="7"/>
    <x v="1"/>
    <s v="Grand Rapids"/>
    <s v="Supermarkets"/>
    <x v="0"/>
    <s v="United States"/>
    <m/>
    <x v="0"/>
    <s v="Split Family Fortun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0"/>
    <s v="Mark Meijer &amp; family"/>
    <n v="65"/>
    <x v="7"/>
    <x v="1"/>
    <s v="Grand Rapids"/>
    <s v="Supermarkets"/>
    <x v="0"/>
    <s v="United States"/>
    <m/>
    <x v="0"/>
    <s v="Split Family Fortun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7"/>
    <s v="Issad Rebrab &amp; family"/>
    <n v="79"/>
    <x v="7"/>
    <x v="52"/>
    <s v="Algiers"/>
    <s v="Food"/>
    <x v="7"/>
    <s v="Algeria"/>
    <m/>
    <x v="1"/>
    <s v="D"/>
    <x v="0"/>
    <m/>
    <n v="151.36000000000001"/>
    <n v="2"/>
    <s v="$169,988,236,398 "/>
    <x v="44"/>
    <n v="109.9"/>
    <n v="76.7"/>
    <n v="37.200000000000003"/>
    <n v="66.099999999999994"/>
    <x v="47"/>
    <n v="28.033885999999999"/>
    <n v="1.659626"/>
  </r>
  <r>
    <n v="591"/>
    <x v="182"/>
    <x v="8"/>
    <s v="Fred Smith"/>
    <n v="78"/>
    <x v="0"/>
    <x v="1"/>
    <s v="Memphis"/>
    <s v="FedEx"/>
    <x v="8"/>
    <s v="United States"/>
    <s v="FedEx Corp."/>
    <x v="1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3"/>
    <s v="Barry Sternlicht"/>
    <n v="62"/>
    <x v="7"/>
    <x v="1"/>
    <s v="Miami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10"/>
    <s v="Maximilian Viessmann"/>
    <n v="34"/>
    <x v="7"/>
    <x v="7"/>
    <s v="Battenberg"/>
    <s v="Heating, cooling equipment"/>
    <x v="1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591"/>
    <x v="182"/>
    <x v="7"/>
    <s v="Russ Weiner"/>
    <n v="52"/>
    <x v="7"/>
    <x v="1"/>
    <s v="Delray Beach"/>
    <s v="Energy drinks"/>
    <x v="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591"/>
    <x v="182"/>
    <x v="14"/>
    <s v="Xue Min"/>
    <n v="66"/>
    <x v="7"/>
    <x v="5"/>
    <s v="Wuhan"/>
    <s v="Healthcare"/>
    <x v="14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611"/>
    <x v="183"/>
    <x v="7"/>
    <s v="Juan Domingo Beckmann Legorreta &amp; family"/>
    <n v="55"/>
    <x v="7"/>
    <x v="2"/>
    <m/>
    <s v="Tequila"/>
    <x v="7"/>
    <s v="Mexico"/>
    <m/>
    <x v="0"/>
    <s v="U"/>
    <x v="0"/>
    <m/>
    <n v="141.54"/>
    <n v="3.6"/>
    <s v="$1,258,286,717,125 "/>
    <x v="2"/>
    <n v="105.8"/>
    <n v="75"/>
    <n v="13.1"/>
    <n v="55.1"/>
    <x v="2"/>
    <n v="23.634501"/>
    <n v="-102.552784"/>
  </r>
  <r>
    <n v="611"/>
    <x v="183"/>
    <x v="2"/>
    <s v="Dietmar Hopp &amp; family"/>
    <n v="82"/>
    <x v="7"/>
    <x v="7"/>
    <s v="Walldorf"/>
    <s v="Software"/>
    <x v="2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611"/>
    <x v="183"/>
    <x v="2"/>
    <s v="Jiang Bin"/>
    <n v="56"/>
    <x v="7"/>
    <x v="5"/>
    <s v="Weifang"/>
    <s v="Acoustic component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11"/>
    <x v="183"/>
    <x v="2"/>
    <s v="Joseph Liemandt"/>
    <n v="54"/>
    <x v="7"/>
    <x v="1"/>
    <s v="Austin"/>
    <s v="Software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11"/>
    <x v="183"/>
    <x v="7"/>
    <s v="Theo Mueller"/>
    <n v="83"/>
    <x v="7"/>
    <x v="8"/>
    <s v="Zurich"/>
    <s v="Dairy"/>
    <x v="7"/>
    <s v="Germany"/>
    <m/>
    <x v="0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611"/>
    <x v="183"/>
    <x v="2"/>
    <s v="N.R. Narayana Murthy"/>
    <n v="76"/>
    <x v="7"/>
    <x v="3"/>
    <s v="Bangalore"/>
    <s v="Software services"/>
    <x v="2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611"/>
    <x v="183"/>
    <x v="0"/>
    <s v="Odd Reitan &amp; family"/>
    <n v="71"/>
    <x v="7"/>
    <x v="36"/>
    <s v="Trondheim"/>
    <s v="Retail, real estate"/>
    <x v="0"/>
    <s v="Norway"/>
    <m/>
    <x v="0"/>
    <s v="D"/>
    <x v="0"/>
    <m/>
    <n v="120.27"/>
    <n v="2.2000000000000002"/>
    <s v="$403,336,363,636 "/>
    <x v="31"/>
    <n v="100.3"/>
    <n v="82.8"/>
    <n v="23.9"/>
    <n v="36.200000000000003"/>
    <x v="34"/>
    <n v="60.472023999999998"/>
    <n v="8.4689460000000008"/>
  </r>
  <r>
    <n v="611"/>
    <x v="183"/>
    <x v="3"/>
    <s v="Marc Rowan"/>
    <n v="60"/>
    <x v="7"/>
    <x v="1"/>
    <s v="New York"/>
    <s v="Private equit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11"/>
    <x v="183"/>
    <x v="11"/>
    <s v="Hussain Sajwani"/>
    <n v="70"/>
    <x v="7"/>
    <x v="16"/>
    <s v="Dubai"/>
    <s v="Real estate"/>
    <x v="11"/>
    <s v="United Arab Emirates"/>
    <m/>
    <x v="1"/>
    <s v="U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611"/>
    <x v="183"/>
    <x v="3"/>
    <s v="David Velez &amp; family"/>
    <n v="41"/>
    <x v="7"/>
    <x v="30"/>
    <s v="Sao Paulo"/>
    <s v="Fintech"/>
    <x v="3"/>
    <s v="Colombia"/>
    <m/>
    <x v="1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611"/>
    <x v="183"/>
    <x v="10"/>
    <s v="Xu Jinfu"/>
    <n v="59"/>
    <x v="7"/>
    <x v="5"/>
    <s v="Guangzhou"/>
    <s v="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11"/>
    <x v="183"/>
    <x v="6"/>
    <s v="Samuel Yin"/>
    <n v="72"/>
    <x v="7"/>
    <x v="35"/>
    <s v="Taipei"/>
    <s v="Retail"/>
    <x v="6"/>
    <s v="Taiwan"/>
    <m/>
    <x v="0"/>
    <s v="D"/>
    <x v="0"/>
    <m/>
    <m/>
    <m/>
    <m/>
    <x v="10"/>
    <m/>
    <m/>
    <m/>
    <m/>
    <x v="10"/>
    <m/>
    <m/>
  </r>
  <r>
    <n v="611"/>
    <x v="183"/>
    <x v="10"/>
    <s v="You Xiaoping &amp; family"/>
    <n v="65"/>
    <x v="7"/>
    <x v="5"/>
    <s v="Wenzhou"/>
    <s v="Chemicals, spandex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24"/>
    <x v="184"/>
    <x v="14"/>
    <s v="StÃ©phane Bancel"/>
    <n v="50"/>
    <x v="7"/>
    <x v="1"/>
    <s v="Boston"/>
    <s v="Biotech, vaccines"/>
    <x v="14"/>
    <s v="France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24"/>
    <x v="184"/>
    <x v="2"/>
    <s v="Margot Birmingham Perot"/>
    <n v="89"/>
    <x v="7"/>
    <x v="1"/>
    <s v="Dallas"/>
    <s v="Computer services, real estate"/>
    <x v="2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624"/>
    <x v="184"/>
    <x v="10"/>
    <s v="Neal Blue &amp; family"/>
    <n v="88"/>
    <x v="7"/>
    <x v="1"/>
    <s v="San Diego"/>
    <s v="Defense"/>
    <x v="10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24"/>
    <x v="184"/>
    <x v="15"/>
    <s v="Jim Davis"/>
    <n v="63"/>
    <x v="7"/>
    <x v="1"/>
    <s v="Cockeysville"/>
    <s v="Staffing &amp; recruiting"/>
    <x v="15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24"/>
    <x v="184"/>
    <x v="16"/>
    <s v="Rafael Del Pino"/>
    <n v="64"/>
    <x v="7"/>
    <x v="4"/>
    <s v="Madrid"/>
    <s v="Construction"/>
    <x v="16"/>
    <s v="Spain"/>
    <m/>
    <x v="0"/>
    <s v="U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624"/>
    <x v="184"/>
    <x v="14"/>
    <s v="Peter Grogg"/>
    <n v="81"/>
    <x v="7"/>
    <x v="8"/>
    <s v="Liestal"/>
    <s v="Biochemicals"/>
    <x v="14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624"/>
    <x v="184"/>
    <x v="0"/>
    <s v="Christian Haub"/>
    <n v="58"/>
    <x v="7"/>
    <x v="7"/>
    <s v="Munich"/>
    <s v="Retail"/>
    <x v="0"/>
    <s v="Germany"/>
    <m/>
    <x v="0"/>
    <s v="E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624"/>
    <x v="184"/>
    <x v="11"/>
    <s v="Mangal Prabhat Lodha"/>
    <n v="67"/>
    <x v="7"/>
    <x v="3"/>
    <s v="Mumbai"/>
    <s v="Real estate"/>
    <x v="11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624"/>
    <x v="184"/>
    <x v="17"/>
    <s v="Jeffrey Lurie &amp; family"/>
    <n v="71"/>
    <x v="7"/>
    <x v="1"/>
    <s v="Wynnewood"/>
    <s v="Philadelphia Eagles"/>
    <x v="17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24"/>
    <x v="184"/>
    <x v="3"/>
    <s v="Joe Mansueto"/>
    <n v="66"/>
    <x v="3"/>
    <x v="1"/>
    <s v="Chicago"/>
    <s v="Investment research"/>
    <x v="3"/>
    <s v="United States"/>
    <s v="Morningstar Inc."/>
    <x v="1"/>
    <s v="D"/>
    <x v="0"/>
    <s v="Entrepreneur, Investor"/>
    <n v="117.24"/>
    <n v="7.5"/>
    <s v="$21,427,700,000,000 "/>
    <x v="1"/>
    <n v="101.8"/>
    <n v="78.5"/>
    <n v="9.6"/>
    <n v="36.6"/>
    <x v="1"/>
    <n v="37.090240000000001"/>
    <n v="-95.712890999999999"/>
  </r>
  <r>
    <n v="624"/>
    <x v="184"/>
    <x v="10"/>
    <s v="Qian Dongqi &amp; family"/>
    <n v="65"/>
    <x v="7"/>
    <x v="5"/>
    <s v="Suzhou"/>
    <s v="Home-cleaning robot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24"/>
    <x v="184"/>
    <x v="12"/>
    <s v="Mikhail Shelkov"/>
    <n v="54"/>
    <x v="7"/>
    <x v="17"/>
    <s v="Moscow"/>
    <s v="Titanium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636"/>
    <x v="185"/>
    <x v="5"/>
    <s v="Patrick Drahi"/>
    <n v="59"/>
    <x v="7"/>
    <x v="8"/>
    <s v="Zermatt"/>
    <s v="Telecom"/>
    <x v="5"/>
    <s v="France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636"/>
    <x v="185"/>
    <x v="3"/>
    <s v="Behdad Eghbali"/>
    <n v="46"/>
    <x v="7"/>
    <x v="1"/>
    <s v="Los Angeles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36"/>
    <x v="185"/>
    <x v="3"/>
    <s v="Juan Carlos Escotet"/>
    <n v="63"/>
    <x v="7"/>
    <x v="4"/>
    <s v="A CoruÃ±a"/>
    <s v="Banking"/>
    <x v="3"/>
    <s v="Venezuela"/>
    <m/>
    <x v="1"/>
    <s v="U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636"/>
    <x v="185"/>
    <x v="3"/>
    <s v="Jose E. Feliciano"/>
    <n v="49"/>
    <x v="7"/>
    <x v="1"/>
    <s v="Los Angeles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36"/>
    <x v="185"/>
    <x v="14"/>
    <s v="Hu Kaijun"/>
    <n v="61"/>
    <x v="7"/>
    <x v="5"/>
    <s v="Beijing"/>
    <s v="Pharmaceutical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636"/>
    <x v="185"/>
    <x v="8"/>
    <s v="Johnelle Hunt"/>
    <n v="91"/>
    <x v="7"/>
    <x v="1"/>
    <s v="Fayetteville"/>
    <s v="Trucking"/>
    <x v="8"/>
    <s v="United States"/>
    <m/>
    <x v="1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636"/>
    <x v="185"/>
    <x v="7"/>
    <s v="Marian Ilitch"/>
    <n v="90"/>
    <x v="7"/>
    <x v="1"/>
    <s v="Bingham Farms"/>
    <s v="Little Caesars Pizza"/>
    <x v="7"/>
    <s v="United States"/>
    <m/>
    <x v="1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636"/>
    <x v="185"/>
    <x v="6"/>
    <s v="Daryl Katz"/>
    <n v="61"/>
    <x v="3"/>
    <x v="6"/>
    <s v="Edmonton"/>
    <s v="Pharmacies"/>
    <x v="6"/>
    <s v="Canada"/>
    <s v="Katz Group"/>
    <x v="1"/>
    <s v="D"/>
    <x v="0"/>
    <s v="Founder and Chairman"/>
    <n v="116.76"/>
    <n v="1.9"/>
    <s v="$1,736,425,629,520 "/>
    <x v="6"/>
    <n v="100.9"/>
    <n v="81.900000000000006"/>
    <n v="12.8"/>
    <n v="24.5"/>
    <x v="6"/>
    <n v="56.130366000000002"/>
    <n v="-106.346771"/>
  </r>
  <r>
    <n v="636"/>
    <x v="185"/>
    <x v="12"/>
    <s v="Andrei Kozitsyn"/>
    <n v="62"/>
    <x v="7"/>
    <x v="17"/>
    <s v="Verkhniaya Pyshma"/>
    <s v="Metals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636"/>
    <x v="185"/>
    <x v="3"/>
    <s v="Timur Kulibaev"/>
    <n v="56"/>
    <x v="7"/>
    <x v="51"/>
    <s v="Almaty"/>
    <s v="Banking"/>
    <x v="3"/>
    <s v="Kazakhstan"/>
    <m/>
    <x v="1"/>
    <s v="U"/>
    <x v="0"/>
    <m/>
    <n v="182.75"/>
    <n v="5.2"/>
    <s v="$180,161,741,180 "/>
    <x v="43"/>
    <n v="104.4"/>
    <n v="73.2"/>
    <n v="11.7"/>
    <n v="28.4"/>
    <x v="46"/>
    <n v="48.019573000000001"/>
    <n v="66.923683999999994"/>
  </r>
  <r>
    <n v="636"/>
    <x v="185"/>
    <x v="3"/>
    <s v="Dinara Kulibaeva"/>
    <n v="55"/>
    <x v="7"/>
    <x v="51"/>
    <s v="Almaty"/>
    <s v="Banking"/>
    <x v="3"/>
    <s v="Kazakhstan"/>
    <m/>
    <x v="0"/>
    <s v="U"/>
    <x v="1"/>
    <m/>
    <n v="182.75"/>
    <n v="5.2"/>
    <s v="$180,161,741,180 "/>
    <x v="43"/>
    <n v="104.4"/>
    <n v="73.2"/>
    <n v="11.7"/>
    <n v="28.4"/>
    <x v="46"/>
    <n v="48.019573000000001"/>
    <n v="66.923683999999994"/>
  </r>
  <r>
    <n v="636"/>
    <x v="185"/>
    <x v="11"/>
    <s v="Ian Livingstone"/>
    <n v="60"/>
    <x v="7"/>
    <x v="22"/>
    <m/>
    <s v="Real estate"/>
    <x v="11"/>
    <s v="United Kingdom"/>
    <m/>
    <x v="1"/>
    <s v="Split Family Fortune"/>
    <x v="0"/>
    <m/>
    <m/>
    <m/>
    <m/>
    <x v="10"/>
    <m/>
    <m/>
    <m/>
    <m/>
    <x v="10"/>
    <m/>
    <m/>
  </r>
  <r>
    <n v="636"/>
    <x v="185"/>
    <x v="11"/>
    <s v="Richard Livingstone"/>
    <n v="58"/>
    <x v="7"/>
    <x v="22"/>
    <m/>
    <s v="Real estate"/>
    <x v="11"/>
    <s v="United Kingdom"/>
    <m/>
    <x v="1"/>
    <s v="Split Family Fortune"/>
    <x v="0"/>
    <m/>
    <m/>
    <m/>
    <m/>
    <x v="10"/>
    <m/>
    <m/>
    <m/>
    <m/>
    <x v="10"/>
    <m/>
    <m/>
  </r>
  <r>
    <n v="636"/>
    <x v="185"/>
    <x v="7"/>
    <s v="Gwendolyn Sontheim Meyer"/>
    <n v="61"/>
    <x v="7"/>
    <x v="1"/>
    <s v="Rancho Santa Fe"/>
    <s v="Cargill"/>
    <x v="7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636"/>
    <x v="185"/>
    <x v="11"/>
    <s v="Jay Paul"/>
    <n v="75"/>
    <x v="7"/>
    <x v="1"/>
    <s v="San Francisco"/>
    <s v="Real estate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36"/>
    <x v="185"/>
    <x v="6"/>
    <s v="Pham Nhat Vuong"/>
    <n v="54"/>
    <x v="7"/>
    <x v="53"/>
    <s v="Hanoi"/>
    <s v="Diversified"/>
    <x v="6"/>
    <s v="Vietnam"/>
    <m/>
    <x v="1"/>
    <s v="D"/>
    <x v="0"/>
    <m/>
    <n v="163.52000000000001"/>
    <n v="2.8"/>
    <s v="$261,921,244,843 "/>
    <x v="45"/>
    <n v="110.6"/>
    <n v="75.3"/>
    <n v="19.100000000000001"/>
    <n v="37.6"/>
    <x v="48"/>
    <n v="14.058324000000001"/>
    <n v="108.277199"/>
  </r>
  <r>
    <n v="636"/>
    <x v="185"/>
    <x v="14"/>
    <s v="Jon Stryker"/>
    <n v="64"/>
    <x v="7"/>
    <x v="1"/>
    <s v="New York"/>
    <s v="Medical equipment"/>
    <x v="14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36"/>
    <x v="185"/>
    <x v="3"/>
    <s v="Daniel Tsai"/>
    <n v="66"/>
    <x v="7"/>
    <x v="35"/>
    <s v="Taipei"/>
    <s v="Finance"/>
    <x v="3"/>
    <s v="Taiwan"/>
    <m/>
    <x v="0"/>
    <s v="D"/>
    <x v="0"/>
    <m/>
    <m/>
    <m/>
    <m/>
    <x v="10"/>
    <m/>
    <m/>
    <m/>
    <m/>
    <x v="10"/>
    <m/>
    <m/>
  </r>
  <r>
    <n v="636"/>
    <x v="185"/>
    <x v="3"/>
    <s v="Richard Tsai"/>
    <n v="65"/>
    <x v="7"/>
    <x v="35"/>
    <s v="Taipei"/>
    <s v="Finance"/>
    <x v="3"/>
    <s v="Taiwan"/>
    <m/>
    <x v="0"/>
    <s v="D"/>
    <x v="0"/>
    <m/>
    <m/>
    <m/>
    <m/>
    <x v="10"/>
    <m/>
    <m/>
    <m/>
    <m/>
    <x v="10"/>
    <m/>
    <m/>
  </r>
  <r>
    <n v="636"/>
    <x v="185"/>
    <x v="2"/>
    <s v="Frank Wang"/>
    <n v="42"/>
    <x v="5"/>
    <x v="5"/>
    <s v="Shenzhen"/>
    <s v="Drones"/>
    <x v="2"/>
    <s v="China"/>
    <s v="DJI Technology Co."/>
    <x v="1"/>
    <s v="D"/>
    <x v="0"/>
    <s v="Founder and CEO"/>
    <n v="125.08"/>
    <n v="2.9"/>
    <s v="$19,910,000,000,000 "/>
    <x v="5"/>
    <n v="100.2"/>
    <n v="77"/>
    <n v="9.4"/>
    <n v="59.2"/>
    <x v="5"/>
    <n v="35.861660000000001"/>
    <n v="104.195397"/>
  </r>
  <r>
    <n v="636"/>
    <x v="185"/>
    <x v="10"/>
    <s v="Wang Junshi &amp; family"/>
    <n v="74"/>
    <x v="7"/>
    <x v="5"/>
    <s v="Ningbo"/>
    <s v="Solar inverter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36"/>
    <x v="185"/>
    <x v="2"/>
    <s v="Wang Wenjing"/>
    <n v="58"/>
    <x v="7"/>
    <x v="5"/>
    <s v="Beijing"/>
    <s v="Business software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36"/>
    <x v="185"/>
    <x v="3"/>
    <s v="Herbert Wertheim"/>
    <n v="83"/>
    <x v="7"/>
    <x v="1"/>
    <s v="Coral Gables"/>
    <s v="Investments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59"/>
    <x v="186"/>
    <x v="15"/>
    <s v="Shari Arison"/>
    <n v="65"/>
    <x v="7"/>
    <x v="27"/>
    <s v="Tel Aviv"/>
    <s v="Carnival Cruises"/>
    <x v="15"/>
    <s v="Israel"/>
    <m/>
    <x v="0"/>
    <s v="D"/>
    <x v="1"/>
    <s v="Investor, Philanthropist"/>
    <n v="108.15"/>
    <n v="0.8"/>
    <s v="$395,098,666,122 "/>
    <x v="25"/>
    <n v="104.9"/>
    <n v="82.8"/>
    <n v="23.1"/>
    <n v="25.3"/>
    <x v="26"/>
    <n v="31.046050999999999"/>
    <n v="34.851612000000003"/>
  </r>
  <r>
    <n v="659"/>
    <x v="186"/>
    <x v="3"/>
    <s v="Pyotr Aven"/>
    <n v="68"/>
    <x v="7"/>
    <x v="54"/>
    <m/>
    <s v="Oil, banking, telecom"/>
    <x v="3"/>
    <s v="Russia"/>
    <m/>
    <x v="1"/>
    <s v="D"/>
    <x v="0"/>
    <m/>
    <n v="116.86"/>
    <n v="2.8"/>
    <s v="$34,117,202,555 "/>
    <x v="46"/>
    <n v="99.4"/>
    <n v="74.7"/>
    <n v="22.9"/>
    <n v="38.1"/>
    <x v="49"/>
    <n v="56.879635"/>
    <n v="24.603189"/>
  </r>
  <r>
    <n v="659"/>
    <x v="186"/>
    <x v="11"/>
    <s v="Chan Laiwa &amp; family"/>
    <n v="82"/>
    <x v="7"/>
    <x v="5"/>
    <s v="Beijing"/>
    <s v="Real estate"/>
    <x v="11"/>
    <s v="China"/>
    <m/>
    <x v="1"/>
    <s v="D"/>
    <x v="1"/>
    <s v="Philanthropist"/>
    <n v="125.08"/>
    <n v="2.9"/>
    <s v="$19,910,000,000,000 "/>
    <x v="5"/>
    <n v="100.2"/>
    <n v="77"/>
    <n v="9.4"/>
    <n v="59.2"/>
    <x v="5"/>
    <n v="35.861660000000001"/>
    <n v="104.195397"/>
  </r>
  <r>
    <n v="659"/>
    <x v="186"/>
    <x v="11"/>
    <s v="Chen Hua"/>
    <n v="57"/>
    <x v="7"/>
    <x v="5"/>
    <s v="Shenzhen"/>
    <s v="Real estate"/>
    <x v="11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659"/>
    <x v="186"/>
    <x v="3"/>
    <s v="Thomas Hagen"/>
    <n v="87"/>
    <x v="7"/>
    <x v="1"/>
    <s v="Erie"/>
    <s v="Insurance"/>
    <x v="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59"/>
    <x v="186"/>
    <x v="3"/>
    <s v="Rupert Johnson, Jr."/>
    <n v="82"/>
    <x v="4"/>
    <x v="1"/>
    <s v="Burlingame"/>
    <s v="Franklin Templeton"/>
    <x v="3"/>
    <s v="United States"/>
    <s v="Franklin Resources Inc."/>
    <x v="0"/>
    <s v="D"/>
    <x v="0"/>
    <s v="Vice Chairman and Director"/>
    <n v="117.24"/>
    <n v="7.5"/>
    <s v="$21,427,700,000,000 "/>
    <x v="1"/>
    <n v="101.8"/>
    <n v="78.5"/>
    <n v="9.6"/>
    <n v="36.6"/>
    <x v="1"/>
    <n v="37.090240000000001"/>
    <n v="-95.712890999999999"/>
  </r>
  <r>
    <n v="659"/>
    <x v="186"/>
    <x v="13"/>
    <s v="Dewi Kam"/>
    <n v="72"/>
    <x v="7"/>
    <x v="15"/>
    <s v="Jakarta"/>
    <s v="Coal"/>
    <x v="13"/>
    <s v="Indonesia"/>
    <m/>
    <x v="1"/>
    <s v="N"/>
    <x v="1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659"/>
    <x v="186"/>
    <x v="2"/>
    <s v="Min Kao &amp; family"/>
    <n v="74"/>
    <x v="7"/>
    <x v="1"/>
    <s v="Leawood"/>
    <s v="Navigation equipment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59"/>
    <x v="186"/>
    <x v="3"/>
    <s v="Marc Ladreit de Lacharriere"/>
    <n v="82"/>
    <x v="7"/>
    <x v="0"/>
    <s v="Paris"/>
    <s v="Finance"/>
    <x v="3"/>
    <s v="France"/>
    <m/>
    <x v="1"/>
    <s v="U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659"/>
    <x v="186"/>
    <x v="2"/>
    <s v="Eric Lefkofsky"/>
    <n v="53"/>
    <x v="1"/>
    <x v="1"/>
    <s v="Glencoe"/>
    <s v="Groupon, investments"/>
    <x v="2"/>
    <s v="United States"/>
    <s v="Groupon"/>
    <x v="1"/>
    <s v="U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659"/>
    <x v="186"/>
    <x v="2"/>
    <s v="Lin Bin"/>
    <n v="55"/>
    <x v="7"/>
    <x v="5"/>
    <s v="Shenzhen"/>
    <s v="Smartphones"/>
    <x v="2"/>
    <s v="United States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59"/>
    <x v="186"/>
    <x v="3"/>
    <s v="Lin Li"/>
    <n v="59"/>
    <x v="7"/>
    <x v="5"/>
    <s v="Shenzhen"/>
    <s v="Investments"/>
    <x v="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59"/>
    <x v="186"/>
    <x v="2"/>
    <s v="Michael Moritz"/>
    <n v="68"/>
    <x v="3"/>
    <x v="1"/>
    <s v="San Francisco"/>
    <s v="Venture capital"/>
    <x v="2"/>
    <s v="United States"/>
    <s v="Sequoia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659"/>
    <x v="186"/>
    <x v="15"/>
    <s v="Jean (Gigi) Pritzker"/>
    <n v="60"/>
    <x v="7"/>
    <x v="1"/>
    <s v="Los Angeles"/>
    <s v="Hotels, investments"/>
    <x v="15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659"/>
    <x v="186"/>
    <x v="1"/>
    <s v="E. Joe Shoen"/>
    <n v="73"/>
    <x v="7"/>
    <x v="1"/>
    <s v="Phoenix"/>
    <s v="U-Haul"/>
    <x v="1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59"/>
    <x v="186"/>
    <x v="2"/>
    <s v="Jeff Skoll"/>
    <n v="58"/>
    <x v="7"/>
    <x v="1"/>
    <s v="Los Angeles"/>
    <s v="EBay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59"/>
    <x v="186"/>
    <x v="7"/>
    <s v="Lynsi Snyder"/>
    <n v="40"/>
    <x v="7"/>
    <x v="1"/>
    <s v="Glendora"/>
    <s v="In-N-Out Burger"/>
    <x v="7"/>
    <s v="United States"/>
    <m/>
    <x v="0"/>
    <s v="E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659"/>
    <x v="186"/>
    <x v="0"/>
    <s v="Djoko Susanto"/>
    <n v="73"/>
    <x v="7"/>
    <x v="15"/>
    <s v="Jakarta"/>
    <s v="Supermarkets"/>
    <x v="0"/>
    <s v="Indonesia"/>
    <m/>
    <x v="1"/>
    <s v="U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659"/>
    <x v="186"/>
    <x v="6"/>
    <s v="Tahir &amp; family"/>
    <n v="71"/>
    <x v="7"/>
    <x v="15"/>
    <s v="Jakarta"/>
    <s v="Diversified"/>
    <x v="6"/>
    <s v="Indonesia"/>
    <m/>
    <x v="1"/>
    <s v="U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659"/>
    <x v="186"/>
    <x v="3"/>
    <s v="Peter Thiel"/>
    <n v="55"/>
    <x v="1"/>
    <x v="1"/>
    <s v="Los Angeles"/>
    <s v="Facebook, investments"/>
    <x v="3"/>
    <s v="United States"/>
    <s v="Founders Fund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679"/>
    <x v="187"/>
    <x v="7"/>
    <s v="Andrej Babis"/>
    <n v="68"/>
    <x v="7"/>
    <x v="20"/>
    <s v="Prague"/>
    <s v="Agriculture"/>
    <x v="7"/>
    <s v="Czech Republic"/>
    <m/>
    <x v="1"/>
    <s v="D"/>
    <x v="0"/>
    <m/>
    <n v="116.48"/>
    <n v="2.8"/>
    <s v="$246,489,245,495 "/>
    <x v="19"/>
    <n v="100.7"/>
    <n v="79"/>
    <n v="14.9"/>
    <n v="46.1"/>
    <x v="20"/>
    <n v="49.817492000000001"/>
    <n v="15.472962000000001"/>
  </r>
  <r>
    <n v="679"/>
    <x v="187"/>
    <x v="15"/>
    <s v="Danielle Bellon &amp; family"/>
    <n v="83"/>
    <x v="7"/>
    <x v="0"/>
    <s v="Paris"/>
    <s v="Food services"/>
    <x v="15"/>
    <s v="France"/>
    <m/>
    <x v="0"/>
    <s v="U"/>
    <x v="1"/>
    <m/>
    <n v="110.05"/>
    <n v="1.1000000000000001"/>
    <s v="$2,715,518,274,227 "/>
    <x v="0"/>
    <n v="102.5"/>
    <n v="82.5"/>
    <n v="24.2"/>
    <n v="60.7"/>
    <x v="0"/>
    <n v="46.227637999999999"/>
    <n v="2.213749"/>
  </r>
  <r>
    <n v="679"/>
    <x v="187"/>
    <x v="4"/>
    <s v="Hubert Burda"/>
    <n v="83"/>
    <x v="7"/>
    <x v="7"/>
    <s v="Munich"/>
    <s v="Publishing"/>
    <x v="4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679"/>
    <x v="187"/>
    <x v="7"/>
    <s v="Nick Caporella"/>
    <n v="87"/>
    <x v="7"/>
    <x v="1"/>
    <s v="Plantation"/>
    <s v="Beverages"/>
    <x v="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79"/>
    <x v="187"/>
    <x v="13"/>
    <s v="John Catsimatidis"/>
    <n v="74"/>
    <x v="7"/>
    <x v="1"/>
    <s v="New York"/>
    <s v="Oil, real estate"/>
    <x v="1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79"/>
    <x v="187"/>
    <x v="2"/>
    <s v="Scott Cook"/>
    <n v="70"/>
    <x v="7"/>
    <x v="1"/>
    <s v="Woodside"/>
    <s v="Software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79"/>
    <x v="187"/>
    <x v="7"/>
    <s v="Luca Garavoglia"/>
    <n v="54"/>
    <x v="7"/>
    <x v="28"/>
    <s v="Milan"/>
    <s v="Spirits"/>
    <x v="7"/>
    <s v="Italy"/>
    <m/>
    <x v="0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679"/>
    <x v="187"/>
    <x v="10"/>
    <s v="Antti Herlin"/>
    <n v="66"/>
    <x v="7"/>
    <x v="55"/>
    <s v="Kirkkonummi"/>
    <s v="Elevators, escalators"/>
    <x v="10"/>
    <s v="Finland"/>
    <m/>
    <x v="0"/>
    <s v="D"/>
    <x v="0"/>
    <m/>
    <n v="112.33"/>
    <n v="1"/>
    <s v="$268,761,201,365 "/>
    <x v="1"/>
    <n v="100.2"/>
    <n v="81.7"/>
    <n v="20.8"/>
    <n v="36.6"/>
    <x v="50"/>
    <n v="61.924109999999999"/>
    <n v="25.748151"/>
  </r>
  <r>
    <n v="679"/>
    <x v="187"/>
    <x v="10"/>
    <s v="Hong Jie"/>
    <n v="55"/>
    <x v="7"/>
    <x v="5"/>
    <s v="Putian"/>
    <s v="Paint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679"/>
    <x v="187"/>
    <x v="15"/>
    <s v="Jeremy Jacobs, Sr. &amp; family"/>
    <n v="83"/>
    <x v="7"/>
    <x v="1"/>
    <s v="East Aurora"/>
    <s v="Food service"/>
    <x v="15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79"/>
    <x v="187"/>
    <x v="0"/>
    <s v="Igor Kesaev"/>
    <n v="56"/>
    <x v="7"/>
    <x v="17"/>
    <s v="Moscow"/>
    <s v="Tobacco distribution, retail"/>
    <x v="0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679"/>
    <x v="187"/>
    <x v="7"/>
    <s v="Mary Alice Dorrance Malone"/>
    <n v="73"/>
    <x v="7"/>
    <x v="1"/>
    <s v="Coatesville"/>
    <s v="Campbell Soup"/>
    <x v="7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679"/>
    <x v="187"/>
    <x v="6"/>
    <s v="Joao Moreira Salles"/>
    <n v="61"/>
    <x v="7"/>
    <x v="30"/>
    <s v="Rio de Janeiro"/>
    <s v="Banking, minerals"/>
    <x v="6"/>
    <s v="Brazil"/>
    <m/>
    <x v="0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679"/>
    <x v="187"/>
    <x v="3"/>
    <s v="Walther Moreira Salles Junior"/>
    <n v="66"/>
    <x v="7"/>
    <x v="30"/>
    <s v="Rio de Janeiro"/>
    <s v="Banking, minerals"/>
    <x v="3"/>
    <s v="Brazil"/>
    <m/>
    <x v="0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679"/>
    <x v="187"/>
    <x v="17"/>
    <s v="Arturo Moreno"/>
    <n v="76"/>
    <x v="7"/>
    <x v="1"/>
    <s v="Phoenix"/>
    <s v="Billboards, Los Angeles Angels"/>
    <x v="1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79"/>
    <x v="187"/>
    <x v="10"/>
    <s v="Peter Spuhler"/>
    <n v="63"/>
    <x v="7"/>
    <x v="8"/>
    <s v="Weiningen"/>
    <s v="Train cars"/>
    <x v="10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679"/>
    <x v="187"/>
    <x v="11"/>
    <s v="Donald Sterling"/>
    <n v="88"/>
    <x v="7"/>
    <x v="1"/>
    <s v="Beverly Hills"/>
    <s v="Real estate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79"/>
    <x v="187"/>
    <x v="6"/>
    <s v="Kerry Stokes"/>
    <n v="82"/>
    <x v="7"/>
    <x v="14"/>
    <s v="Perth"/>
    <s v="Construction equipment, media"/>
    <x v="6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679"/>
    <x v="187"/>
    <x v="2"/>
    <s v="Ken Xie"/>
    <n v="60"/>
    <x v="7"/>
    <x v="1"/>
    <s v="Los Altos Hills"/>
    <s v="Cybersecurity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79"/>
    <x v="187"/>
    <x v="14"/>
    <s v="Liangzhi Xie &amp; family"/>
    <n v="57"/>
    <x v="7"/>
    <x v="5"/>
    <s v="Beijing"/>
    <s v="Biotech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99"/>
    <x v="188"/>
    <x v="13"/>
    <s v="Sid Bass"/>
    <n v="80"/>
    <x v="7"/>
    <x v="1"/>
    <s v="Fort Worth"/>
    <s v="Oil, investments"/>
    <x v="1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99"/>
    <x v="188"/>
    <x v="2"/>
    <s v="Ben Chestnut"/>
    <n v="48"/>
    <x v="7"/>
    <x v="1"/>
    <s v="Atlanta"/>
    <s v="Email marketing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99"/>
    <x v="188"/>
    <x v="7"/>
    <s v="Elisabeth DeLuca &amp; family"/>
    <n v="75"/>
    <x v="7"/>
    <x v="1"/>
    <m/>
    <s v="Subway"/>
    <x v="7"/>
    <s v="United States"/>
    <m/>
    <x v="0"/>
    <s v="N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699"/>
    <x v="188"/>
    <x v="6"/>
    <s v="Guangchang Guo"/>
    <n v="56"/>
    <x v="7"/>
    <x v="5"/>
    <s v="Shanghai"/>
    <s v="Conglomerate"/>
    <x v="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99"/>
    <x v="188"/>
    <x v="10"/>
    <s v="Vinod Rai Gupta"/>
    <n v="77"/>
    <x v="7"/>
    <x v="3"/>
    <s v="Delhi"/>
    <s v="Electrical equipment"/>
    <x v="10"/>
    <s v="India"/>
    <m/>
    <x v="0"/>
    <s v="U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699"/>
    <x v="188"/>
    <x v="17"/>
    <s v="John Henry"/>
    <n v="73"/>
    <x v="7"/>
    <x v="1"/>
    <s v="Boca Raton"/>
    <s v="Sports"/>
    <x v="1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99"/>
    <x v="188"/>
    <x v="2"/>
    <s v="Travis Kalanick"/>
    <n v="46"/>
    <x v="5"/>
    <x v="1"/>
    <s v="Los Angeles"/>
    <s v="Uber"/>
    <x v="2"/>
    <s v="United States"/>
    <s v="Uber Technologies Inc."/>
    <x v="1"/>
    <s v="U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699"/>
    <x v="188"/>
    <x v="10"/>
    <s v="Koon Poh Keong"/>
    <n v="61"/>
    <x v="7"/>
    <x v="31"/>
    <s v="Petaling Jaya"/>
    <s v="Aluminum"/>
    <x v="10"/>
    <s v="Malaysia"/>
    <m/>
    <x v="1"/>
    <s v="D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699"/>
    <x v="188"/>
    <x v="2"/>
    <s v="Dan Kurzius"/>
    <n v="51"/>
    <x v="7"/>
    <x v="1"/>
    <s v="Atlanta"/>
    <s v="Email marketing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99"/>
    <x v="188"/>
    <x v="10"/>
    <s v="Paul Lee"/>
    <n v="65"/>
    <x v="7"/>
    <x v="5"/>
    <s v="Yuxi"/>
    <s v="Battery separators"/>
    <x v="10"/>
    <s v="United States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699"/>
    <x v="188"/>
    <x v="2"/>
    <s v="Tobi Lutke"/>
    <n v="42"/>
    <x v="7"/>
    <x v="6"/>
    <s v="Ottawa"/>
    <s v="E-commerce"/>
    <x v="2"/>
    <s v="Canada"/>
    <m/>
    <x v="1"/>
    <s v="D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699"/>
    <x v="188"/>
    <x v="1"/>
    <s v="Gail Miller"/>
    <n v="79"/>
    <x v="7"/>
    <x v="1"/>
    <s v="Salt Lake City"/>
    <s v="Car dealerships"/>
    <x v="1"/>
    <s v="United States"/>
    <m/>
    <x v="1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699"/>
    <x v="188"/>
    <x v="5"/>
    <s v="Rajan Mittal"/>
    <n v="63"/>
    <x v="7"/>
    <x v="3"/>
    <s v="Delhi"/>
    <s v="Telecom"/>
    <x v="5"/>
    <s v="India"/>
    <m/>
    <x v="0"/>
    <s v="Split Family Fortun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699"/>
    <x v="188"/>
    <x v="5"/>
    <s v="Rakesh Mittal"/>
    <n v="67"/>
    <x v="7"/>
    <x v="3"/>
    <s v="Delhi"/>
    <s v="Telecom"/>
    <x v="5"/>
    <s v="India"/>
    <m/>
    <x v="0"/>
    <s v="Split Family Fortun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699"/>
    <x v="188"/>
    <x v="4"/>
    <s v="Isaac Perlmutter"/>
    <n v="80"/>
    <x v="4"/>
    <x v="1"/>
    <s v="Palm Beach"/>
    <s v="Marvel comics"/>
    <x v="4"/>
    <s v="United States"/>
    <s v="Marvel Entertainment"/>
    <x v="1"/>
    <s v="D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699"/>
    <x v="188"/>
    <x v="3"/>
    <s v="Bernard Saul, II."/>
    <n v="90"/>
    <x v="2"/>
    <x v="1"/>
    <s v="Chevy Chase"/>
    <s v="Banking, real estate"/>
    <x v="3"/>
    <s v="United States"/>
    <s v="Saul Centers"/>
    <x v="0"/>
    <s v="U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699"/>
    <x v="188"/>
    <x v="5"/>
    <s v="Shaul Shani"/>
    <n v="68"/>
    <x v="7"/>
    <x v="28"/>
    <s v="Milan"/>
    <s v="Telecom"/>
    <x v="5"/>
    <s v="Israel"/>
    <m/>
    <x v="1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699"/>
    <x v="188"/>
    <x v="4"/>
    <s v="Steven Spielberg"/>
    <n v="76"/>
    <x v="7"/>
    <x v="1"/>
    <s v="Pacific Palisades"/>
    <s v="Movies"/>
    <x v="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699"/>
    <x v="188"/>
    <x v="14"/>
    <s v="Jerzy Starak"/>
    <n v="75"/>
    <x v="7"/>
    <x v="42"/>
    <s v="Konstancin"/>
    <s v="Pharmaceuticals"/>
    <x v="14"/>
    <s v="Poland"/>
    <m/>
    <x v="1"/>
    <s v="E"/>
    <x v="0"/>
    <m/>
    <n v="114.11"/>
    <n v="2.2000000000000002"/>
    <s v="$592,164,400,688 "/>
    <x v="37"/>
    <n v="100"/>
    <n v="77.599999999999994"/>
    <n v="17.399999999999999"/>
    <n v="40.799999999999997"/>
    <x v="39"/>
    <n v="51.919438"/>
    <n v="19.145136000000001"/>
  </r>
  <r>
    <n v="699"/>
    <x v="188"/>
    <x v="13"/>
    <s v="Torbjorn Tornqvist"/>
    <n v="69"/>
    <x v="7"/>
    <x v="8"/>
    <s v="Geneva"/>
    <s v="Oil trading"/>
    <x v="13"/>
    <s v="Sweden"/>
    <m/>
    <x v="1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699"/>
    <x v="188"/>
    <x v="12"/>
    <s v="Rufino Vigil Gonzalez"/>
    <n v="74"/>
    <x v="7"/>
    <x v="2"/>
    <s v="Mexico City"/>
    <s v="Steel"/>
    <x v="12"/>
    <s v="Mexico"/>
    <m/>
    <x v="1"/>
    <s v="U"/>
    <x v="0"/>
    <m/>
    <n v="141.54"/>
    <n v="3.6"/>
    <s v="$1,258,286,717,125 "/>
    <x v="2"/>
    <n v="105.8"/>
    <n v="75"/>
    <n v="13.1"/>
    <n v="55.1"/>
    <x v="2"/>
    <n v="23.634501"/>
    <n v="-102.552784"/>
  </r>
  <r>
    <n v="699"/>
    <x v="188"/>
    <x v="6"/>
    <s v="Zhang Daocai"/>
    <n v="73"/>
    <x v="7"/>
    <x v="5"/>
    <s v="Shaoxing"/>
    <s v="Valves"/>
    <x v="6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721"/>
    <x v="189"/>
    <x v="10"/>
    <s v="Juergen Blickle"/>
    <n v="76"/>
    <x v="7"/>
    <x v="7"/>
    <s v="Bruchsal"/>
    <s v="Auto parts"/>
    <x v="1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721"/>
    <x v="189"/>
    <x v="7"/>
    <s v="Austen Cargill, II."/>
    <n v="72"/>
    <x v="7"/>
    <x v="1"/>
    <s v="Livingston"/>
    <s v="Cargill"/>
    <x v="7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21"/>
    <x v="189"/>
    <x v="7"/>
    <s v="James Cargill, II."/>
    <n v="73"/>
    <x v="7"/>
    <x v="1"/>
    <s v="Birchwood"/>
    <s v="Cargill"/>
    <x v="7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21"/>
    <x v="189"/>
    <x v="3"/>
    <s v="Vanich Chaiyawan"/>
    <n v="91"/>
    <x v="7"/>
    <x v="23"/>
    <s v="Bangkok"/>
    <s v="Insurance, beverages"/>
    <x v="3"/>
    <s v="Thailand"/>
    <m/>
    <x v="1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721"/>
    <x v="189"/>
    <x v="3"/>
    <s v="Chen Dongsheng"/>
    <n v="65"/>
    <x v="7"/>
    <x v="5"/>
    <s v="Beijing"/>
    <s v="Insurance"/>
    <x v="3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721"/>
    <x v="189"/>
    <x v="1"/>
    <s v="Mong-Koo Chung"/>
    <n v="85"/>
    <x v="7"/>
    <x v="32"/>
    <s v="Seoul"/>
    <s v="Hyundai"/>
    <x v="1"/>
    <s v="South Korea"/>
    <m/>
    <x v="0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721"/>
    <x v="189"/>
    <x v="3"/>
    <s v="Kenneth Dart"/>
    <n v="67"/>
    <x v="7"/>
    <x v="45"/>
    <s v="George Town"/>
    <s v="Investments"/>
    <x v="3"/>
    <s v="Belize"/>
    <m/>
    <x v="0"/>
    <s v="U"/>
    <x v="0"/>
    <m/>
    <m/>
    <m/>
    <m/>
    <x v="10"/>
    <m/>
    <m/>
    <m/>
    <m/>
    <x v="10"/>
    <m/>
    <m/>
  </r>
  <r>
    <n v="721"/>
    <x v="189"/>
    <x v="0"/>
    <s v="Giuseppe De'Longhi &amp; family"/>
    <n v="83"/>
    <x v="7"/>
    <x v="28"/>
    <s v="Treviso"/>
    <s v="Coffee makers"/>
    <x v="0"/>
    <s v="Italy"/>
    <m/>
    <x v="0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721"/>
    <x v="189"/>
    <x v="14"/>
    <s v="Guenther Fielmann &amp; family"/>
    <n v="83"/>
    <x v="7"/>
    <x v="7"/>
    <s v="Hamburg"/>
    <s v="Optometry"/>
    <x v="14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721"/>
    <x v="189"/>
    <x v="13"/>
    <s v="W. Herbert Hunt"/>
    <n v="94"/>
    <x v="7"/>
    <x v="1"/>
    <s v="Dallas"/>
    <s v="Oil"/>
    <x v="13"/>
    <s v="United States"/>
    <m/>
    <x v="0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721"/>
    <x v="189"/>
    <x v="17"/>
    <s v="James Irsay"/>
    <n v="63"/>
    <x v="3"/>
    <x v="1"/>
    <s v="Carmel"/>
    <s v="Indianapolis Colts"/>
    <x v="17"/>
    <s v="United States"/>
    <s v="Indianapolis Colts"/>
    <x v="0"/>
    <s v="U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721"/>
    <x v="189"/>
    <x v="6"/>
    <s v="Somurai Jaruphnit"/>
    <m/>
    <x v="7"/>
    <x v="23"/>
    <s v="Bangkok"/>
    <s v="Diversified"/>
    <x v="6"/>
    <s v="Thailand"/>
    <m/>
    <x v="0"/>
    <s v="N"/>
    <x v="1"/>
    <m/>
    <n v="113.27"/>
    <n v="0.7"/>
    <s v="$543,649,976,166 "/>
    <x v="21"/>
    <n v="99.8"/>
    <n v="76.900000000000006"/>
    <n v="14.9"/>
    <n v="29.5"/>
    <x v="22"/>
    <n v="15.870032"/>
    <n v="100.992541"/>
  </r>
  <r>
    <n v="721"/>
    <x v="189"/>
    <x v="7"/>
    <s v="Marianne Liebmann"/>
    <n v="69"/>
    <x v="7"/>
    <x v="1"/>
    <s v="Bozeman"/>
    <s v="Cargill"/>
    <x v="7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721"/>
    <x v="189"/>
    <x v="14"/>
    <s v="Jorge Moll Filho &amp; family"/>
    <n v="78"/>
    <x v="7"/>
    <x v="30"/>
    <s v="Rio de Janeiro"/>
    <s v="Hospitals"/>
    <x v="14"/>
    <s v="Brazil"/>
    <m/>
    <x v="1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721"/>
    <x v="189"/>
    <x v="6"/>
    <s v="Fernando Roberto Moreira Salles"/>
    <n v="76"/>
    <x v="7"/>
    <x v="30"/>
    <s v="Sao Paulo"/>
    <s v="Banking, minerals"/>
    <x v="6"/>
    <s v="Brazil"/>
    <m/>
    <x v="0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721"/>
    <x v="189"/>
    <x v="6"/>
    <s v="Pedro Moreira Salles"/>
    <n v="63"/>
    <x v="7"/>
    <x v="30"/>
    <s v="Sao Paulo"/>
    <s v="Banking, minerals"/>
    <x v="6"/>
    <s v="Brazil"/>
    <m/>
    <x v="0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721"/>
    <x v="189"/>
    <x v="9"/>
    <s v="Gabe Newell"/>
    <n v="60"/>
    <x v="3"/>
    <x v="1"/>
    <s v="Seattle"/>
    <s v="Videogames"/>
    <x v="9"/>
    <s v="United States"/>
    <s v="Valve Corporation"/>
    <x v="1"/>
    <s v="E"/>
    <x v="0"/>
    <s v="Cofounder and CEO"/>
    <n v="117.24"/>
    <n v="7.5"/>
    <s v="$21,427,700,000,000 "/>
    <x v="1"/>
    <n v="101.8"/>
    <n v="78.5"/>
    <n v="9.6"/>
    <n v="36.6"/>
    <x v="1"/>
    <n v="37.090240000000001"/>
    <n v="-95.712890999999999"/>
  </r>
  <r>
    <n v="721"/>
    <x v="189"/>
    <x v="0"/>
    <s v="Alfred Oetker"/>
    <n v="56"/>
    <x v="7"/>
    <x v="7"/>
    <s v="Bielefeld"/>
    <s v="Consumer goods"/>
    <x v="0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721"/>
    <x v="189"/>
    <x v="0"/>
    <s v="Carl Ferdinand Oetker"/>
    <n v="50"/>
    <x v="7"/>
    <x v="7"/>
    <s v="Bielefeld"/>
    <s v="Consumer goods"/>
    <x v="0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721"/>
    <x v="189"/>
    <x v="0"/>
    <s v="Julia Oetker"/>
    <n v="44"/>
    <x v="7"/>
    <x v="7"/>
    <s v="Bielefeld"/>
    <s v="Consumer goods"/>
    <x v="0"/>
    <s v="Germany"/>
    <m/>
    <x v="0"/>
    <s v="U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721"/>
    <x v="189"/>
    <x v="10"/>
    <s v="Ruan Hongliang &amp; family"/>
    <n v="62"/>
    <x v="7"/>
    <x v="5"/>
    <s v="Jiaxing"/>
    <s v="Glas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721"/>
    <x v="189"/>
    <x v="3"/>
    <s v="Mark Stevens"/>
    <n v="63"/>
    <x v="7"/>
    <x v="1"/>
    <s v="Steamboat Springs"/>
    <s v="Venture capital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21"/>
    <x v="189"/>
    <x v="3"/>
    <s v="Tsai Hong-tu"/>
    <n v="70"/>
    <x v="7"/>
    <x v="35"/>
    <s v="Taipei"/>
    <s v="Finance"/>
    <x v="3"/>
    <s v="Taiwan"/>
    <m/>
    <x v="0"/>
    <s v="D"/>
    <x v="0"/>
    <m/>
    <m/>
    <m/>
    <m/>
    <x v="10"/>
    <m/>
    <m/>
    <m/>
    <m/>
    <x v="10"/>
    <m/>
    <m/>
  </r>
  <r>
    <n v="721"/>
    <x v="189"/>
    <x v="7"/>
    <s v="Nusli Wadia"/>
    <n v="79"/>
    <x v="7"/>
    <x v="3"/>
    <s v="Mumbai"/>
    <s v="Consumer goods"/>
    <x v="7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721"/>
    <x v="189"/>
    <x v="14"/>
    <s v="Wu Yiling"/>
    <n v="73"/>
    <x v="7"/>
    <x v="5"/>
    <s v="Shijiazhuang"/>
    <s v="Pharmaceuticals"/>
    <x v="14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721"/>
    <x v="189"/>
    <x v="10"/>
    <s v="Yu Renrong"/>
    <n v="57"/>
    <x v="7"/>
    <x v="5"/>
    <s v="Ningbo"/>
    <s v="Semiconductor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721"/>
    <x v="189"/>
    <x v="14"/>
    <s v="Zhu Baoguo &amp; family"/>
    <n v="60"/>
    <x v="7"/>
    <x v="5"/>
    <s v="Shenzhen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748"/>
    <x v="190"/>
    <x v="15"/>
    <s v="Rahul Bhatia"/>
    <n v="63"/>
    <x v="7"/>
    <x v="3"/>
    <s v="Delhi"/>
    <s v="Aviation"/>
    <x v="15"/>
    <s v="India"/>
    <m/>
    <x v="0"/>
    <s v="Split Family Fortun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748"/>
    <x v="190"/>
    <x v="16"/>
    <s v="Francesco Gaetano Caltagirone"/>
    <n v="80"/>
    <x v="7"/>
    <x v="28"/>
    <s v="Rome"/>
    <s v="Cement, diversified"/>
    <x v="16"/>
    <s v="Italy"/>
    <m/>
    <x v="1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748"/>
    <x v="190"/>
    <x v="4"/>
    <s v="Barry Diller"/>
    <n v="81"/>
    <x v="7"/>
    <x v="1"/>
    <s v="New York"/>
    <s v="Online media"/>
    <x v="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48"/>
    <x v="190"/>
    <x v="3"/>
    <s v="Wesley Edens"/>
    <n v="61"/>
    <x v="7"/>
    <x v="1"/>
    <s v="New York"/>
    <s v="Investments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48"/>
    <x v="190"/>
    <x v="3"/>
    <s v="Stephen Feinberg"/>
    <n v="63"/>
    <x v="3"/>
    <x v="1"/>
    <s v="New York"/>
    <s v="Private equity"/>
    <x v="3"/>
    <s v="United States"/>
    <s v="Cerberus Capital Management"/>
    <x v="1"/>
    <s v="U"/>
    <x v="0"/>
    <s v="Co-founder and CEO"/>
    <n v="117.24"/>
    <n v="7.5"/>
    <s v="$21,427,700,000,000 "/>
    <x v="1"/>
    <n v="101.8"/>
    <n v="78.5"/>
    <n v="9.6"/>
    <n v="36.6"/>
    <x v="1"/>
    <n v="37.090240000000001"/>
    <n v="-95.712890999999999"/>
  </r>
  <r>
    <n v="748"/>
    <x v="190"/>
    <x v="15"/>
    <s v="Rakesh Gangwal"/>
    <n v="69"/>
    <x v="7"/>
    <x v="1"/>
    <s v="Miami"/>
    <s v="Airline"/>
    <x v="15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48"/>
    <x v="190"/>
    <x v="7"/>
    <s v="Joseph Grendys"/>
    <n v="61"/>
    <x v="7"/>
    <x v="1"/>
    <s v="Chicago"/>
    <s v="Poultry processing"/>
    <x v="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48"/>
    <x v="190"/>
    <x v="4"/>
    <s v="Martha Ingram &amp; family"/>
    <n v="87"/>
    <x v="4"/>
    <x v="1"/>
    <s v="Nashville"/>
    <s v="Book distribution, transportation"/>
    <x v="4"/>
    <s v="United States"/>
    <s v="Ingram Industries, Inc."/>
    <x v="0"/>
    <s v="D"/>
    <x v="1"/>
    <s v="Former Chairman"/>
    <n v="117.24"/>
    <n v="7.5"/>
    <s v="$21,427,700,000,000 "/>
    <x v="1"/>
    <n v="101.8"/>
    <n v="78.5"/>
    <n v="9.6"/>
    <n v="36.6"/>
    <x v="1"/>
    <n v="37.090240000000001"/>
    <n v="-95.712890999999999"/>
  </r>
  <r>
    <n v="748"/>
    <x v="190"/>
    <x v="1"/>
    <s v="Li Xiang"/>
    <n v="41"/>
    <x v="7"/>
    <x v="5"/>
    <s v="Beijing"/>
    <s v="Electric vehicle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748"/>
    <x v="190"/>
    <x v="11"/>
    <s v="H. Ross Perot, Jr."/>
    <n v="64"/>
    <x v="7"/>
    <x v="1"/>
    <s v="Dallas"/>
    <s v="Real estate"/>
    <x v="11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48"/>
    <x v="190"/>
    <x v="11"/>
    <s v="Chandru Raheja"/>
    <n v="82"/>
    <x v="7"/>
    <x v="3"/>
    <s v="Mumbai"/>
    <s v="Real estate"/>
    <x v="11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748"/>
    <x v="190"/>
    <x v="13"/>
    <s v="Trevor Rees-Jones"/>
    <n v="71"/>
    <x v="7"/>
    <x v="1"/>
    <s v="Dallas"/>
    <s v="Oil &amp; gas"/>
    <x v="1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48"/>
    <x v="190"/>
    <x v="5"/>
    <s v="Yasumitsu Shigeta"/>
    <n v="58"/>
    <x v="7"/>
    <x v="12"/>
    <s v="Tokyo"/>
    <s v="Mobile phone retailer"/>
    <x v="5"/>
    <s v="Japan"/>
    <m/>
    <x v="1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748"/>
    <x v="190"/>
    <x v="14"/>
    <s v="Su Qingcan"/>
    <n v="54"/>
    <x v="7"/>
    <x v="5"/>
    <s v="Xiamen"/>
    <s v="Healthcare"/>
    <x v="14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748"/>
    <x v="190"/>
    <x v="3"/>
    <s v="Tsai Cheng-ta"/>
    <n v="73"/>
    <x v="7"/>
    <x v="35"/>
    <s v="Taipei"/>
    <s v="Finance"/>
    <x v="3"/>
    <s v="Taiwan"/>
    <m/>
    <x v="0"/>
    <s v="D"/>
    <x v="0"/>
    <m/>
    <m/>
    <m/>
    <m/>
    <x v="10"/>
    <m/>
    <m/>
    <m/>
    <m/>
    <x v="10"/>
    <m/>
    <m/>
  </r>
  <r>
    <n v="748"/>
    <x v="190"/>
    <x v="15"/>
    <s v="Steven Udvar-Hazy"/>
    <n v="77"/>
    <x v="0"/>
    <x v="1"/>
    <s v="Westlake"/>
    <s v="Aircraft leasing"/>
    <x v="15"/>
    <s v="United States"/>
    <s v="Air Lease Corp."/>
    <x v="1"/>
    <s v="D"/>
    <x v="0"/>
    <s v="CEO and Chairman"/>
    <n v="117.24"/>
    <n v="7.5"/>
    <s v="$21,427,700,000,000 "/>
    <x v="1"/>
    <n v="101.8"/>
    <n v="78.5"/>
    <n v="9.6"/>
    <n v="36.6"/>
    <x v="1"/>
    <n v="37.090240000000001"/>
    <n v="-95.712890999999999"/>
  </r>
  <r>
    <n v="748"/>
    <x v="190"/>
    <x v="10"/>
    <s v="Elizabeth Uihlein"/>
    <n v="77"/>
    <x v="7"/>
    <x v="1"/>
    <s v="Lake Forest"/>
    <s v="Packaging materials"/>
    <x v="10"/>
    <s v="United States"/>
    <m/>
    <x v="1"/>
    <s v="N"/>
    <x v="1"/>
    <s v="Entrepreneur"/>
    <n v="117.24"/>
    <n v="7.5"/>
    <s v="$21,427,700,000,000 "/>
    <x v="1"/>
    <n v="101.8"/>
    <n v="78.5"/>
    <n v="9.6"/>
    <n v="36.6"/>
    <x v="1"/>
    <n v="37.090240000000001"/>
    <n v="-95.712890999999999"/>
  </r>
  <r>
    <n v="748"/>
    <x v="190"/>
    <x v="10"/>
    <s v="Richard Uihlein"/>
    <n v="77"/>
    <x v="7"/>
    <x v="1"/>
    <s v="Lake Forest"/>
    <s v="Packaging materials"/>
    <x v="10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3"/>
    <s v="Hayes Barnard"/>
    <n v="51"/>
    <x v="7"/>
    <x v="1"/>
    <s v="Austin"/>
    <s v="Fintech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3"/>
    <s v="William Berkley"/>
    <n v="76"/>
    <x v="0"/>
    <x v="1"/>
    <s v="Coconut Grove"/>
    <s v="Insurance"/>
    <x v="3"/>
    <s v="United States"/>
    <s v="WR Berkley"/>
    <x v="1"/>
    <s v="E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11"/>
    <s v="Charles Cohen"/>
    <n v="71"/>
    <x v="7"/>
    <x v="1"/>
    <s v="New York"/>
    <s v="Real estate"/>
    <x v="11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11"/>
    <s v="Yakir Gabay"/>
    <n v="56"/>
    <x v="7"/>
    <x v="13"/>
    <s v="London"/>
    <s v="Real estate"/>
    <x v="11"/>
    <s v="Cyprus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766"/>
    <x v="191"/>
    <x v="2"/>
    <s v="Huang Li"/>
    <n v="59"/>
    <x v="7"/>
    <x v="5"/>
    <s v="Wuhan"/>
    <s v="Imaging system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766"/>
    <x v="191"/>
    <x v="8"/>
    <s v="Brad Jacobs"/>
    <n v="66"/>
    <x v="7"/>
    <x v="1"/>
    <s v="Greenwich"/>
    <s v="Logistics"/>
    <x v="8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11"/>
    <s v="Ji Qi"/>
    <n v="56"/>
    <x v="7"/>
    <x v="5"/>
    <s v="Shanghai"/>
    <s v="Hotels, motels"/>
    <x v="11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766"/>
    <x v="191"/>
    <x v="4"/>
    <s v="Jason Jiang"/>
    <n v="50"/>
    <x v="7"/>
    <x v="5"/>
    <s v="Shanghai"/>
    <s v="Advertising"/>
    <x v="4"/>
    <s v="Singapore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766"/>
    <x v="191"/>
    <x v="2"/>
    <s v="Jim Kavanaugh"/>
    <n v="60"/>
    <x v="7"/>
    <x v="1"/>
    <s v="St. Louis"/>
    <s v="IT provider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11"/>
    <s v="Richard LeFrak &amp; family"/>
    <n v="77"/>
    <x v="7"/>
    <x v="1"/>
    <s v="New York"/>
    <s v="Real estate"/>
    <x v="11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3"/>
    <s v="Mikhail Lomtadze"/>
    <n v="47"/>
    <x v="7"/>
    <x v="51"/>
    <s v="Almaty"/>
    <s v="Fintech"/>
    <x v="3"/>
    <s v="Georgia"/>
    <m/>
    <x v="1"/>
    <s v="U"/>
    <x v="0"/>
    <m/>
    <n v="182.75"/>
    <n v="5.2"/>
    <s v="$180,161,741,180 "/>
    <x v="43"/>
    <n v="104.4"/>
    <n v="73.2"/>
    <n v="11.7"/>
    <n v="28.4"/>
    <x v="46"/>
    <n v="48.019573000000001"/>
    <n v="66.923683999999994"/>
  </r>
  <r>
    <n v="766"/>
    <x v="191"/>
    <x v="0"/>
    <s v="Tom Morris"/>
    <n v="68"/>
    <x v="7"/>
    <x v="13"/>
    <s v="Merseyside"/>
    <s v="Retail"/>
    <x v="0"/>
    <s v="United Kingdom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766"/>
    <x v="191"/>
    <x v="10"/>
    <s v="Shigenobu Nagamori"/>
    <n v="78"/>
    <x v="7"/>
    <x v="12"/>
    <s v="Kyoto"/>
    <s v="Motors"/>
    <x v="10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766"/>
    <x v="191"/>
    <x v="3"/>
    <s v="Daniel Och"/>
    <n v="62"/>
    <x v="3"/>
    <x v="1"/>
    <s v="Miami Beach"/>
    <s v="Hedge funds"/>
    <x v="3"/>
    <s v="United States"/>
    <s v="Och-Ziff Capital Management"/>
    <x v="1"/>
    <s v="D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0"/>
    <s v="Horst Paulmann &amp; family"/>
    <n v="88"/>
    <x v="7"/>
    <x v="18"/>
    <s v="Santiago"/>
    <s v="Retail"/>
    <x v="0"/>
    <s v="Chile"/>
    <m/>
    <x v="1"/>
    <s v="U"/>
    <x v="0"/>
    <m/>
    <n v="131.91"/>
    <n v="2.6"/>
    <s v="$282,318,159,745 "/>
    <x v="18"/>
    <n v="101.4"/>
    <n v="80"/>
    <n v="18.2"/>
    <n v="34"/>
    <x v="18"/>
    <n v="-35.675147000000003"/>
    <n v="-71.542968999999999"/>
  </r>
  <r>
    <n v="766"/>
    <x v="191"/>
    <x v="15"/>
    <s v="Anthony Pritzker"/>
    <n v="62"/>
    <x v="7"/>
    <x v="1"/>
    <s v="Los Angeles"/>
    <s v="Hotels, investments"/>
    <x v="15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2"/>
    <s v="John Sall"/>
    <n v="75"/>
    <x v="0"/>
    <x v="1"/>
    <s v="Cary"/>
    <s v="Software"/>
    <x v="2"/>
    <s v="United States"/>
    <s v="SAS Institute"/>
    <x v="1"/>
    <s v="U"/>
    <x v="0"/>
    <s v="Co-Founder, Executive Vice President"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7"/>
    <s v="Howard Schultz"/>
    <n v="69"/>
    <x v="7"/>
    <x v="1"/>
    <s v="Seattle"/>
    <s v="Starbucks"/>
    <x v="7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0"/>
    <s v="Richard Schulze"/>
    <n v="82"/>
    <x v="4"/>
    <x v="1"/>
    <s v="Naples"/>
    <s v="Best Buy"/>
    <x v="0"/>
    <s v="United States"/>
    <s v="Best Buy Co. Inc."/>
    <x v="1"/>
    <s v="D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766"/>
    <x v="191"/>
    <x v="11"/>
    <s v="Yitzhak Tshuva"/>
    <n v="74"/>
    <x v="7"/>
    <x v="27"/>
    <s v="Netanya"/>
    <s v="Real estate"/>
    <x v="11"/>
    <s v="Israel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766"/>
    <x v="191"/>
    <x v="10"/>
    <s v="Wang Yanqing &amp; family"/>
    <n v="56"/>
    <x v="7"/>
    <x v="5"/>
    <s v="Wuxi"/>
    <s v="Electrical equipment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787"/>
    <x v="192"/>
    <x v="6"/>
    <s v="Rajiv Bajaj"/>
    <n v="56"/>
    <x v="7"/>
    <x v="3"/>
    <s v="Pune"/>
    <s v="Diversified"/>
    <x v="6"/>
    <s v="India"/>
    <m/>
    <x v="0"/>
    <s v="Split Family Fortun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787"/>
    <x v="192"/>
    <x v="6"/>
    <s v="Sanjiv Bajaj"/>
    <n v="53"/>
    <x v="7"/>
    <x v="3"/>
    <s v="Pune"/>
    <s v="Diversified"/>
    <x v="6"/>
    <s v="India"/>
    <m/>
    <x v="0"/>
    <s v="Split Family Fortun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787"/>
    <x v="192"/>
    <x v="3"/>
    <s v="Leonid Boguslavsky"/>
    <n v="71"/>
    <x v="7"/>
    <x v="28"/>
    <s v="Florence"/>
    <s v="Venture capital"/>
    <x v="3"/>
    <s v="Canada"/>
    <m/>
    <x v="1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787"/>
    <x v="192"/>
    <x v="3"/>
    <s v="Jim Coulter"/>
    <n v="63"/>
    <x v="7"/>
    <x v="1"/>
    <s v="San Francisco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87"/>
    <x v="192"/>
    <x v="1"/>
    <s v="Nicolas D'Ieteren"/>
    <n v="47"/>
    <x v="7"/>
    <x v="8"/>
    <s v="Anzere"/>
    <s v="Auto parts, distribution"/>
    <x v="1"/>
    <s v="Belgium"/>
    <m/>
    <x v="0"/>
    <s v="N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787"/>
    <x v="192"/>
    <x v="7"/>
    <s v="Beatriz Davila de Santo Domingo"/>
    <n v="84"/>
    <x v="7"/>
    <x v="56"/>
    <m/>
    <s v="Beer"/>
    <x v="7"/>
    <s v="Colombia"/>
    <m/>
    <x v="0"/>
    <s v="U"/>
    <x v="1"/>
    <m/>
    <m/>
    <m/>
    <m/>
    <x v="10"/>
    <m/>
    <m/>
    <m/>
    <m/>
    <x v="10"/>
    <m/>
    <m/>
  </r>
  <r>
    <n v="787"/>
    <x v="192"/>
    <x v="11"/>
    <s v="Bob Gaglardi"/>
    <n v="82"/>
    <x v="7"/>
    <x v="6"/>
    <s v="Vancouver"/>
    <s v="Hotels"/>
    <x v="11"/>
    <s v="Canada"/>
    <m/>
    <x v="1"/>
    <s v="U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787"/>
    <x v="192"/>
    <x v="3"/>
    <s v="Jaime Gilinski Bacal"/>
    <n v="65"/>
    <x v="7"/>
    <x v="13"/>
    <s v="London"/>
    <s v="Banking"/>
    <x v="3"/>
    <s v="Colombia"/>
    <m/>
    <x v="0"/>
    <s v="D"/>
    <x v="0"/>
    <s v="Investor"/>
    <n v="119.62"/>
    <n v="1.7"/>
    <s v="$2,827,113,184,696 "/>
    <x v="13"/>
    <n v="101.2"/>
    <n v="81.3"/>
    <n v="25.5"/>
    <n v="30.6"/>
    <x v="13"/>
    <n v="55.378050999999999"/>
    <n v="-3.4359730000000002"/>
  </r>
  <r>
    <n v="787"/>
    <x v="192"/>
    <x v="9"/>
    <s v="Pansy Ho"/>
    <n v="60"/>
    <x v="7"/>
    <x v="10"/>
    <s v="Hong Kong"/>
    <s v="Casinos"/>
    <x v="9"/>
    <s v="Hong Kong"/>
    <m/>
    <x v="0"/>
    <s v="U"/>
    <x v="1"/>
    <m/>
    <m/>
    <m/>
    <m/>
    <x v="10"/>
    <m/>
    <m/>
    <m/>
    <m/>
    <x v="10"/>
    <m/>
    <m/>
  </r>
  <r>
    <n v="787"/>
    <x v="192"/>
    <x v="3"/>
    <s v="Alan Howard"/>
    <n v="59"/>
    <x v="1"/>
    <x v="8"/>
    <s v="Geneva"/>
    <s v="Hedge funds"/>
    <x v="3"/>
    <s v="United Kingdom"/>
    <s v="Brevan Howard Asset Management"/>
    <x v="1"/>
    <s v="U"/>
    <x v="0"/>
    <s v="Founder"/>
    <n v="99.55"/>
    <n v="0.4"/>
    <s v="$703,082,435,360 "/>
    <x v="8"/>
    <n v="105.2"/>
    <n v="83.6"/>
    <n v="10.1"/>
    <n v="28.8"/>
    <x v="8"/>
    <n v="46.818187999999999"/>
    <n v="8.2275120000000008"/>
  </r>
  <r>
    <n v="787"/>
    <x v="192"/>
    <x v="1"/>
    <s v="Huang Yi"/>
    <n v="61"/>
    <x v="7"/>
    <x v="5"/>
    <s v="Beijing"/>
    <s v="Car dealerships"/>
    <x v="1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787"/>
    <x v="192"/>
    <x v="3"/>
    <s v="Peter Kellogg"/>
    <n v="80"/>
    <x v="7"/>
    <x v="1"/>
    <s v="Short Hills"/>
    <s v="Investments"/>
    <x v="3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87"/>
    <x v="192"/>
    <x v="3"/>
    <s v="Vyacheslav Kim"/>
    <n v="53"/>
    <x v="7"/>
    <x v="51"/>
    <s v="Almaty"/>
    <s v="Fintech"/>
    <x v="3"/>
    <s v="Kazakhstan"/>
    <m/>
    <x v="1"/>
    <s v="U"/>
    <x v="0"/>
    <m/>
    <n v="182.75"/>
    <n v="5.2"/>
    <s v="$180,161,741,180 "/>
    <x v="43"/>
    <n v="104.4"/>
    <n v="73.2"/>
    <n v="11.7"/>
    <n v="28.4"/>
    <x v="46"/>
    <n v="48.019573000000001"/>
    <n v="66.923683999999994"/>
  </r>
  <r>
    <n v="787"/>
    <x v="192"/>
    <x v="3"/>
    <s v="Josh Kushner"/>
    <n v="37"/>
    <x v="6"/>
    <x v="1"/>
    <s v="New York City"/>
    <s v="Venture capital"/>
    <x v="3"/>
    <s v="United States"/>
    <s v="Thrive Capital"/>
    <x v="1"/>
    <s v="U"/>
    <x v="0"/>
    <s v="Managing Partner"/>
    <n v="117.24"/>
    <n v="7.5"/>
    <s v="$21,427,700,000,000 "/>
    <x v="1"/>
    <n v="101.8"/>
    <n v="78.5"/>
    <n v="9.6"/>
    <n v="36.6"/>
    <x v="1"/>
    <n v="37.090240000000001"/>
    <n v="-95.712890999999999"/>
  </r>
  <r>
    <n v="787"/>
    <x v="192"/>
    <x v="11"/>
    <s v="Samuel Tak Lee"/>
    <n v="83"/>
    <x v="7"/>
    <x v="10"/>
    <s v="Hong Kong"/>
    <s v="Real estate"/>
    <x v="11"/>
    <s v="Hong Kong"/>
    <m/>
    <x v="0"/>
    <s v="D"/>
    <x v="0"/>
    <m/>
    <m/>
    <m/>
    <m/>
    <x v="10"/>
    <m/>
    <m/>
    <m/>
    <m/>
    <x v="10"/>
    <m/>
    <m/>
  </r>
  <r>
    <n v="787"/>
    <x v="192"/>
    <x v="11"/>
    <s v="Edwin Leong"/>
    <n v="71"/>
    <x v="7"/>
    <x v="10"/>
    <s v="Hong Kong"/>
    <s v="Real estate"/>
    <x v="11"/>
    <s v="Hong Kong"/>
    <m/>
    <x v="1"/>
    <s v="D"/>
    <x v="0"/>
    <m/>
    <m/>
    <m/>
    <m/>
    <x v="10"/>
    <m/>
    <m/>
    <m/>
    <m/>
    <x v="10"/>
    <m/>
    <m/>
  </r>
  <r>
    <n v="787"/>
    <x v="192"/>
    <x v="3"/>
    <s v="Stephen Mandel, Jr."/>
    <n v="67"/>
    <x v="3"/>
    <x v="1"/>
    <s v="Greenwich"/>
    <s v="Hedge funds"/>
    <x v="3"/>
    <s v="United States"/>
    <s v="Lone Pine Capital"/>
    <x v="1"/>
    <s v="D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787"/>
    <x v="192"/>
    <x v="6"/>
    <s v="Mohamed Mansour"/>
    <n v="75"/>
    <x v="7"/>
    <x v="13"/>
    <s v="London"/>
    <s v="Diversified"/>
    <x v="6"/>
    <s v="Egypt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787"/>
    <x v="192"/>
    <x v="0"/>
    <s v="Masahiro Miki"/>
    <n v="67"/>
    <x v="7"/>
    <x v="12"/>
    <s v="Tokyo"/>
    <s v="Shoes"/>
    <x v="0"/>
    <s v="Japan"/>
    <m/>
    <x v="1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787"/>
    <x v="192"/>
    <x v="2"/>
    <s v="Masahiro Noda"/>
    <n v="84"/>
    <x v="7"/>
    <x v="12"/>
    <s v="Tokyo"/>
    <s v="Software"/>
    <x v="2"/>
    <s v="Japan"/>
    <m/>
    <x v="1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787"/>
    <x v="192"/>
    <x v="2"/>
    <s v="Cliff Obrecht"/>
    <n v="37"/>
    <x v="7"/>
    <x v="14"/>
    <s v="Sydney"/>
    <s v="Software"/>
    <x v="2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787"/>
    <x v="192"/>
    <x v="2"/>
    <s v="Melanie Perkins"/>
    <n v="35"/>
    <x v="6"/>
    <x v="14"/>
    <s v="Sydney"/>
    <s v="Software"/>
    <x v="2"/>
    <s v="Australia"/>
    <s v="Canva"/>
    <x v="1"/>
    <s v="D"/>
    <x v="1"/>
    <s v="Cofounder &amp; CEO"/>
    <n v="119.8"/>
    <n v="1.6"/>
    <s v="$1,392,680,589,329 "/>
    <x v="14"/>
    <n v="100.3"/>
    <n v="82.7"/>
    <n v="23"/>
    <n v="47.4"/>
    <x v="14"/>
    <n v="-25.274398000000001"/>
    <n v="133.775136"/>
  </r>
  <r>
    <n v="787"/>
    <x v="192"/>
    <x v="3"/>
    <s v="J.B. Pritzker"/>
    <n v="58"/>
    <x v="7"/>
    <x v="1"/>
    <s v="Springfield"/>
    <s v="Hotels, investments"/>
    <x v="3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87"/>
    <x v="192"/>
    <x v="0"/>
    <s v="Juan Roig"/>
    <n v="73"/>
    <x v="7"/>
    <x v="4"/>
    <s v="Valencia"/>
    <s v="Supermarkets"/>
    <x v="0"/>
    <s v="Spain"/>
    <m/>
    <x v="0"/>
    <s v="D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787"/>
    <x v="192"/>
    <x v="11"/>
    <s v="Jerry Speyer &amp; family"/>
    <n v="82"/>
    <x v="7"/>
    <x v="1"/>
    <s v="New York"/>
    <s v="Real estate"/>
    <x v="11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787"/>
    <x v="192"/>
    <x v="0"/>
    <s v="Lawrence Stroll"/>
    <n v="63"/>
    <x v="7"/>
    <x v="8"/>
    <s v="Geneva"/>
    <s v="Fashion investments"/>
    <x v="0"/>
    <s v="Canada"/>
    <m/>
    <x v="1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787"/>
    <x v="192"/>
    <x v="8"/>
    <s v="Tung Chee Chen"/>
    <n v="80"/>
    <x v="7"/>
    <x v="10"/>
    <s v="Hong Kong"/>
    <s v="Shipping"/>
    <x v="8"/>
    <s v="Hong Kong"/>
    <m/>
    <x v="0"/>
    <s v="E"/>
    <x v="0"/>
    <m/>
    <m/>
    <m/>
    <m/>
    <x v="10"/>
    <m/>
    <m/>
    <m/>
    <m/>
    <x v="10"/>
    <m/>
    <m/>
  </r>
  <r>
    <n v="787"/>
    <x v="192"/>
    <x v="7"/>
    <s v="Wang Junlin"/>
    <n v="60"/>
    <x v="7"/>
    <x v="5"/>
    <s v="Chengdu"/>
    <s v="Liquor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787"/>
    <x v="192"/>
    <x v="1"/>
    <s v="Xia Zuoquan"/>
    <n v="61"/>
    <x v="7"/>
    <x v="5"/>
    <s v="Shenzhen"/>
    <s v="Automobiles, batteries"/>
    <x v="1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787"/>
    <x v="192"/>
    <x v="2"/>
    <s v="Zeng Fangqin"/>
    <n v="57"/>
    <x v="7"/>
    <x v="5"/>
    <s v="Shenzhen"/>
    <s v="Smartphone components"/>
    <x v="2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787"/>
    <x v="192"/>
    <x v="10"/>
    <s v="Zhang Jian"/>
    <n v="54"/>
    <x v="7"/>
    <x v="5"/>
    <s v="Tianjin"/>
    <s v="Electric bikes, scooter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818"/>
    <x v="193"/>
    <x v="0"/>
    <s v="Rocco Basilico"/>
    <n v="33"/>
    <x v="7"/>
    <x v="1"/>
    <s v="Los Angeles"/>
    <s v="Eyeglasses"/>
    <x v="0"/>
    <s v="Italy"/>
    <m/>
    <x v="0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18"/>
    <x v="193"/>
    <x v="14"/>
    <s v="Maurizio Billi"/>
    <n v="65"/>
    <x v="7"/>
    <x v="30"/>
    <s v="Sao Paulo"/>
    <s v="Generic drugs"/>
    <x v="14"/>
    <s v="Brazil"/>
    <m/>
    <x v="0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818"/>
    <x v="193"/>
    <x v="3"/>
    <s v="Fashu Chen"/>
    <n v="62"/>
    <x v="7"/>
    <x v="5"/>
    <s v="Fuzhou"/>
    <s v="Investments"/>
    <x v="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818"/>
    <x v="193"/>
    <x v="10"/>
    <s v="Giuseppe Crippa &amp; family"/>
    <n v="87"/>
    <x v="7"/>
    <x v="28"/>
    <s v="Cernusco Lombardone"/>
    <s v="Microchip testing"/>
    <x v="10"/>
    <s v="Italy"/>
    <m/>
    <x v="1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818"/>
    <x v="193"/>
    <x v="3"/>
    <s v="Daniel D'Aniello"/>
    <n v="76"/>
    <x v="7"/>
    <x v="1"/>
    <s v="Vienna"/>
    <s v="Private equit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18"/>
    <x v="193"/>
    <x v="0"/>
    <s v="Claudio Del Vecchio"/>
    <n v="66"/>
    <x v="7"/>
    <x v="1"/>
    <s v="Muttontown"/>
    <s v="Eyeglasses"/>
    <x v="0"/>
    <s v="Italy"/>
    <m/>
    <x v="0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18"/>
    <x v="193"/>
    <x v="0"/>
    <s v="Clemente Del Vecchio"/>
    <n v="18"/>
    <x v="7"/>
    <x v="28"/>
    <s v="Milan"/>
    <s v="Eyeglases"/>
    <x v="0"/>
    <s v="Italy"/>
    <m/>
    <x v="0"/>
    <s v="N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818"/>
    <x v="193"/>
    <x v="0"/>
    <s v="Leonardo Maria Del Vecchio"/>
    <n v="27"/>
    <x v="7"/>
    <x v="28"/>
    <s v="Milan"/>
    <s v="Eyeglasses"/>
    <x v="0"/>
    <s v="Italy"/>
    <m/>
    <x v="0"/>
    <s v="N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818"/>
    <x v="193"/>
    <x v="0"/>
    <s v="Luca Del Vecchio"/>
    <n v="21"/>
    <x v="7"/>
    <x v="28"/>
    <s v="Milan"/>
    <s v="Eyeglasses"/>
    <x v="0"/>
    <s v="Italy"/>
    <m/>
    <x v="0"/>
    <s v="N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818"/>
    <x v="193"/>
    <x v="0"/>
    <s v="Marisa Del Vecchio"/>
    <n v="64"/>
    <x v="7"/>
    <x v="28"/>
    <s v="Rome"/>
    <s v="Eyeglasses"/>
    <x v="0"/>
    <s v="Italy"/>
    <m/>
    <x v="0"/>
    <s v="N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818"/>
    <x v="193"/>
    <x v="0"/>
    <s v="Paola Del Vecchio"/>
    <n v="61"/>
    <x v="7"/>
    <x v="57"/>
    <s v="Luxembourg"/>
    <s v="Eyeglasses"/>
    <x v="0"/>
    <s v="Italy"/>
    <m/>
    <x v="0"/>
    <s v="N"/>
    <x v="1"/>
    <m/>
    <n v="115.09"/>
    <n v="1.7"/>
    <s v="$71,104,919,108 "/>
    <x v="47"/>
    <n v="102.3"/>
    <n v="82.1"/>
    <n v="26.5"/>
    <n v="20.399999999999999"/>
    <x v="51"/>
    <n v="49.815272999999998"/>
    <n v="6.1295830000000002"/>
  </r>
  <r>
    <n v="818"/>
    <x v="193"/>
    <x v="3"/>
    <s v="Walter P.J. Droege"/>
    <n v="70"/>
    <x v="7"/>
    <x v="7"/>
    <s v="Dusseldorf"/>
    <s v="Investing"/>
    <x v="3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818"/>
    <x v="193"/>
    <x v="0"/>
    <s v="Fan Daidi"/>
    <n v="57"/>
    <x v="7"/>
    <x v="5"/>
    <s v="Xian"/>
    <s v="Skincare"/>
    <x v="0"/>
    <s v="China"/>
    <m/>
    <x v="1"/>
    <s v="N"/>
    <x v="1"/>
    <m/>
    <n v="125.08"/>
    <n v="2.9"/>
    <s v="$19,910,000,000,000 "/>
    <x v="5"/>
    <n v="100.2"/>
    <n v="77"/>
    <n v="9.4"/>
    <n v="59.2"/>
    <x v="5"/>
    <n v="35.861660000000001"/>
    <n v="104.195397"/>
  </r>
  <r>
    <n v="818"/>
    <x v="193"/>
    <x v="2"/>
    <s v="Peter Gassner"/>
    <n v="58"/>
    <x v="7"/>
    <x v="1"/>
    <s v="Pleasanton"/>
    <s v="Software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18"/>
    <x v="193"/>
    <x v="13"/>
    <s v="Mikhail Gutseriev"/>
    <n v="65"/>
    <x v="7"/>
    <x v="17"/>
    <s v="Moscow"/>
    <s v="Oil, coal, real estate"/>
    <x v="1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818"/>
    <x v="193"/>
    <x v="10"/>
    <s v="Patrick Lee"/>
    <n v="81"/>
    <x v="7"/>
    <x v="10"/>
    <s v="Hong Kong"/>
    <s v="Paper"/>
    <x v="10"/>
    <s v="Hong Kong"/>
    <m/>
    <x v="1"/>
    <s v="D"/>
    <x v="0"/>
    <m/>
    <m/>
    <m/>
    <m/>
    <x v="10"/>
    <m/>
    <m/>
    <m/>
    <m/>
    <x v="10"/>
    <m/>
    <m/>
  </r>
  <r>
    <n v="818"/>
    <x v="193"/>
    <x v="7"/>
    <s v="Leng Youbin"/>
    <n v="54"/>
    <x v="7"/>
    <x v="5"/>
    <s v="Beijing"/>
    <s v="Infant formula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818"/>
    <x v="193"/>
    <x v="3"/>
    <s v="Daniel Loeb"/>
    <n v="61"/>
    <x v="3"/>
    <x v="1"/>
    <s v="New York"/>
    <s v="Hedge funds"/>
    <x v="3"/>
    <s v="United States"/>
    <s v="Third Point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818"/>
    <x v="193"/>
    <x v="7"/>
    <s v="Margarita Louis-Dreyfus &amp; family"/>
    <n v="60"/>
    <x v="3"/>
    <x v="8"/>
    <s v="Davos"/>
    <s v="Commodities"/>
    <x v="7"/>
    <s v="Switzerland"/>
    <s v="Louis Dreyfus SAS"/>
    <x v="0"/>
    <s v="D"/>
    <x v="1"/>
    <s v="President"/>
    <n v="99.55"/>
    <n v="0.4"/>
    <s v="$703,082,435,360 "/>
    <x v="8"/>
    <n v="105.2"/>
    <n v="83.6"/>
    <n v="10.1"/>
    <n v="28.8"/>
    <x v="8"/>
    <n v="46.818187999999999"/>
    <n v="8.2275120000000008"/>
  </r>
  <r>
    <n v="818"/>
    <x v="193"/>
    <x v="14"/>
    <s v="Prasert Prasarttong-Osoth"/>
    <n v="90"/>
    <x v="7"/>
    <x v="23"/>
    <s v="Bangkok"/>
    <s v="Hospitals"/>
    <x v="14"/>
    <s v="Thailand"/>
    <m/>
    <x v="1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818"/>
    <x v="193"/>
    <x v="3"/>
    <s v="Ira Rennert"/>
    <n v="88"/>
    <x v="7"/>
    <x v="1"/>
    <s v="New York"/>
    <s v="Investments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18"/>
    <x v="193"/>
    <x v="0"/>
    <s v="Dirk Rossmann &amp; family"/>
    <n v="76"/>
    <x v="7"/>
    <x v="7"/>
    <s v="Lower-Saxony"/>
    <s v="Drugstores"/>
    <x v="0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818"/>
    <x v="193"/>
    <x v="16"/>
    <s v="Arkady Rotenberg"/>
    <n v="71"/>
    <x v="7"/>
    <x v="17"/>
    <s v="Moscow"/>
    <s v="Construction, pipes, banking"/>
    <x v="16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818"/>
    <x v="193"/>
    <x v="0"/>
    <s v="Remo Ruffini"/>
    <n v="61"/>
    <x v="7"/>
    <x v="28"/>
    <s v="Como"/>
    <s v="Winter jackets"/>
    <x v="0"/>
    <s v="Italy"/>
    <m/>
    <x v="1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818"/>
    <x v="193"/>
    <x v="14"/>
    <s v="Karin Sartorius-Herbst"/>
    <m/>
    <x v="7"/>
    <x v="7"/>
    <s v="Northeim"/>
    <s v="Biopharmaceuticals"/>
    <x v="14"/>
    <s v="Germany"/>
    <m/>
    <x v="0"/>
    <s v="U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818"/>
    <x v="193"/>
    <x v="1"/>
    <s v="Vivek Chaand Sehgal"/>
    <n v="66"/>
    <x v="7"/>
    <x v="3"/>
    <s v="Delhi"/>
    <s v="Auto parts"/>
    <x v="1"/>
    <s v="Austral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818"/>
    <x v="193"/>
    <x v="3"/>
    <s v="Scott Shleifer"/>
    <n v="45"/>
    <x v="5"/>
    <x v="1"/>
    <s v="New York"/>
    <s v="Private equity"/>
    <x v="3"/>
    <s v="United States"/>
    <s v="Tiger Global Management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818"/>
    <x v="193"/>
    <x v="2"/>
    <s v="Thomas Siebel"/>
    <n v="70"/>
    <x v="7"/>
    <x v="1"/>
    <s v="Woodside"/>
    <s v="Business software"/>
    <x v="2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18"/>
    <x v="193"/>
    <x v="10"/>
    <s v="Wim van der Leegte &amp; family"/>
    <n v="75"/>
    <x v="7"/>
    <x v="41"/>
    <s v="Eindhoven"/>
    <s v="Manufacturing"/>
    <x v="10"/>
    <s v="Netherlands"/>
    <m/>
    <x v="0"/>
    <s v="U"/>
    <x v="0"/>
    <m/>
    <n v="115.91"/>
    <n v="2.6"/>
    <s v="$909,070,395,161 "/>
    <x v="36"/>
    <n v="104.2"/>
    <n v="81.8"/>
    <n v="23"/>
    <n v="41.2"/>
    <x v="38"/>
    <n v="52.132632999999998"/>
    <n v="5.2912660000000002"/>
  </r>
  <r>
    <n v="818"/>
    <x v="193"/>
    <x v="6"/>
    <s v="Xiao Yongming &amp; family"/>
    <n v="58"/>
    <x v="7"/>
    <x v="5"/>
    <s v="Beijing"/>
    <s v="Fertilizer"/>
    <x v="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818"/>
    <x v="193"/>
    <x v="2"/>
    <s v="Michael Xie"/>
    <n v="54"/>
    <x v="7"/>
    <x v="1"/>
    <s v="Los Altos Hills"/>
    <s v="Cybersecurity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18"/>
    <x v="193"/>
    <x v="8"/>
    <s v="Yang Shaopeng"/>
    <n v="65"/>
    <x v="7"/>
    <x v="5"/>
    <s v="Qingdao"/>
    <s v="Shipping"/>
    <x v="8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818"/>
    <x v="193"/>
    <x v="0"/>
    <s v="Nicoletta Zampillo"/>
    <n v="65"/>
    <x v="7"/>
    <x v="19"/>
    <s v="Monaco"/>
    <s v="Eyeglasses"/>
    <x v="0"/>
    <s v="Italy"/>
    <m/>
    <x v="0"/>
    <s v="N"/>
    <x v="1"/>
    <m/>
    <m/>
    <m/>
    <s v="$7,184,844,193 "/>
    <x v="10"/>
    <m/>
    <m/>
    <m/>
    <m/>
    <x v="19"/>
    <n v="43.738417599999998"/>
    <n v="7.4246157999999998"/>
  </r>
  <r>
    <n v="818"/>
    <x v="193"/>
    <x v="10"/>
    <s v="Barry Zekelman"/>
    <n v="56"/>
    <x v="7"/>
    <x v="6"/>
    <s v="Windsor"/>
    <s v="Steel"/>
    <x v="10"/>
    <s v="Canada"/>
    <m/>
    <x v="0"/>
    <s v="U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852"/>
    <x v="194"/>
    <x v="3"/>
    <s v="William Ackman"/>
    <n v="56"/>
    <x v="1"/>
    <x v="1"/>
    <s v="New York"/>
    <s v="Hedge funds"/>
    <x v="3"/>
    <s v="United States"/>
    <s v="Pershing Square Capital Management, L.P."/>
    <x v="1"/>
    <s v="U"/>
    <x v="0"/>
    <s v="Founder, CEO"/>
    <n v="117.24"/>
    <n v="7.5"/>
    <s v="$21,427,700,000,000 "/>
    <x v="1"/>
    <n v="101.8"/>
    <n v="78.5"/>
    <n v="9.6"/>
    <n v="36.6"/>
    <x v="1"/>
    <n v="37.090240000000001"/>
    <n v="-95.712890999999999"/>
  </r>
  <r>
    <n v="852"/>
    <x v="194"/>
    <x v="13"/>
    <s v="Somphote Ahunai"/>
    <n v="55"/>
    <x v="7"/>
    <x v="23"/>
    <s v="Bangkok"/>
    <s v="Renewable energy"/>
    <x v="13"/>
    <s v="Thailand"/>
    <m/>
    <x v="1"/>
    <s v="D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852"/>
    <x v="194"/>
    <x v="12"/>
    <s v="Igor Altushkin"/>
    <n v="52"/>
    <x v="7"/>
    <x v="17"/>
    <s v="Yekaterinburg"/>
    <s v="Metals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852"/>
    <x v="194"/>
    <x v="7"/>
    <s v="Ramon Ang"/>
    <n v="69"/>
    <x v="7"/>
    <x v="34"/>
    <s v="Manila"/>
    <s v="Diversified"/>
    <x v="7"/>
    <s v="Philippines"/>
    <m/>
    <x v="1"/>
    <s v="U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852"/>
    <x v="194"/>
    <x v="7"/>
    <s v="Acharya Balkrishna"/>
    <n v="50"/>
    <x v="7"/>
    <x v="3"/>
    <s v="Haridwar"/>
    <s v="Consumer goods"/>
    <x v="7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852"/>
    <x v="194"/>
    <x v="10"/>
    <s v="Markus Blocher"/>
    <n v="52"/>
    <x v="7"/>
    <x v="8"/>
    <s v="Wilen bei Wollerau"/>
    <s v="Chemicals"/>
    <x v="10"/>
    <s v="Switzerland"/>
    <m/>
    <x v="0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852"/>
    <x v="194"/>
    <x v="6"/>
    <s v="Richard Branson"/>
    <n v="72"/>
    <x v="7"/>
    <x v="58"/>
    <s v="Necker Island"/>
    <s v="Virgin"/>
    <x v="6"/>
    <s v="United Kingdom"/>
    <m/>
    <x v="1"/>
    <s v="D"/>
    <x v="0"/>
    <m/>
    <m/>
    <m/>
    <m/>
    <x v="10"/>
    <m/>
    <m/>
    <m/>
    <m/>
    <x v="10"/>
    <m/>
    <m/>
  </r>
  <r>
    <n v="852"/>
    <x v="194"/>
    <x v="3"/>
    <s v="Cho Jung-ho"/>
    <n v="64"/>
    <x v="7"/>
    <x v="32"/>
    <s v="Seoul"/>
    <s v="Finance"/>
    <x v="3"/>
    <s v="South Korea"/>
    <s v="Meritz Financial Group"/>
    <x v="0"/>
    <s v="U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852"/>
    <x v="194"/>
    <x v="7"/>
    <s v="Alessandra Garavoglia"/>
    <n v="63"/>
    <x v="7"/>
    <x v="28"/>
    <s v="Milan"/>
    <s v="Spirits"/>
    <x v="7"/>
    <s v="Italy"/>
    <m/>
    <x v="0"/>
    <s v="U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852"/>
    <x v="194"/>
    <x v="0"/>
    <s v="Laurence Graff &amp; family"/>
    <n v="84"/>
    <x v="7"/>
    <x v="8"/>
    <s v="Gstaad"/>
    <s v="Diamond jewelry"/>
    <x v="0"/>
    <s v="United Kingdom"/>
    <m/>
    <x v="1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852"/>
    <x v="194"/>
    <x v="4"/>
    <s v="Amos Hostetter, Jr."/>
    <n v="86"/>
    <x v="4"/>
    <x v="1"/>
    <s v="Boston"/>
    <s v="Cable television"/>
    <x v="4"/>
    <s v="United States"/>
    <s v="Pilot House Associates"/>
    <x v="1"/>
    <s v="D"/>
    <x v="0"/>
    <s v="Chair"/>
    <n v="117.24"/>
    <n v="7.5"/>
    <s v="$21,427,700,000,000 "/>
    <x v="1"/>
    <n v="101.8"/>
    <n v="78.5"/>
    <n v="9.6"/>
    <n v="36.6"/>
    <x v="1"/>
    <n v="37.090240000000001"/>
    <n v="-95.712890999999999"/>
  </r>
  <r>
    <n v="852"/>
    <x v="194"/>
    <x v="17"/>
    <s v="Robert Johnson"/>
    <n v="75"/>
    <x v="7"/>
    <x v="1"/>
    <s v="Palm Beach"/>
    <s v="Johnson &amp; Johnson, sports"/>
    <x v="17"/>
    <s v="United States"/>
    <m/>
    <x v="0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52"/>
    <x v="194"/>
    <x v="3"/>
    <s v="Steven Klinsky"/>
    <n v="66"/>
    <x v="3"/>
    <x v="1"/>
    <s v="New York"/>
    <s v="Investments"/>
    <x v="3"/>
    <s v="United States"/>
    <s v="New Mountain Capital"/>
    <x v="1"/>
    <s v="E"/>
    <x v="0"/>
    <s v="Founder &amp; CEO"/>
    <n v="117.24"/>
    <n v="7.5"/>
    <s v="$21,427,700,000,000 "/>
    <x v="1"/>
    <n v="101.8"/>
    <n v="78.5"/>
    <n v="9.6"/>
    <n v="36.6"/>
    <x v="1"/>
    <n v="37.090240000000001"/>
    <n v="-95.712890999999999"/>
  </r>
  <r>
    <n v="852"/>
    <x v="194"/>
    <x v="0"/>
    <s v="William Lauder"/>
    <n v="62"/>
    <x v="7"/>
    <x v="1"/>
    <s v="New York"/>
    <s v="Estee Lauder"/>
    <x v="0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52"/>
    <x v="194"/>
    <x v="7"/>
    <s v="John Middleton"/>
    <n v="68"/>
    <x v="7"/>
    <x v="1"/>
    <s v="Bryn Mawr"/>
    <s v="Tobacco"/>
    <x v="7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52"/>
    <x v="194"/>
    <x v="0"/>
    <s v="Hiroshi Mikitani"/>
    <n v="58"/>
    <x v="7"/>
    <x v="12"/>
    <s v="Tokyo"/>
    <s v="Online retail"/>
    <x v="0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852"/>
    <x v="194"/>
    <x v="2"/>
    <s v="Bob Parsons"/>
    <n v="72"/>
    <x v="7"/>
    <x v="1"/>
    <s v="Scottsdale"/>
    <s v="Web hosting"/>
    <x v="2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52"/>
    <x v="194"/>
    <x v="3"/>
    <s v="J. Joe Ricketts &amp; family"/>
    <n v="81"/>
    <x v="7"/>
    <x v="1"/>
    <s v="Little Jackson Hole"/>
    <s v="TD Ameritrade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52"/>
    <x v="194"/>
    <x v="11"/>
    <s v="Herb Simon"/>
    <n v="88"/>
    <x v="4"/>
    <x v="1"/>
    <s v="Indianapolis"/>
    <s v="Real estate"/>
    <x v="11"/>
    <s v="United States"/>
    <s v="Simon Property Group"/>
    <x v="1"/>
    <s v="D"/>
    <x v="0"/>
    <s v="Chairman Emeritus of the Board of Simon Property Group, Inc."/>
    <n v="117.24"/>
    <n v="7.5"/>
    <s v="$21,427,700,000,000 "/>
    <x v="1"/>
    <n v="101.8"/>
    <n v="78.5"/>
    <n v="9.6"/>
    <n v="36.6"/>
    <x v="1"/>
    <n v="37.090240000000001"/>
    <n v="-95.712890999999999"/>
  </r>
  <r>
    <n v="852"/>
    <x v="194"/>
    <x v="14"/>
    <s v="Leena Tewari"/>
    <n v="65"/>
    <x v="7"/>
    <x v="3"/>
    <s v="Mumbai"/>
    <s v="Pharmaceuticals"/>
    <x v="14"/>
    <s v="India"/>
    <m/>
    <x v="0"/>
    <s v="D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852"/>
    <x v="194"/>
    <x v="4"/>
    <s v="Stefan von Holtzbrinck"/>
    <n v="59"/>
    <x v="7"/>
    <x v="7"/>
    <s v="Stuttgart"/>
    <s v="Publishing"/>
    <x v="4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852"/>
    <x v="194"/>
    <x v="7"/>
    <s v="Hans Peter Wild"/>
    <n v="81"/>
    <x v="7"/>
    <x v="8"/>
    <s v="Zug"/>
    <s v="Flavorings"/>
    <x v="7"/>
    <s v="Switzerland"/>
    <m/>
    <x v="0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852"/>
    <x v="194"/>
    <x v="14"/>
    <s v="Wu Guanjiang &amp; family"/>
    <n v="54"/>
    <x v="7"/>
    <x v="5"/>
    <s v="Chongqing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852"/>
    <x v="194"/>
    <x v="2"/>
    <s v="Yi Zheng"/>
    <n v="52"/>
    <x v="7"/>
    <x v="5"/>
    <s v="Hangzhou"/>
    <s v="Software"/>
    <x v="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852"/>
    <x v="194"/>
    <x v="2"/>
    <s v="Eric Yuan &amp; family"/>
    <n v="53"/>
    <x v="1"/>
    <x v="1"/>
    <s v="Santa Clara"/>
    <s v="Zoom Video Communications"/>
    <x v="2"/>
    <s v="United States"/>
    <s v="Zoom Video Communications"/>
    <x v="1"/>
    <s v="D"/>
    <x v="0"/>
    <s v="Founder and CEO"/>
    <n v="117.24"/>
    <n v="7.5"/>
    <s v="$21,427,700,000,000 "/>
    <x v="1"/>
    <n v="101.8"/>
    <n v="78.5"/>
    <n v="9.6"/>
    <n v="36.6"/>
    <x v="1"/>
    <n v="37.090240000000001"/>
    <n v="-95.712890999999999"/>
  </r>
  <r>
    <n v="852"/>
    <x v="194"/>
    <x v="4"/>
    <s v="Charles Zegar"/>
    <n v="75"/>
    <x v="7"/>
    <x v="1"/>
    <s v="New York"/>
    <s v="Bloomberg LP"/>
    <x v="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78"/>
    <x v="195"/>
    <x v="16"/>
    <s v="Mohed Altrad"/>
    <n v="75"/>
    <x v="7"/>
    <x v="0"/>
    <s v="Montpellier"/>
    <s v="Scaffolding, cement mixers"/>
    <x v="16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878"/>
    <x v="195"/>
    <x v="3"/>
    <s v="John Arnold"/>
    <n v="49"/>
    <x v="5"/>
    <x v="1"/>
    <s v="Houston"/>
    <s v="Hedge funds"/>
    <x v="3"/>
    <s v="United States"/>
    <s v="Centaurus Advisors"/>
    <x v="1"/>
    <s v="E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878"/>
    <x v="195"/>
    <x v="10"/>
    <s v="Bill Austin"/>
    <n v="81"/>
    <x v="7"/>
    <x v="1"/>
    <s v="Brownsville"/>
    <s v="Hearing aids"/>
    <x v="10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78"/>
    <x v="195"/>
    <x v="10"/>
    <s v="Chen Shibin"/>
    <n v="56"/>
    <x v="7"/>
    <x v="5"/>
    <s v="Lianyungang"/>
    <s v="Quartz product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878"/>
    <x v="195"/>
    <x v="7"/>
    <s v="Bennett Dorrance"/>
    <n v="77"/>
    <x v="7"/>
    <x v="1"/>
    <s v="Paradise Valley"/>
    <s v="Campbell Soup"/>
    <x v="7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78"/>
    <x v="195"/>
    <x v="7"/>
    <s v="Walter Faria"/>
    <n v="68"/>
    <x v="7"/>
    <x v="30"/>
    <s v="Rio de Janeiro"/>
    <s v="Beer"/>
    <x v="7"/>
    <s v="Brazil"/>
    <m/>
    <x v="1"/>
    <s v="E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878"/>
    <x v="195"/>
    <x v="1"/>
    <s v="Walter Frey"/>
    <n v="79"/>
    <x v="7"/>
    <x v="8"/>
    <s v="KÃ¼snacht"/>
    <s v="Car dealerships"/>
    <x v="1"/>
    <s v="Switzerland"/>
    <m/>
    <x v="0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878"/>
    <x v="195"/>
    <x v="2"/>
    <s v="Fu Liquan &amp; family"/>
    <n v="55"/>
    <x v="7"/>
    <x v="5"/>
    <s v="Hangzhou"/>
    <s v="Surveillance equipment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878"/>
    <x v="195"/>
    <x v="11"/>
    <s v="John Gandel"/>
    <n v="88"/>
    <x v="7"/>
    <x v="14"/>
    <s v="Melbourne"/>
    <s v="Shopping malls"/>
    <x v="11"/>
    <s v="Australia"/>
    <m/>
    <x v="0"/>
    <s v="E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878"/>
    <x v="195"/>
    <x v="16"/>
    <s v="Peter Gilgan"/>
    <n v="72"/>
    <x v="0"/>
    <x v="6"/>
    <s v="Oakville"/>
    <s v="Homebuilding"/>
    <x v="16"/>
    <s v="Canada"/>
    <s v="Mattamy Group Corp."/>
    <x v="1"/>
    <s v="U"/>
    <x v="0"/>
    <s v="Founder, CEO and Chairman"/>
    <n v="116.76"/>
    <n v="1.9"/>
    <s v="$1,736,425,629,520 "/>
    <x v="6"/>
    <n v="100.9"/>
    <n v="81.900000000000006"/>
    <n v="12.8"/>
    <n v="24.5"/>
    <x v="6"/>
    <n v="56.130366000000002"/>
    <n v="-106.346771"/>
  </r>
  <r>
    <n v="878"/>
    <x v="195"/>
    <x v="6"/>
    <s v="Kwek Leng Beng"/>
    <n v="82"/>
    <x v="7"/>
    <x v="25"/>
    <s v="Singapore"/>
    <s v="Diversified"/>
    <x v="6"/>
    <s v="Singapore"/>
    <m/>
    <x v="0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878"/>
    <x v="195"/>
    <x v="3"/>
    <s v="Pablo Legorreta"/>
    <n v="59"/>
    <x v="7"/>
    <x v="1"/>
    <s v="Sag Harbor"/>
    <s v="Investments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78"/>
    <x v="195"/>
    <x v="4"/>
    <s v="Arnon Milchan"/>
    <n v="78"/>
    <x v="7"/>
    <x v="27"/>
    <s v="Tel Aviv"/>
    <s v="Movie making"/>
    <x v="4"/>
    <s v="Israel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878"/>
    <x v="195"/>
    <x v="0"/>
    <s v="Akio Nitori"/>
    <n v="79"/>
    <x v="7"/>
    <x v="12"/>
    <s v="Hokkaido"/>
    <s v="Home furnishings"/>
    <x v="0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878"/>
    <x v="195"/>
    <x v="12"/>
    <s v="Julio Ponce Lerou"/>
    <n v="77"/>
    <x v="7"/>
    <x v="18"/>
    <s v="Santiago"/>
    <s v="Fertilizer"/>
    <x v="12"/>
    <s v="Chile"/>
    <m/>
    <x v="1"/>
    <s v="D"/>
    <x v="0"/>
    <m/>
    <n v="131.91"/>
    <n v="2.6"/>
    <s v="$282,318,159,745 "/>
    <x v="18"/>
    <n v="101.4"/>
    <n v="80"/>
    <n v="18.2"/>
    <n v="34"/>
    <x v="18"/>
    <n v="-35.675147000000003"/>
    <n v="-71.542968999999999"/>
  </r>
  <r>
    <n v="878"/>
    <x v="195"/>
    <x v="3"/>
    <s v="Rodger Riney &amp; family"/>
    <n v="77"/>
    <x v="0"/>
    <x v="1"/>
    <s v="St. Louis"/>
    <s v="Discount brokerage"/>
    <x v="3"/>
    <s v="United States"/>
    <s v="Scottrade, Inc.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878"/>
    <x v="195"/>
    <x v="6"/>
    <s v="Phil Ruffin"/>
    <n v="88"/>
    <x v="7"/>
    <x v="1"/>
    <s v="Las Vegas"/>
    <s v="Casinos, real estate"/>
    <x v="6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78"/>
    <x v="195"/>
    <x v="5"/>
    <s v="Naguib Sawiris"/>
    <n v="68"/>
    <x v="7"/>
    <x v="37"/>
    <s v="Cairo"/>
    <s v="Telecom"/>
    <x v="5"/>
    <s v="Egypt"/>
    <m/>
    <x v="0"/>
    <s v="D"/>
    <x v="0"/>
    <m/>
    <n v="288.57"/>
    <n v="9.1999999999999993"/>
    <s v="$303,175,127,598 "/>
    <x v="33"/>
    <n v="106.3"/>
    <n v="71.8"/>
    <n v="12.5"/>
    <n v="44.4"/>
    <x v="35"/>
    <n v="26.820553"/>
    <n v="30.802498"/>
  </r>
  <r>
    <n v="878"/>
    <x v="195"/>
    <x v="3"/>
    <s v="Neil Shen"/>
    <n v="55"/>
    <x v="1"/>
    <x v="5"/>
    <s v="Hong Kong"/>
    <s v="Venture capital"/>
    <x v="3"/>
    <s v="Hong Kong"/>
    <s v="Sequoia China"/>
    <x v="1"/>
    <s v="D"/>
    <x v="0"/>
    <s v="Investor"/>
    <n v="125.08"/>
    <n v="2.9"/>
    <s v="$19,910,000,000,000 "/>
    <x v="5"/>
    <n v="100.2"/>
    <n v="77"/>
    <n v="9.4"/>
    <n v="59.2"/>
    <x v="5"/>
    <n v="35.861660000000001"/>
    <n v="104.195397"/>
  </r>
  <r>
    <n v="878"/>
    <x v="195"/>
    <x v="2"/>
    <s v="Gil Shwed"/>
    <n v="54"/>
    <x v="7"/>
    <x v="27"/>
    <s v="Tel Aviv"/>
    <s v="Software"/>
    <x v="2"/>
    <s v="Israel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878"/>
    <x v="195"/>
    <x v="3"/>
    <s v="Stephen Smith"/>
    <n v="71"/>
    <x v="7"/>
    <x v="6"/>
    <s v="Toronto"/>
    <s v="Finance and investments"/>
    <x v="3"/>
    <s v="Canada"/>
    <m/>
    <x v="1"/>
    <s v="U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878"/>
    <x v="195"/>
    <x v="3"/>
    <s v="Nik Storonsky"/>
    <n v="38"/>
    <x v="7"/>
    <x v="13"/>
    <s v="London"/>
    <s v="Fintech"/>
    <x v="3"/>
    <s v="United Kingdom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878"/>
    <x v="195"/>
    <x v="3"/>
    <s v="Jeffrey Talpins"/>
    <n v="48"/>
    <x v="5"/>
    <x v="1"/>
    <s v="Larchmont"/>
    <s v="Hedge fund"/>
    <x v="3"/>
    <s v="United States"/>
    <s v="Element Capital Management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878"/>
    <x v="195"/>
    <x v="3"/>
    <s v="Carl Thoma"/>
    <n v="74"/>
    <x v="7"/>
    <x v="1"/>
    <s v="Dallas"/>
    <s v="Investments"/>
    <x v="3"/>
    <s v="United States"/>
    <m/>
    <x v="1"/>
    <s v="U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878"/>
    <x v="195"/>
    <x v="10"/>
    <s v="Todd Wanek"/>
    <n v="59"/>
    <x v="7"/>
    <x v="1"/>
    <s v="St. Petersburg"/>
    <s v="Furniture"/>
    <x v="10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878"/>
    <x v="195"/>
    <x v="10"/>
    <s v="Xue Hua"/>
    <n v="53"/>
    <x v="7"/>
    <x v="5"/>
    <s v="Guangzhou"/>
    <s v="Agribusines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878"/>
    <x v="195"/>
    <x v="0"/>
    <s v="Takao Yasuda"/>
    <n v="73"/>
    <x v="7"/>
    <x v="25"/>
    <s v="Singapore"/>
    <s v="Retail"/>
    <x v="0"/>
    <s v="Japan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905"/>
    <x v="196"/>
    <x v="7"/>
    <s v="Karen Virginia Beckmann Legoretta"/>
    <n v="53"/>
    <x v="7"/>
    <x v="22"/>
    <m/>
    <s v="Tequila"/>
    <x v="7"/>
    <s v="Mexico"/>
    <m/>
    <x v="0"/>
    <s v="U"/>
    <x v="1"/>
    <m/>
    <m/>
    <m/>
    <m/>
    <x v="10"/>
    <m/>
    <m/>
    <m/>
    <m/>
    <x v="10"/>
    <m/>
    <m/>
  </r>
  <r>
    <n v="905"/>
    <x v="196"/>
    <x v="0"/>
    <s v="Giuliana Benetton"/>
    <n v="85"/>
    <x v="7"/>
    <x v="28"/>
    <s v="Treviso"/>
    <s v="Fashion retail, investments"/>
    <x v="0"/>
    <s v="Italy"/>
    <m/>
    <x v="1"/>
    <s v="U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905"/>
    <x v="196"/>
    <x v="0"/>
    <s v="Luciano Benetton"/>
    <n v="87"/>
    <x v="7"/>
    <x v="28"/>
    <s v="Ponzano Veneto"/>
    <s v="Fashion retail, investments"/>
    <x v="0"/>
    <s v="Italy"/>
    <m/>
    <x v="1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905"/>
    <x v="196"/>
    <x v="10"/>
    <s v="Arun Bharat Ram"/>
    <n v="82"/>
    <x v="7"/>
    <x v="3"/>
    <s v="Delhi"/>
    <s v="Chemicals"/>
    <x v="10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905"/>
    <x v="196"/>
    <x v="3"/>
    <s v="Ron Burkle"/>
    <n v="70"/>
    <x v="0"/>
    <x v="13"/>
    <s v="London"/>
    <s v="Supermarkets, investments"/>
    <x v="3"/>
    <s v="United States"/>
    <s v="The Yucaipa Companies, LLC"/>
    <x v="1"/>
    <s v="U"/>
    <x v="0"/>
    <s v="Investor"/>
    <n v="119.62"/>
    <n v="1.7"/>
    <s v="$2,827,113,184,696 "/>
    <x v="13"/>
    <n v="101.2"/>
    <n v="81.3"/>
    <n v="25.5"/>
    <n v="30.6"/>
    <x v="13"/>
    <n v="55.378050999999999"/>
    <n v="-3.4359730000000002"/>
  </r>
  <r>
    <n v="905"/>
    <x v="196"/>
    <x v="10"/>
    <s v="Chen Kaixuan"/>
    <n v="64"/>
    <x v="7"/>
    <x v="5"/>
    <s v="Guangzhou"/>
    <s v="Household 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05"/>
    <x v="196"/>
    <x v="0"/>
    <s v="Brunello Cucinelli &amp; family"/>
    <n v="69"/>
    <x v="7"/>
    <x v="28"/>
    <s v="Solomeo"/>
    <s v="Fashion"/>
    <x v="0"/>
    <s v="Italy"/>
    <m/>
    <x v="1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905"/>
    <x v="196"/>
    <x v="10"/>
    <s v="Antonio Del Valle Ruiz &amp; family"/>
    <n v="84"/>
    <x v="7"/>
    <x v="2"/>
    <s v="Mexico City"/>
    <s v="Chemicals"/>
    <x v="10"/>
    <s v="Mexico"/>
    <m/>
    <x v="1"/>
    <s v="D"/>
    <x v="0"/>
    <m/>
    <n v="141.54"/>
    <n v="3.6"/>
    <s v="$1,258,286,717,125 "/>
    <x v="2"/>
    <n v="105.8"/>
    <n v="75"/>
    <n v="13.1"/>
    <n v="55.1"/>
    <x v="2"/>
    <n v="23.634501"/>
    <n v="-102.552784"/>
  </r>
  <r>
    <n v="905"/>
    <x v="196"/>
    <x v="14"/>
    <s v="Gustavo Denegri &amp; family"/>
    <n v="86"/>
    <x v="7"/>
    <x v="28"/>
    <s v="torino"/>
    <s v="Biotech"/>
    <x v="14"/>
    <s v="Italy"/>
    <m/>
    <x v="1"/>
    <s v="Split Family Fortune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905"/>
    <x v="196"/>
    <x v="1"/>
    <s v="Dong Jinggui"/>
    <n v="53"/>
    <x v="7"/>
    <x v="5"/>
    <s v="Wuxi"/>
    <s v="Electric scooters"/>
    <x v="1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905"/>
    <x v="196"/>
    <x v="4"/>
    <s v="Charles Ergen"/>
    <n v="70"/>
    <x v="0"/>
    <x v="1"/>
    <s v="Denver"/>
    <s v="Satellite TV"/>
    <x v="4"/>
    <s v="United States"/>
    <s v="DISH Network"/>
    <x v="1"/>
    <s v="D"/>
    <x v="0"/>
    <s v="Founder and Chairman"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2"/>
    <s v="David Filo"/>
    <n v="56"/>
    <x v="1"/>
    <x v="1"/>
    <s v="Palo Alto"/>
    <s v="Yahoo"/>
    <x v="2"/>
    <s v="United States"/>
    <s v="Yahoo!"/>
    <x v="1"/>
    <s v="D"/>
    <x v="0"/>
    <s v="Chief Yahoo"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8"/>
    <s v="Lindsay Fox"/>
    <n v="85"/>
    <x v="7"/>
    <x v="14"/>
    <s v="Melbourne"/>
    <s v="Logistics, real estate"/>
    <x v="8"/>
    <s v="Australia"/>
    <m/>
    <x v="1"/>
    <s v="U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905"/>
    <x v="196"/>
    <x v="0"/>
    <s v="Sergei Galitsky"/>
    <n v="55"/>
    <x v="7"/>
    <x v="17"/>
    <s v="Krasnodar"/>
    <s v="Retail"/>
    <x v="0"/>
    <s v="Russia"/>
    <m/>
    <x v="1"/>
    <s v="E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905"/>
    <x v="196"/>
    <x v="2"/>
    <s v="Senapathy Gopalakrishnan"/>
    <n v="67"/>
    <x v="7"/>
    <x v="3"/>
    <s v="Bangalore"/>
    <s v="Software services"/>
    <x v="2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905"/>
    <x v="196"/>
    <x v="0"/>
    <s v="Luciano Hang"/>
    <n v="60"/>
    <x v="7"/>
    <x v="30"/>
    <s v="Brusque"/>
    <s v="Department stores"/>
    <x v="0"/>
    <s v="Brazil"/>
    <m/>
    <x v="1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905"/>
    <x v="196"/>
    <x v="3"/>
    <s v="Michael Hintze"/>
    <n v="69"/>
    <x v="3"/>
    <x v="13"/>
    <s v="London"/>
    <s v="Investment"/>
    <x v="3"/>
    <s v="Australia"/>
    <s v="CQS LLP"/>
    <x v="1"/>
    <s v="E"/>
    <x v="0"/>
    <s v="Founder"/>
    <n v="119.62"/>
    <n v="1.7"/>
    <s v="$2,827,113,184,696 "/>
    <x v="13"/>
    <n v="101.2"/>
    <n v="81.3"/>
    <n v="25.5"/>
    <n v="30.6"/>
    <x v="13"/>
    <n v="55.378050999999999"/>
    <n v="-3.4359730000000002"/>
  </r>
  <r>
    <n v="905"/>
    <x v="196"/>
    <x v="14"/>
    <s v="Hu Baifan"/>
    <n v="60"/>
    <x v="7"/>
    <x v="5"/>
    <s v="Shaoxing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05"/>
    <x v="196"/>
    <x v="3"/>
    <s v="Hamilton James &amp; family"/>
    <n v="71"/>
    <x v="7"/>
    <x v="1"/>
    <s v="New York"/>
    <s v="Investments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2"/>
    <s v="Lee Boo-jin"/>
    <n v="52"/>
    <x v="7"/>
    <x v="32"/>
    <s v="Seoul"/>
    <s v="Samsung"/>
    <x v="2"/>
    <s v="South Korea"/>
    <m/>
    <x v="0"/>
    <s v="D"/>
    <x v="1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905"/>
    <x v="196"/>
    <x v="10"/>
    <s v="Li Liangbin"/>
    <n v="55"/>
    <x v="7"/>
    <x v="5"/>
    <s v="Xinyu"/>
    <s v="Lithium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05"/>
    <x v="196"/>
    <x v="10"/>
    <s v="Liang Feng"/>
    <n v="54"/>
    <x v="7"/>
    <x v="5"/>
    <s v="Shanghai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05"/>
    <x v="196"/>
    <x v="14"/>
    <s v="Samir Mehta"/>
    <n v="59"/>
    <x v="7"/>
    <x v="3"/>
    <s v="Ahmedabad"/>
    <s v="Pharmaceuticals, power"/>
    <x v="14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905"/>
    <x v="196"/>
    <x v="14"/>
    <s v="Sudhir Mehta"/>
    <n v="68"/>
    <x v="7"/>
    <x v="3"/>
    <s v="Ahmedabad"/>
    <s v="Pharmaceuticals, power"/>
    <x v="14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905"/>
    <x v="196"/>
    <x v="12"/>
    <s v="Aristotelis Mistakidis"/>
    <n v="61"/>
    <x v="7"/>
    <x v="8"/>
    <s v="Zug"/>
    <s v="Mining, commodities"/>
    <x v="12"/>
    <s v="Greece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905"/>
    <x v="196"/>
    <x v="11"/>
    <s v="Geoffrey Palmer"/>
    <n v="72"/>
    <x v="7"/>
    <x v="1"/>
    <s v="Beverly Hills"/>
    <s v="Real estate"/>
    <x v="11"/>
    <s v="United States"/>
    <m/>
    <x v="0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1"/>
    <s v="Roger Penske"/>
    <n v="86"/>
    <x v="7"/>
    <x v="1"/>
    <s v="Birmingham"/>
    <s v="Cars"/>
    <x v="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16"/>
    <s v="Ravi Pillai"/>
    <n v="69"/>
    <x v="7"/>
    <x v="16"/>
    <s v="Dubai"/>
    <s v="Construction"/>
    <x v="16"/>
    <s v="India"/>
    <m/>
    <x v="1"/>
    <s v="U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905"/>
    <x v="196"/>
    <x v="3"/>
    <s v="David Rubenstein"/>
    <n v="73"/>
    <x v="0"/>
    <x v="1"/>
    <s v="Bethesda"/>
    <s v="Private equity"/>
    <x v="3"/>
    <s v="United States"/>
    <s v="Carlyle Group"/>
    <x v="1"/>
    <s v="D"/>
    <x v="0"/>
    <s v="Cofounder and Co-executive Chairman"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7"/>
    <s v="Hilton Schlosberg"/>
    <n v="70"/>
    <x v="7"/>
    <x v="1"/>
    <s v="Irvine"/>
    <s v="Energy drinks"/>
    <x v="7"/>
    <s v="United Kingdom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15"/>
    <s v="Klaus-Peter Schulenberg"/>
    <n v="71"/>
    <x v="7"/>
    <x v="7"/>
    <s v="Bremen"/>
    <s v="Ticketing service"/>
    <x v="15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905"/>
    <x v="196"/>
    <x v="13"/>
    <s v="Lynn Schusterman &amp; family"/>
    <n v="84"/>
    <x v="7"/>
    <x v="1"/>
    <s v="Tulsa"/>
    <s v="Oil &amp; gas, investments"/>
    <x v="13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10"/>
    <s v="Isabella SerÃ gnoli"/>
    <n v="77"/>
    <x v="7"/>
    <x v="28"/>
    <s v="Bologna"/>
    <s v="Packaging"/>
    <x v="10"/>
    <s v="Italy"/>
    <m/>
    <x v="0"/>
    <s v="U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905"/>
    <x v="196"/>
    <x v="0"/>
    <s v="Shen Guojun"/>
    <n v="60"/>
    <x v="7"/>
    <x v="5"/>
    <s v="Beijing"/>
    <s v="Retail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05"/>
    <x v="196"/>
    <x v="3"/>
    <s v="Warren Stephens"/>
    <n v="66"/>
    <x v="7"/>
    <x v="1"/>
    <s v="Little Rock"/>
    <s v="Investment banking"/>
    <x v="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14"/>
    <s v="Pat Stryker"/>
    <n v="66"/>
    <x v="7"/>
    <x v="1"/>
    <s v="Fort Collins"/>
    <s v="Medical equipment"/>
    <x v="14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8"/>
    <s v="Roman Trotsenko"/>
    <n v="52"/>
    <x v="7"/>
    <x v="17"/>
    <s v="Moscow"/>
    <s v="Transport, engineering, real estate"/>
    <x v="8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905"/>
    <x v="196"/>
    <x v="2"/>
    <s v="Harald Tschira"/>
    <n v="48"/>
    <x v="7"/>
    <x v="7"/>
    <s v="Heidelberg"/>
    <s v="Software"/>
    <x v="2"/>
    <s v="Germany"/>
    <m/>
    <x v="0"/>
    <s v="Split Family Fortune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905"/>
    <x v="196"/>
    <x v="2"/>
    <s v="Udo Tschira"/>
    <n v="53"/>
    <x v="7"/>
    <x v="7"/>
    <s v="Wiesloch"/>
    <s v="Software"/>
    <x v="2"/>
    <s v="Germany"/>
    <m/>
    <x v="0"/>
    <s v="Split Family Fortune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905"/>
    <x v="196"/>
    <x v="3"/>
    <s v="Vincent Viola"/>
    <n v="67"/>
    <x v="7"/>
    <x v="1"/>
    <s v="New York"/>
    <s v="Electronic trading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7"/>
    <s v="Wu Shaoxun"/>
    <n v="67"/>
    <x v="7"/>
    <x v="5"/>
    <s v="Daye"/>
    <s v="Wine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05"/>
    <x v="196"/>
    <x v="9"/>
    <s v="Steve Wynn"/>
    <n v="81"/>
    <x v="4"/>
    <x v="1"/>
    <s v="Palm Beach"/>
    <s v="Casinos, hotels"/>
    <x v="9"/>
    <s v="United States"/>
    <s v="Wynn Resorts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9"/>
    <s v="Jon Yarbrough"/>
    <n v="65"/>
    <x v="7"/>
    <x v="1"/>
    <s v="Franklin"/>
    <s v="Video games"/>
    <x v="9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05"/>
    <x v="196"/>
    <x v="10"/>
    <s v="Zhou Bajin"/>
    <n v="87"/>
    <x v="7"/>
    <x v="5"/>
    <s v="Changzhou"/>
    <s v="Auto part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49"/>
    <x v="197"/>
    <x v="10"/>
    <s v="Cho Tak Wong"/>
    <n v="76"/>
    <x v="7"/>
    <x v="5"/>
    <s v="Fuqing"/>
    <s v="Auto parts"/>
    <x v="10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49"/>
    <x v="197"/>
    <x v="9"/>
    <s v="John Coates"/>
    <n v="53"/>
    <x v="7"/>
    <x v="13"/>
    <s v="Stoke-On-Trent"/>
    <s v="Online gambling"/>
    <x v="9"/>
    <s v="United Kingdom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949"/>
    <x v="197"/>
    <x v="3"/>
    <s v="Ryan Cohen"/>
    <n v="37"/>
    <x v="7"/>
    <x v="1"/>
    <s v="Bal Harbour"/>
    <s v="Investments"/>
    <x v="3"/>
    <s v="Canada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49"/>
    <x v="197"/>
    <x v="7"/>
    <s v="Deng Wen"/>
    <n v="55"/>
    <x v="7"/>
    <x v="5"/>
    <s v="Chengdu"/>
    <s v="Flavorings"/>
    <x v="7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949"/>
    <x v="197"/>
    <x v="10"/>
    <s v="Gurbachan Singh Dhingra"/>
    <n v="72"/>
    <x v="7"/>
    <x v="3"/>
    <s v="Delhi"/>
    <s v="Paints"/>
    <x v="1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949"/>
    <x v="197"/>
    <x v="10"/>
    <s v="Kuldip Singh Dhingra"/>
    <n v="75"/>
    <x v="7"/>
    <x v="3"/>
    <s v="Delhi"/>
    <s v="Paints"/>
    <x v="1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949"/>
    <x v="197"/>
    <x v="3"/>
    <s v="Martin Ebner"/>
    <n v="77"/>
    <x v="7"/>
    <x v="8"/>
    <s v="Wilen"/>
    <s v="Investments"/>
    <x v="3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949"/>
    <x v="197"/>
    <x v="10"/>
    <s v="Charles Edelstenne"/>
    <n v="85"/>
    <x v="7"/>
    <x v="0"/>
    <s v="Paris"/>
    <s v="Aviation"/>
    <x v="10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949"/>
    <x v="197"/>
    <x v="11"/>
    <s v="Sergei Gordeev"/>
    <n v="50"/>
    <x v="7"/>
    <x v="17"/>
    <s v="Moscow"/>
    <s v="Real estate"/>
    <x v="11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949"/>
    <x v="197"/>
    <x v="4"/>
    <s v="Jeff T. Green"/>
    <n v="46"/>
    <x v="7"/>
    <x v="1"/>
    <s v="Newbury Park"/>
    <s v="Digital advertising"/>
    <x v="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49"/>
    <x v="197"/>
    <x v="2"/>
    <s v="Reed Hastings"/>
    <n v="62"/>
    <x v="3"/>
    <x v="1"/>
    <s v="Santa Cruz"/>
    <s v="Netflix"/>
    <x v="2"/>
    <s v="United States"/>
    <s v="Netflix"/>
    <x v="1"/>
    <s v="D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949"/>
    <x v="197"/>
    <x v="15"/>
    <s v="Bertil Hult"/>
    <n v="82"/>
    <x v="7"/>
    <x v="8"/>
    <s v="Lucerne"/>
    <s v="Education"/>
    <x v="15"/>
    <s v="Sweden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949"/>
    <x v="197"/>
    <x v="0"/>
    <s v="Miguel Krigsner"/>
    <n v="73"/>
    <x v="7"/>
    <x v="30"/>
    <s v="Sao Jose dos Pinhais"/>
    <s v="Cosmetics"/>
    <x v="0"/>
    <s v="Brazil"/>
    <m/>
    <x v="1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949"/>
    <x v="197"/>
    <x v="10"/>
    <s v="Kuok Khoon Hong"/>
    <n v="73"/>
    <x v="7"/>
    <x v="25"/>
    <s v="Singapore"/>
    <s v="Palm oil"/>
    <x v="10"/>
    <s v="Singapore"/>
    <m/>
    <x v="0"/>
    <s v="D"/>
    <x v="0"/>
    <m/>
    <n v="114.41"/>
    <n v="0.6"/>
    <s v="$372,062,527,489 "/>
    <x v="23"/>
    <n v="100.6"/>
    <n v="83.1"/>
    <n v="13.1"/>
    <n v="21"/>
    <x v="24"/>
    <n v="1.3520829999999999"/>
    <n v="103.819836"/>
  </r>
  <r>
    <n v="949"/>
    <x v="197"/>
    <x v="0"/>
    <s v="Aerin Lauder"/>
    <n v="52"/>
    <x v="7"/>
    <x v="1"/>
    <s v="New York"/>
    <s v="Estee Lauder"/>
    <x v="0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949"/>
    <x v="197"/>
    <x v="7"/>
    <s v="Sheldon Lavin"/>
    <n v="90"/>
    <x v="7"/>
    <x v="1"/>
    <s v="Highland Park"/>
    <s v="Meat processing"/>
    <x v="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49"/>
    <x v="197"/>
    <x v="10"/>
    <s v="Yin Yee Lee"/>
    <n v="71"/>
    <x v="7"/>
    <x v="10"/>
    <s v="Hong Kong"/>
    <s v="Glass"/>
    <x v="10"/>
    <s v="China"/>
    <m/>
    <x v="1"/>
    <s v="D"/>
    <x v="0"/>
    <m/>
    <m/>
    <m/>
    <m/>
    <x v="10"/>
    <m/>
    <m/>
    <m/>
    <m/>
    <x v="10"/>
    <m/>
    <m/>
  </r>
  <r>
    <n v="949"/>
    <x v="197"/>
    <x v="10"/>
    <s v="Vladimir Litvinenko &amp; family"/>
    <n v="67"/>
    <x v="7"/>
    <x v="17"/>
    <s v="Saint Petersburg"/>
    <s v="Chemical industry"/>
    <x v="10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949"/>
    <x v="197"/>
    <x v="12"/>
    <s v="Daniel Mate"/>
    <n v="59"/>
    <x v="7"/>
    <x v="8"/>
    <s v="Kanton Schwyz"/>
    <s v="Mining, commodities"/>
    <x v="12"/>
    <s v="Spain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949"/>
    <x v="197"/>
    <x v="0"/>
    <s v="Ravi Modi"/>
    <n v="46"/>
    <x v="7"/>
    <x v="3"/>
    <s v="Kolkata"/>
    <s v="Readymade garments"/>
    <x v="0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949"/>
    <x v="197"/>
    <x v="6"/>
    <s v="Farhad Moshiri"/>
    <n v="67"/>
    <x v="7"/>
    <x v="19"/>
    <s v="Monaco"/>
    <s v="Diversified"/>
    <x v="6"/>
    <s v="United Kingdom"/>
    <m/>
    <x v="1"/>
    <s v="U"/>
    <x v="0"/>
    <m/>
    <m/>
    <m/>
    <s v="$7,184,844,193 "/>
    <x v="10"/>
    <m/>
    <m/>
    <m/>
    <m/>
    <x v="19"/>
    <n v="43.738417599999998"/>
    <n v="7.4246157999999998"/>
  </r>
  <r>
    <n v="949"/>
    <x v="197"/>
    <x v="3"/>
    <s v="Jonathan Nelson"/>
    <n v="66"/>
    <x v="3"/>
    <x v="1"/>
    <s v="Providence"/>
    <s v="Private equity"/>
    <x v="3"/>
    <s v="United States"/>
    <s v="Providence Equity Partners"/>
    <x v="1"/>
    <s v="U"/>
    <x v="0"/>
    <s v="Executive Chairman "/>
    <n v="117.24"/>
    <n v="7.5"/>
    <s v="$21,427,700,000,000 "/>
    <x v="1"/>
    <n v="101.8"/>
    <n v="78.5"/>
    <n v="9.6"/>
    <n v="36.6"/>
    <x v="1"/>
    <n v="37.090240000000001"/>
    <n v="-95.712890999999999"/>
  </r>
  <r>
    <n v="949"/>
    <x v="197"/>
    <x v="11"/>
    <s v="Or Wai Sheun"/>
    <n v="71"/>
    <x v="7"/>
    <x v="10"/>
    <s v="Hong Kong"/>
    <s v="Real estate"/>
    <x v="11"/>
    <s v="Hong Kong"/>
    <m/>
    <x v="1"/>
    <s v="D"/>
    <x v="0"/>
    <m/>
    <m/>
    <m/>
    <m/>
    <x v="10"/>
    <m/>
    <m/>
    <m/>
    <m/>
    <x v="10"/>
    <m/>
    <m/>
  </r>
  <r>
    <n v="949"/>
    <x v="197"/>
    <x v="11"/>
    <s v="Katharina Otto-Bernstein"/>
    <n v="59"/>
    <x v="7"/>
    <x v="1"/>
    <s v="New York"/>
    <s v="Real estate"/>
    <x v="11"/>
    <s v="Germany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949"/>
    <x v="197"/>
    <x v="3"/>
    <s v="Sergei Popov"/>
    <n v="51"/>
    <x v="7"/>
    <x v="8"/>
    <m/>
    <s v="Banking"/>
    <x v="3"/>
    <s v="Russia"/>
    <m/>
    <x v="1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949"/>
    <x v="197"/>
    <x v="3"/>
    <s v="Penny Pritzker"/>
    <n v="63"/>
    <x v="3"/>
    <x v="1"/>
    <s v="Chicago"/>
    <s v="Hotels, investments"/>
    <x v="3"/>
    <s v="United States"/>
    <s v="Inspired Capital"/>
    <x v="0"/>
    <s v="D"/>
    <x v="1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949"/>
    <x v="197"/>
    <x v="6"/>
    <s v="Theodore Rachmat"/>
    <n v="79"/>
    <x v="7"/>
    <x v="15"/>
    <s v="Jakarta"/>
    <s v="Diversified"/>
    <x v="6"/>
    <s v="Indonesia"/>
    <m/>
    <x v="0"/>
    <s v="D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949"/>
    <x v="197"/>
    <x v="0"/>
    <s v="Renzo Rosso &amp; family"/>
    <n v="67"/>
    <x v="7"/>
    <x v="28"/>
    <s v="Bassano del Grappa"/>
    <s v="Fashion"/>
    <x v="0"/>
    <s v="Italy"/>
    <m/>
    <x v="1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949"/>
    <x v="197"/>
    <x v="4"/>
    <s v="Friede Springer"/>
    <n v="80"/>
    <x v="7"/>
    <x v="7"/>
    <s v="Berlin"/>
    <s v="Publishing"/>
    <x v="4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949"/>
    <x v="197"/>
    <x v="11"/>
    <s v="Rita Tong Liu"/>
    <n v="74"/>
    <x v="7"/>
    <x v="10"/>
    <s v="Hong Kong"/>
    <s v="Real estate"/>
    <x v="11"/>
    <s v="Hong Kong"/>
    <m/>
    <x v="1"/>
    <s v="D"/>
    <x v="1"/>
    <m/>
    <m/>
    <m/>
    <m/>
    <x v="10"/>
    <m/>
    <m/>
    <m/>
    <m/>
    <x v="10"/>
    <m/>
    <m/>
  </r>
  <r>
    <n v="949"/>
    <x v="197"/>
    <x v="3"/>
    <s v="Timur Turlov"/>
    <n v="35"/>
    <x v="7"/>
    <x v="51"/>
    <s v="Almaty"/>
    <s v="Stock brokerage"/>
    <x v="3"/>
    <s v="Kazakhstan"/>
    <m/>
    <x v="1"/>
    <s v="U"/>
    <x v="0"/>
    <m/>
    <n v="182.75"/>
    <n v="5.2"/>
    <s v="$180,161,741,180 "/>
    <x v="43"/>
    <n v="104.4"/>
    <n v="73.2"/>
    <n v="11.7"/>
    <n v="28.4"/>
    <x v="46"/>
    <n v="48.019573000000001"/>
    <n v="66.923683999999994"/>
  </r>
  <r>
    <n v="949"/>
    <x v="197"/>
    <x v="0"/>
    <s v="Frank VanderSloot"/>
    <n v="74"/>
    <x v="7"/>
    <x v="1"/>
    <s v="Idaho Falls"/>
    <s v="Nutrition, wellness products"/>
    <x v="0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49"/>
    <x v="197"/>
    <x v="4"/>
    <s v="Yoo Jung-hyun"/>
    <n v="53"/>
    <x v="7"/>
    <x v="32"/>
    <s v="Jeju-do"/>
    <s v="Online games"/>
    <x v="4"/>
    <s v="South Korea"/>
    <m/>
    <x v="1"/>
    <s v="U"/>
    <x v="1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982"/>
    <x v="198"/>
    <x v="6"/>
    <s v="Abdulla bin Ahmad Al Ghurair &amp; family"/>
    <m/>
    <x v="7"/>
    <x v="16"/>
    <s v="Dubai"/>
    <s v="Diversified"/>
    <x v="6"/>
    <s v="United Arab Emirates"/>
    <m/>
    <x v="0"/>
    <s v="U"/>
    <x v="0"/>
    <s v="Athlete"/>
    <n v="114.52"/>
    <n v="-1.9"/>
    <s v="$421,142,267,938 "/>
    <x v="16"/>
    <n v="108.4"/>
    <n v="77.8"/>
    <n v="0.1"/>
    <n v="15.9"/>
    <x v="16"/>
    <n v="23.424075999999999"/>
    <n v="53.847817999999997"/>
  </r>
  <r>
    <n v="982"/>
    <x v="198"/>
    <x v="6"/>
    <s v="Semahat Sevim Arsel"/>
    <n v="94"/>
    <x v="7"/>
    <x v="47"/>
    <s v="Istanbul"/>
    <s v="Diversified"/>
    <x v="6"/>
    <s v="Turkey"/>
    <m/>
    <x v="0"/>
    <s v="U"/>
    <x v="1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982"/>
    <x v="198"/>
    <x v="11"/>
    <s v="Nicolas Berggruen"/>
    <n v="61"/>
    <x v="7"/>
    <x v="1"/>
    <s v="Beverly Hills"/>
    <s v="Real estate, investments"/>
    <x v="11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82"/>
    <x v="198"/>
    <x v="13"/>
    <s v="George Bishop"/>
    <n v="85"/>
    <x v="7"/>
    <x v="1"/>
    <s v="The Woodlands"/>
    <s v="Oil &amp; gas"/>
    <x v="1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82"/>
    <x v="198"/>
    <x v="1"/>
    <s v="Norman Braman"/>
    <n v="90"/>
    <x v="7"/>
    <x v="1"/>
    <s v="Miami"/>
    <s v="Art, car dealerships"/>
    <x v="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82"/>
    <x v="198"/>
    <x v="2"/>
    <s v="Eva Maria Bucher-Haefner"/>
    <n v="66"/>
    <x v="7"/>
    <x v="8"/>
    <s v="Zurich"/>
    <s v="Software, investments"/>
    <x v="2"/>
    <s v="Switzerland"/>
    <m/>
    <x v="0"/>
    <s v="E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982"/>
    <x v="198"/>
    <x v="14"/>
    <s v="Cai Dongchen"/>
    <n v="70"/>
    <x v="7"/>
    <x v="5"/>
    <s v="Luancheng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82"/>
    <x v="198"/>
    <x v="7"/>
    <s v="Jean-Pierre Cayard"/>
    <n v="80"/>
    <x v="7"/>
    <x v="0"/>
    <s v="Paris"/>
    <s v="Spirits"/>
    <x v="7"/>
    <s v="France"/>
    <m/>
    <x v="0"/>
    <s v="U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982"/>
    <x v="198"/>
    <x v="11"/>
    <s v="Chan Tan Ching-fen"/>
    <m/>
    <x v="7"/>
    <x v="10"/>
    <s v="Hong Kong"/>
    <s v="Real estate"/>
    <x v="11"/>
    <s v="Hong Kong"/>
    <m/>
    <x v="0"/>
    <s v="D"/>
    <x v="1"/>
    <m/>
    <m/>
    <m/>
    <m/>
    <x v="10"/>
    <m/>
    <m/>
    <m/>
    <m/>
    <x v="10"/>
    <m/>
    <m/>
  </r>
  <r>
    <n v="982"/>
    <x v="198"/>
    <x v="0"/>
    <s v="Todd Christopher"/>
    <n v="60"/>
    <x v="7"/>
    <x v="1"/>
    <s v="Clearwater"/>
    <s v="Hair care products"/>
    <x v="0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82"/>
    <x v="198"/>
    <x v="11"/>
    <s v="Mang Yee Chu &amp; family"/>
    <n v="63"/>
    <x v="7"/>
    <x v="5"/>
    <s v="Guangzhou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82"/>
    <x v="198"/>
    <x v="3"/>
    <s v="William Conway, Jr."/>
    <n v="73"/>
    <x v="0"/>
    <x v="1"/>
    <s v="McLean"/>
    <s v="Private equity"/>
    <x v="3"/>
    <s v="United States"/>
    <s v="Carlyle Group"/>
    <x v="1"/>
    <s v="D"/>
    <x v="0"/>
    <s v="Co-Chief Executive Officer and Co-founder"/>
    <n v="117.24"/>
    <n v="7.5"/>
    <s v="$21,427,700,000,000 "/>
    <x v="1"/>
    <n v="101.8"/>
    <n v="78.5"/>
    <n v="9.6"/>
    <n v="36.6"/>
    <x v="1"/>
    <n v="37.090240000000001"/>
    <n v="-95.712890999999999"/>
  </r>
  <r>
    <n v="982"/>
    <x v="198"/>
    <x v="0"/>
    <s v="Jean Coutu &amp; family"/>
    <n v="95"/>
    <x v="2"/>
    <x v="6"/>
    <s v="Montreal"/>
    <s v="Drugstores"/>
    <x v="0"/>
    <s v="Canada"/>
    <s v="Jean Coutu Group (PJC) Inc. (Cl A)"/>
    <x v="1"/>
    <s v="D"/>
    <x v="0"/>
    <s v="Chairman"/>
    <n v="116.76"/>
    <n v="1.9"/>
    <s v="$1,736,425,629,520 "/>
    <x v="6"/>
    <n v="100.9"/>
    <n v="81.900000000000006"/>
    <n v="12.8"/>
    <n v="24.5"/>
    <x v="6"/>
    <n v="56.130366000000002"/>
    <n v="-106.346771"/>
  </r>
  <r>
    <n v="982"/>
    <x v="198"/>
    <x v="1"/>
    <s v="Catheline Perier D'Ieteren"/>
    <n v="78"/>
    <x v="7"/>
    <x v="22"/>
    <m/>
    <s v="Auto parts, distribution"/>
    <x v="1"/>
    <s v="Belgium"/>
    <m/>
    <x v="0"/>
    <s v="N"/>
    <x v="1"/>
    <m/>
    <m/>
    <m/>
    <m/>
    <x v="10"/>
    <m/>
    <m/>
    <m/>
    <m/>
    <x v="10"/>
    <m/>
    <m/>
  </r>
  <r>
    <n v="982"/>
    <x v="198"/>
    <x v="11"/>
    <s v="Edward DeBartolo, Jr."/>
    <n v="76"/>
    <x v="7"/>
    <x v="1"/>
    <s v="Tampa"/>
    <s v="Shopping centers"/>
    <x v="11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82"/>
    <x v="198"/>
    <x v="3"/>
    <s v="Stephen Deckoff"/>
    <n v="57"/>
    <x v="7"/>
    <x v="1"/>
    <s v="St. John"/>
    <s v="Private equity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82"/>
    <x v="198"/>
    <x v="12"/>
    <s v="Feng Hailiang"/>
    <n v="62"/>
    <x v="7"/>
    <x v="5"/>
    <s v="Zhuji"/>
    <s v="Copper, education"/>
    <x v="1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982"/>
    <x v="198"/>
    <x v="1"/>
    <s v="Ernest Garcia, II."/>
    <n v="65"/>
    <x v="7"/>
    <x v="1"/>
    <s v="Tempe"/>
    <s v="Used cars"/>
    <x v="1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82"/>
    <x v="198"/>
    <x v="7"/>
    <s v="Sam Goi"/>
    <n v="76"/>
    <x v="7"/>
    <x v="25"/>
    <s v="Singapore"/>
    <s v="Frozen foods"/>
    <x v="7"/>
    <s v="Singapore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982"/>
    <x v="198"/>
    <x v="6"/>
    <s v="Carlos Hank Rhon"/>
    <n v="75"/>
    <x v="7"/>
    <x v="2"/>
    <s v="Mexico City"/>
    <s v="Banking"/>
    <x v="6"/>
    <s v="Mexico"/>
    <m/>
    <x v="0"/>
    <s v="U"/>
    <x v="0"/>
    <m/>
    <n v="141.54"/>
    <n v="3.6"/>
    <s v="$1,258,286,717,125 "/>
    <x v="2"/>
    <n v="105.8"/>
    <n v="75"/>
    <n v="13.1"/>
    <n v="55.1"/>
    <x v="2"/>
    <n v="23.634501"/>
    <n v="-102.552784"/>
  </r>
  <r>
    <n v="982"/>
    <x v="198"/>
    <x v="10"/>
    <s v="Susan Carol Holland"/>
    <n v="66"/>
    <x v="7"/>
    <x v="28"/>
    <s v="Milan"/>
    <s v="Hearing aids"/>
    <x v="10"/>
    <s v="Italy"/>
    <m/>
    <x v="0"/>
    <s v="D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982"/>
    <x v="198"/>
    <x v="11"/>
    <s v="Hui Ka Yan"/>
    <n v="64"/>
    <x v="7"/>
    <x v="5"/>
    <s v="Shenzhen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82"/>
    <x v="198"/>
    <x v="10"/>
    <s v="Vivek Jain"/>
    <n v="67"/>
    <x v="7"/>
    <x v="3"/>
    <s v="Delhi"/>
    <s v="Chemicals"/>
    <x v="10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982"/>
    <x v="198"/>
    <x v="0"/>
    <s v="Friedrich Knapp"/>
    <n v="71"/>
    <x v="7"/>
    <x v="7"/>
    <s v="Brunswick"/>
    <s v="Fashion retail"/>
    <x v="0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982"/>
    <x v="198"/>
    <x v="14"/>
    <s v="Egor Kulkov"/>
    <n v="51"/>
    <x v="7"/>
    <x v="8"/>
    <s v="Grimisuat"/>
    <s v="Pharmaceuticals"/>
    <x v="14"/>
    <s v="Russia"/>
    <m/>
    <x v="1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982"/>
    <x v="198"/>
    <x v="0"/>
    <s v="Lin Ming-hsiung"/>
    <n v="73"/>
    <x v="7"/>
    <x v="35"/>
    <s v="Taipei"/>
    <s v="Supermarkets"/>
    <x v="0"/>
    <s v="Taiwan"/>
    <m/>
    <x v="1"/>
    <s v="D"/>
    <x v="0"/>
    <m/>
    <m/>
    <m/>
    <m/>
    <x v="10"/>
    <m/>
    <m/>
    <m/>
    <m/>
    <x v="10"/>
    <m/>
    <m/>
  </r>
  <r>
    <n v="982"/>
    <x v="198"/>
    <x v="2"/>
    <s v="Lin Xiucheng &amp; family"/>
    <n v="67"/>
    <x v="7"/>
    <x v="5"/>
    <s v="Xiamen"/>
    <s v="Electronic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82"/>
    <x v="198"/>
    <x v="7"/>
    <s v="Harsh Mariwala"/>
    <n v="71"/>
    <x v="7"/>
    <x v="3"/>
    <s v="Mumbai"/>
    <s v="Consumer goods"/>
    <x v="7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982"/>
    <x v="198"/>
    <x v="14"/>
    <s v="Gilles Martin"/>
    <n v="59"/>
    <x v="7"/>
    <x v="0"/>
    <s v="Nantes"/>
    <s v="Laboratory services"/>
    <x v="14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982"/>
    <x v="198"/>
    <x v="14"/>
    <s v="Maja Oeri"/>
    <n v="68"/>
    <x v="7"/>
    <x v="8"/>
    <s v="Basel"/>
    <s v="Pharmaceuticals"/>
    <x v="14"/>
    <s v="Switzerland"/>
    <m/>
    <x v="0"/>
    <s v="D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982"/>
    <x v="198"/>
    <x v="3"/>
    <s v="John Paulson"/>
    <n v="67"/>
    <x v="3"/>
    <x v="1"/>
    <s v="New York"/>
    <s v="Hedge funds"/>
    <x v="3"/>
    <s v="United States"/>
    <s v="Paulson &amp; Co. Inc."/>
    <x v="1"/>
    <s v="D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982"/>
    <x v="198"/>
    <x v="14"/>
    <s v="Ajay Piramal"/>
    <n v="67"/>
    <x v="7"/>
    <x v="3"/>
    <s v="Mumbai"/>
    <s v="Pharmaceuticals"/>
    <x v="14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982"/>
    <x v="198"/>
    <x v="0"/>
    <s v="Guanghe Qiu &amp; family"/>
    <n v="71"/>
    <x v="7"/>
    <x v="5"/>
    <s v="Wenzhou"/>
    <s v="Fashion retail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82"/>
    <x v="198"/>
    <x v="0"/>
    <s v="Stephen Rubin"/>
    <n v="86"/>
    <x v="7"/>
    <x v="13"/>
    <s v="London"/>
    <s v="Sports apparel"/>
    <x v="0"/>
    <s v="United Kingdom"/>
    <m/>
    <x v="0"/>
    <s v="R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982"/>
    <x v="198"/>
    <x v="7"/>
    <s v="Robert Sands"/>
    <n v="64"/>
    <x v="7"/>
    <x v="1"/>
    <s v="Delray Beach"/>
    <s v="Liquor"/>
    <x v="7"/>
    <s v="United States"/>
    <m/>
    <x v="0"/>
    <s v="Split Family Fortun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982"/>
    <x v="198"/>
    <x v="11"/>
    <s v="Erik Selin"/>
    <n v="55"/>
    <x v="7"/>
    <x v="21"/>
    <s v="GÃ¶teborg"/>
    <s v="Real estate"/>
    <x v="11"/>
    <s v="Sweden"/>
    <m/>
    <x v="1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982"/>
    <x v="198"/>
    <x v="7"/>
    <s v="Yonghong Shi &amp; family"/>
    <n v="54"/>
    <x v="7"/>
    <x v="5"/>
    <s v="Chengdu"/>
    <s v="Restaurants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982"/>
    <x v="198"/>
    <x v="10"/>
    <s v="Martua Sitorus"/>
    <n v="63"/>
    <x v="7"/>
    <x v="25"/>
    <s v="Singapore"/>
    <s v="Palm oil"/>
    <x v="10"/>
    <s v="Indonesia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982"/>
    <x v="198"/>
    <x v="6"/>
    <s v="Guangxin Sun"/>
    <n v="60"/>
    <x v="7"/>
    <x v="5"/>
    <s v="Urumqi"/>
    <s v="Diversified"/>
    <x v="6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982"/>
    <x v="198"/>
    <x v="6"/>
    <s v="Sukanto Tanoto"/>
    <n v="73"/>
    <x v="7"/>
    <x v="25"/>
    <s v="Singapore"/>
    <s v="Diversified"/>
    <x v="6"/>
    <s v="Indonesia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982"/>
    <x v="198"/>
    <x v="15"/>
    <s v="Sunny Varkey"/>
    <n v="65"/>
    <x v="7"/>
    <x v="16"/>
    <s v="Dubai"/>
    <s v="Education"/>
    <x v="15"/>
    <s v="India"/>
    <m/>
    <x v="0"/>
    <s v="U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982"/>
    <x v="198"/>
    <x v="4"/>
    <s v="Gang Ye"/>
    <n v="42"/>
    <x v="7"/>
    <x v="25"/>
    <s v="Singapore"/>
    <s v="Gaming"/>
    <x v="4"/>
    <s v="Singapore"/>
    <m/>
    <x v="1"/>
    <s v="D"/>
    <x v="0"/>
    <m/>
    <n v="114.41"/>
    <n v="0.6"/>
    <s v="$372,062,527,489 "/>
    <x v="23"/>
    <n v="100.6"/>
    <n v="83.1"/>
    <n v="13.1"/>
    <n v="21"/>
    <x v="24"/>
    <n v="1.3520829999999999"/>
    <n v="103.819836"/>
  </r>
  <r>
    <n v="982"/>
    <x v="198"/>
    <x v="14"/>
    <s v="Ye Xiaoping"/>
    <n v="60"/>
    <x v="7"/>
    <x v="5"/>
    <s v="Hangzhou"/>
    <s v="Pharmaceutical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982"/>
    <x v="198"/>
    <x v="3"/>
    <s v="Lei Zhang"/>
    <n v="50"/>
    <x v="7"/>
    <x v="10"/>
    <s v="Hong Kong"/>
    <s v="Investments"/>
    <x v="3"/>
    <s v="China"/>
    <m/>
    <x v="1"/>
    <s v="E"/>
    <x v="0"/>
    <m/>
    <m/>
    <m/>
    <m/>
    <x v="10"/>
    <m/>
    <m/>
    <m/>
    <m/>
    <x v="10"/>
    <m/>
    <m/>
  </r>
  <r>
    <n v="982"/>
    <x v="198"/>
    <x v="10"/>
    <s v="Zhu Gongshan &amp; family"/>
    <n v="65"/>
    <x v="7"/>
    <x v="5"/>
    <s v="Shanghai"/>
    <s v="Solar panel materi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27"/>
    <x v="199"/>
    <x v="0"/>
    <s v="Isak Andic &amp; family"/>
    <n v="69"/>
    <x v="7"/>
    <x v="4"/>
    <s v="Barcelona"/>
    <s v="Fashion retail"/>
    <x v="0"/>
    <s v="Spain"/>
    <m/>
    <x v="1"/>
    <s v="U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1027"/>
    <x v="199"/>
    <x v="1"/>
    <s v="Alberto Bombassei"/>
    <n v="82"/>
    <x v="7"/>
    <x v="28"/>
    <s v="Bergamo"/>
    <s v="Automotive brakes"/>
    <x v="1"/>
    <s v="Italy"/>
    <m/>
    <x v="0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027"/>
    <x v="199"/>
    <x v="14"/>
    <s v="Cao Longxiang &amp; family"/>
    <n v="65"/>
    <x v="7"/>
    <x v="5"/>
    <s v="Taixing"/>
    <s v="Pharmaceuticals"/>
    <x v="14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27"/>
    <x v="199"/>
    <x v="11"/>
    <s v="Roy Carroll, II."/>
    <n v="60"/>
    <x v="7"/>
    <x v="1"/>
    <s v="Greensboro"/>
    <s v="Real estate"/>
    <x v="11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027"/>
    <x v="199"/>
    <x v="5"/>
    <s v="John Caudwell"/>
    <n v="70"/>
    <x v="7"/>
    <x v="13"/>
    <s v="Stoke-on-Trent"/>
    <s v="Mobile phones"/>
    <x v="5"/>
    <s v="United Kingdom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027"/>
    <x v="199"/>
    <x v="2"/>
    <s v="James Clark"/>
    <n v="79"/>
    <x v="0"/>
    <x v="1"/>
    <s v="Palm Beach"/>
    <s v="Netscape, investments"/>
    <x v="2"/>
    <s v="United States"/>
    <s v="Netscape Communications Corporation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027"/>
    <x v="199"/>
    <x v="0"/>
    <s v="Jacques D'Amours"/>
    <n v="66"/>
    <x v="3"/>
    <x v="6"/>
    <s v="Montreal"/>
    <s v="Convenience stores"/>
    <x v="0"/>
    <s v="Canada"/>
    <s v="Alimentation Couche Tard Inc. Cl A"/>
    <x v="1"/>
    <s v="U"/>
    <x v="0"/>
    <s v="Vice President and Cofounder"/>
    <n v="116.76"/>
    <n v="1.9"/>
    <s v="$1,736,425,629,520 "/>
    <x v="6"/>
    <n v="100.9"/>
    <n v="81.900000000000006"/>
    <n v="12.8"/>
    <n v="24.5"/>
    <x v="6"/>
    <n v="56.130366000000002"/>
    <n v="-106.346771"/>
  </r>
  <r>
    <n v="1027"/>
    <x v="199"/>
    <x v="0"/>
    <s v="John Paul DeJoria"/>
    <n v="78"/>
    <x v="7"/>
    <x v="1"/>
    <s v="Austin"/>
    <s v="Hair products, tequila"/>
    <x v="0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027"/>
    <x v="199"/>
    <x v="17"/>
    <s v="Bernard Ecclestone &amp; family"/>
    <n v="92"/>
    <x v="7"/>
    <x v="13"/>
    <s v="London"/>
    <s v="Formula One"/>
    <x v="17"/>
    <s v="United Kingdom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027"/>
    <x v="199"/>
    <x v="2"/>
    <s v="Michael Federmann &amp; family"/>
    <n v="79"/>
    <x v="7"/>
    <x v="27"/>
    <s v="Tel Aviv"/>
    <s v="Defense, hotels"/>
    <x v="2"/>
    <s v="Israel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1027"/>
    <x v="199"/>
    <x v="4"/>
    <s v="Kenneth Feld &amp; family"/>
    <n v="74"/>
    <x v="0"/>
    <x v="1"/>
    <s v="Sarasota"/>
    <s v="Live entertainment"/>
    <x v="4"/>
    <s v="United States"/>
    <s v="Feld Entertainment"/>
    <x v="0"/>
    <s v="U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1027"/>
    <x v="199"/>
    <x v="10"/>
    <s v="Gu Yuhua &amp; family"/>
    <n v="73"/>
    <x v="7"/>
    <x v="5"/>
    <s v="Hangzhou"/>
    <s v="Furniture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27"/>
    <x v="199"/>
    <x v="16"/>
    <s v="Otto Happel"/>
    <n v="75"/>
    <x v="7"/>
    <x v="8"/>
    <s v="Luzerne"/>
    <s v="Engineering"/>
    <x v="16"/>
    <s v="Germany"/>
    <m/>
    <x v="0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027"/>
    <x v="199"/>
    <x v="14"/>
    <s v="Gudrun Heine"/>
    <n v="68"/>
    <x v="7"/>
    <x v="7"/>
    <s v="Ohningen"/>
    <s v="Medical devices"/>
    <x v="14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027"/>
    <x v="199"/>
    <x v="11"/>
    <s v="Donald Horton &amp; family"/>
    <n v="73"/>
    <x v="7"/>
    <x v="1"/>
    <s v="Fort Worth"/>
    <s v="Homebuilding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027"/>
    <x v="199"/>
    <x v="11"/>
    <s v="Zarakh Iliev"/>
    <n v="56"/>
    <x v="7"/>
    <x v="17"/>
    <s v="Moscow"/>
    <s v="Real estate"/>
    <x v="11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027"/>
    <x v="199"/>
    <x v="6"/>
    <s v="Ipek Kirac"/>
    <n v="38"/>
    <x v="7"/>
    <x v="47"/>
    <s v="Istanbul"/>
    <s v="Diversified"/>
    <x v="6"/>
    <s v="Turkey"/>
    <m/>
    <x v="0"/>
    <s v="U"/>
    <x v="1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027"/>
    <x v="199"/>
    <x v="2"/>
    <s v="Lee Seo-hyun"/>
    <n v="49"/>
    <x v="7"/>
    <x v="32"/>
    <s v="Seoul"/>
    <s v="Samsung"/>
    <x v="2"/>
    <s v="South Korea"/>
    <m/>
    <x v="0"/>
    <s v="D"/>
    <x v="1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1027"/>
    <x v="199"/>
    <x v="14"/>
    <s v="Li Jianquan &amp; family"/>
    <n v="66"/>
    <x v="7"/>
    <x v="5"/>
    <s v="Shenzhen"/>
    <s v="Consumer products"/>
    <x v="14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27"/>
    <x v="199"/>
    <x v="14"/>
    <s v="Li Li"/>
    <n v="57"/>
    <x v="7"/>
    <x v="5"/>
    <s v="Changsha"/>
    <s v="Healthcare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27"/>
    <x v="199"/>
    <x v="10"/>
    <s v="Li Xiaohua &amp; family"/>
    <n v="61"/>
    <x v="7"/>
    <x v="5"/>
    <s v="Yuxi"/>
    <s v="Packag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27"/>
    <x v="199"/>
    <x v="10"/>
    <s v="Liu Xiaodong"/>
    <n v="55"/>
    <x v="7"/>
    <x v="5"/>
    <s v="Shanghai"/>
    <s v="Flavoring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27"/>
    <x v="199"/>
    <x v="2"/>
    <s v="Martin Lorentzon"/>
    <n v="54"/>
    <x v="7"/>
    <x v="21"/>
    <s v="Stockholm"/>
    <s v="Spotify"/>
    <x v="2"/>
    <s v="Sweden"/>
    <m/>
    <x v="1"/>
    <s v="E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1027"/>
    <x v="199"/>
    <x v="13"/>
    <s v="Ronald McAulay"/>
    <n v="87"/>
    <x v="7"/>
    <x v="10"/>
    <s v="Hong Kong"/>
    <s v="Energy"/>
    <x v="13"/>
    <s v="Hong Kong"/>
    <m/>
    <x v="0"/>
    <s v="D"/>
    <x v="0"/>
    <m/>
    <m/>
    <m/>
    <m/>
    <x v="10"/>
    <m/>
    <m/>
    <m/>
    <m/>
    <x v="10"/>
    <m/>
    <m/>
  </r>
  <r>
    <n v="1027"/>
    <x v="199"/>
    <x v="0"/>
    <s v="Erwin Franz Mueller"/>
    <n v="90"/>
    <x v="7"/>
    <x v="7"/>
    <s v="Ulm"/>
    <s v="Drugstores"/>
    <x v="0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027"/>
    <x v="199"/>
    <x v="2"/>
    <s v="Georg Nemetschek &amp; family"/>
    <n v="89"/>
    <x v="7"/>
    <x v="7"/>
    <s v="Munich"/>
    <s v="Software"/>
    <x v="2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027"/>
    <x v="199"/>
    <x v="11"/>
    <s v="God Nisanov"/>
    <n v="50"/>
    <x v="7"/>
    <x v="17"/>
    <s v="Moscow"/>
    <s v="Real estate"/>
    <x v="11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027"/>
    <x v="199"/>
    <x v="11"/>
    <s v="Vikas Oberoi"/>
    <n v="52"/>
    <x v="7"/>
    <x v="3"/>
    <s v="Mumbai"/>
    <s v="Real estate"/>
    <x v="11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027"/>
    <x v="199"/>
    <x v="13"/>
    <s v="Gregorio Perez Companc &amp; family"/>
    <n v="87"/>
    <x v="7"/>
    <x v="48"/>
    <s v="Buenos Aires"/>
    <s v="Oil &amp; gas"/>
    <x v="13"/>
    <s v="Argentina"/>
    <m/>
    <x v="1"/>
    <s v="U"/>
    <x v="0"/>
    <m/>
    <n v="232.75"/>
    <n v="53.5"/>
    <s v="$449,663,446,954 "/>
    <x v="41"/>
    <n v="109.7"/>
    <n v="76.5"/>
    <n v="10.1"/>
    <n v="106.3"/>
    <x v="43"/>
    <n v="-38.416097000000001"/>
    <n v="-63.616672000000001"/>
  </r>
  <r>
    <n v="1027"/>
    <x v="199"/>
    <x v="3"/>
    <s v="Sebastian PiÃ±era &amp; family"/>
    <n v="73"/>
    <x v="0"/>
    <x v="18"/>
    <s v="Santiago"/>
    <s v="Investments"/>
    <x v="3"/>
    <s v="Chile"/>
    <s v="Chile"/>
    <x v="1"/>
    <s v="U"/>
    <x v="0"/>
    <s v="President"/>
    <n v="131.91"/>
    <n v="2.6"/>
    <s v="$282,318,159,745 "/>
    <x v="18"/>
    <n v="101.4"/>
    <n v="80"/>
    <n v="18.2"/>
    <n v="34"/>
    <x v="18"/>
    <n v="-35.675147000000003"/>
    <n v="-71.542968999999999"/>
  </r>
  <r>
    <n v="1027"/>
    <x v="199"/>
    <x v="1"/>
    <s v="Arvind Poddar"/>
    <n v="65"/>
    <x v="7"/>
    <x v="3"/>
    <s v="Mumbai"/>
    <s v="Tires"/>
    <x v="1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027"/>
    <x v="199"/>
    <x v="14"/>
    <s v="Alexey Repik"/>
    <n v="43"/>
    <x v="7"/>
    <x v="17"/>
    <s v="Moscow"/>
    <s v="Pharmaceuticals"/>
    <x v="14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027"/>
    <x v="199"/>
    <x v="4"/>
    <s v="Haim Saban"/>
    <n v="78"/>
    <x v="7"/>
    <x v="1"/>
    <s v="Beverly Hills"/>
    <s v="TV network, investments"/>
    <x v="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027"/>
    <x v="199"/>
    <x v="7"/>
    <s v="Rodney Sacks"/>
    <n v="73"/>
    <x v="0"/>
    <x v="1"/>
    <s v="Laguna Beach"/>
    <s v="Energy drinks"/>
    <x v="7"/>
    <s v="United States"/>
    <s v="Monster Beverage"/>
    <x v="1"/>
    <s v="U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027"/>
    <x v="199"/>
    <x v="3"/>
    <s v="Karthik Sarma"/>
    <n v="48"/>
    <x v="7"/>
    <x v="1"/>
    <s v="New York"/>
    <s v="Hedge fund"/>
    <x v="3"/>
    <s v="India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027"/>
    <x v="199"/>
    <x v="14"/>
    <s v="Sybill Storz"/>
    <n v="85"/>
    <x v="7"/>
    <x v="7"/>
    <s v="Leipzig"/>
    <s v="Medical devices"/>
    <x v="14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027"/>
    <x v="199"/>
    <x v="3"/>
    <s v="Daniel Sundheim"/>
    <n v="46"/>
    <x v="7"/>
    <x v="1"/>
    <s v="New York"/>
    <s v="Hedge funds"/>
    <x v="3"/>
    <s v="United States"/>
    <m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027"/>
    <x v="199"/>
    <x v="7"/>
    <s v="William Wrigley, Jr."/>
    <n v="59"/>
    <x v="1"/>
    <x v="1"/>
    <s v="North Palm Beach"/>
    <s v="Chewing gum"/>
    <x v="7"/>
    <s v="United States"/>
    <s v="Wrigley Management, Inc."/>
    <x v="0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027"/>
    <x v="199"/>
    <x v="0"/>
    <s v="Zhang Wenzhong"/>
    <n v="61"/>
    <x v="7"/>
    <x v="5"/>
    <s v="Beijing"/>
    <s v="Supermarkets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27"/>
    <x v="199"/>
    <x v="0"/>
    <s v="Zhou Jianping"/>
    <n v="62"/>
    <x v="7"/>
    <x v="5"/>
    <s v="Jiangyin"/>
    <s v="Fashion retail"/>
    <x v="0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67"/>
    <x v="200"/>
    <x v="0"/>
    <s v="Joy Alukkas"/>
    <n v="66"/>
    <x v="7"/>
    <x v="3"/>
    <s v="Cochin"/>
    <s v="Jewelry"/>
    <x v="0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067"/>
    <x v="200"/>
    <x v="14"/>
    <s v="Kang An"/>
    <n v="74"/>
    <x v="7"/>
    <x v="5"/>
    <s v="Xinxiang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67"/>
    <x v="200"/>
    <x v="2"/>
    <s v="Garrett Camp"/>
    <n v="44"/>
    <x v="5"/>
    <x v="1"/>
    <s v="San Francisco"/>
    <s v="Uber"/>
    <x v="2"/>
    <s v="Canada"/>
    <s v="Uber Technologies Inc."/>
    <x v="1"/>
    <s v="E"/>
    <x v="0"/>
    <s v="Cofounder and Chairman"/>
    <n v="117.24"/>
    <n v="7.5"/>
    <s v="$21,427,700,000,000 "/>
    <x v="1"/>
    <n v="101.8"/>
    <n v="78.5"/>
    <n v="9.6"/>
    <n v="36.6"/>
    <x v="1"/>
    <n v="37.090240000000001"/>
    <n v="-95.712890999999999"/>
  </r>
  <r>
    <n v="1067"/>
    <x v="200"/>
    <x v="9"/>
    <s v="Chen Lip Keong"/>
    <n v="75"/>
    <x v="7"/>
    <x v="59"/>
    <s v="Phnom Penh"/>
    <s v="Casinos, property, energy"/>
    <x v="9"/>
    <s v="Malaysia"/>
    <m/>
    <x v="1"/>
    <s v="U"/>
    <x v="0"/>
    <m/>
    <n v="127.63"/>
    <n v="2.5"/>
    <s v="$27,089,389,787 "/>
    <x v="48"/>
    <n v="107.4"/>
    <n v="69.599999999999994"/>
    <n v="17.100000000000001"/>
    <n v="23.1"/>
    <x v="52"/>
    <n v="12.565678999999999"/>
    <n v="104.99096299999999"/>
  </r>
  <r>
    <n v="1067"/>
    <x v="200"/>
    <x v="11"/>
    <s v="Choo Chong Ngen"/>
    <n v="69"/>
    <x v="7"/>
    <x v="25"/>
    <s v="Singapore"/>
    <s v="Hotels"/>
    <x v="11"/>
    <s v="Singapore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1067"/>
    <x v="200"/>
    <x v="1"/>
    <s v="Euisun Chung"/>
    <n v="52"/>
    <x v="7"/>
    <x v="32"/>
    <s v="Seoul"/>
    <s v="Hyundai"/>
    <x v="1"/>
    <s v="South Korea"/>
    <s v="Hyundai Motor Co. Ltd."/>
    <x v="0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1067"/>
    <x v="200"/>
    <x v="6"/>
    <s v="Smita Crishna-Godrej"/>
    <n v="72"/>
    <x v="7"/>
    <x v="3"/>
    <s v="Mumbai"/>
    <s v="Consumer goods"/>
    <x v="6"/>
    <s v="India"/>
    <m/>
    <x v="0"/>
    <s v="U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1067"/>
    <x v="200"/>
    <x v="0"/>
    <s v="Eleanor Butt Crook &amp; family"/>
    <n v="90"/>
    <x v="7"/>
    <x v="1"/>
    <s v="San Marcos"/>
    <s v="Supermarkets"/>
    <x v="0"/>
    <s v="United States"/>
    <m/>
    <x v="0"/>
    <s v="N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067"/>
    <x v="200"/>
    <x v="10"/>
    <s v="Du Jiangtao &amp; family"/>
    <n v="53"/>
    <x v="7"/>
    <x v="5"/>
    <s v="Beijing"/>
    <s v="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67"/>
    <x v="200"/>
    <x v="17"/>
    <s v="Lorenzo Fertitta"/>
    <n v="54"/>
    <x v="7"/>
    <x v="1"/>
    <s v="Las Vegas"/>
    <s v="Casinos, mixed martial arts"/>
    <x v="17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067"/>
    <x v="200"/>
    <x v="2"/>
    <s v="Sebastian Glaser"/>
    <m/>
    <x v="7"/>
    <x v="7"/>
    <s v="Munich"/>
    <s v="Sensor technology"/>
    <x v="2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067"/>
    <x v="200"/>
    <x v="6"/>
    <s v="Adi Godrej"/>
    <n v="81"/>
    <x v="7"/>
    <x v="3"/>
    <s v="Mumbai"/>
    <s v="Consumer goods"/>
    <x v="6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067"/>
    <x v="200"/>
    <x v="6"/>
    <s v="Jamshyd Godrej"/>
    <n v="74"/>
    <x v="7"/>
    <x v="3"/>
    <s v="Mumbai"/>
    <s v="Diversified"/>
    <x v="6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067"/>
    <x v="200"/>
    <x v="11"/>
    <s v="Lee Yeow Chor"/>
    <n v="56"/>
    <x v="7"/>
    <x v="31"/>
    <m/>
    <s v="Palm oil, property"/>
    <x v="11"/>
    <s v="Malaysia"/>
    <m/>
    <x v="0"/>
    <s v="Split Family Fortune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1067"/>
    <x v="200"/>
    <x v="10"/>
    <s v="Li Weiguo"/>
    <n v="58"/>
    <x v="7"/>
    <x v="5"/>
    <s v="Beijing"/>
    <s v="Construction materi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67"/>
    <x v="200"/>
    <x v="10"/>
    <s v="Dmitry Mazepin"/>
    <n v="54"/>
    <x v="7"/>
    <x v="17"/>
    <s v="Moscow"/>
    <s v="Chemicals"/>
    <x v="10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067"/>
    <x v="200"/>
    <x v="0"/>
    <s v="Drayton McLane, Jr."/>
    <n v="86"/>
    <x v="7"/>
    <x v="1"/>
    <s v="Temple"/>
    <s v="Walmart, logistics"/>
    <x v="0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067"/>
    <x v="200"/>
    <x v="5"/>
    <s v="Najib Mikati"/>
    <n v="67"/>
    <x v="7"/>
    <x v="60"/>
    <s v="Beirut"/>
    <s v="Telecom"/>
    <x v="5"/>
    <s v="Lebanon"/>
    <m/>
    <x v="1"/>
    <s v="D"/>
    <x v="0"/>
    <m/>
    <n v="130.02000000000001"/>
    <n v="3"/>
    <s v="$53,367,042,272 "/>
    <x v="49"/>
    <n v="95.1"/>
    <n v="78.900000000000006"/>
    <n v="15.3"/>
    <n v="32.200000000000003"/>
    <x v="53"/>
    <n v="33.854720999999998"/>
    <n v="35.862285"/>
  </r>
  <r>
    <n v="1067"/>
    <x v="200"/>
    <x v="5"/>
    <s v="Taha Mikati"/>
    <n v="78"/>
    <x v="7"/>
    <x v="60"/>
    <s v="Beirut"/>
    <s v="Telecom"/>
    <x v="5"/>
    <s v="Lebanon"/>
    <m/>
    <x v="1"/>
    <s v="D"/>
    <x v="0"/>
    <m/>
    <n v="130.02000000000001"/>
    <n v="3"/>
    <s v="$53,367,042,272 "/>
    <x v="49"/>
    <n v="95.1"/>
    <n v="78.900000000000006"/>
    <n v="15.3"/>
    <n v="32.200000000000003"/>
    <x v="53"/>
    <n v="33.854720999999998"/>
    <n v="35.862285"/>
  </r>
  <r>
    <n v="1067"/>
    <x v="200"/>
    <x v="11"/>
    <s v="Akira Mori &amp; family"/>
    <n v="86"/>
    <x v="7"/>
    <x v="12"/>
    <s v="Tokyo"/>
    <s v="Real estate"/>
    <x v="11"/>
    <s v="Japan"/>
    <m/>
    <x v="0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067"/>
    <x v="200"/>
    <x v="6"/>
    <s v="Rishad Naoroji"/>
    <n v="71"/>
    <x v="7"/>
    <x v="3"/>
    <s v="Mumbai"/>
    <s v="Consumer goods"/>
    <x v="6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067"/>
    <x v="200"/>
    <x v="6"/>
    <s v="Philip Niarchos"/>
    <n v="69"/>
    <x v="7"/>
    <x v="0"/>
    <s v="Paris"/>
    <s v="Art collection"/>
    <x v="6"/>
    <s v="Greece"/>
    <m/>
    <x v="0"/>
    <s v="E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1067"/>
    <x v="200"/>
    <x v="2"/>
    <s v="Nandan Nilekani"/>
    <n v="67"/>
    <x v="7"/>
    <x v="3"/>
    <s v="Bangalore"/>
    <s v="Software services"/>
    <x v="2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067"/>
    <x v="200"/>
    <x v="0"/>
    <s v="Benjamin Otto"/>
    <m/>
    <x v="7"/>
    <x v="7"/>
    <s v="Hamburg"/>
    <s v="Retail"/>
    <x v="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067"/>
    <x v="200"/>
    <x v="6"/>
    <s v="Maren Otto"/>
    <m/>
    <x v="7"/>
    <x v="7"/>
    <s v="Berlin"/>
    <s v="Retail, real estate"/>
    <x v="6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067"/>
    <x v="200"/>
    <x v="15"/>
    <s v="Ranjan Pai"/>
    <n v="50"/>
    <x v="7"/>
    <x v="3"/>
    <s v="Bangalore"/>
    <s v="Education"/>
    <x v="15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067"/>
    <x v="200"/>
    <x v="10"/>
    <s v="Madhukar Parekh"/>
    <n v="76"/>
    <x v="7"/>
    <x v="3"/>
    <s v="Mumbai"/>
    <s v="Adhesives"/>
    <x v="10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067"/>
    <x v="200"/>
    <x v="2"/>
    <s v="Sean Parker"/>
    <n v="43"/>
    <x v="7"/>
    <x v="1"/>
    <s v="Los Angeles"/>
    <s v="Facebook"/>
    <x v="2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067"/>
    <x v="200"/>
    <x v="14"/>
    <s v="Stewart Rahr"/>
    <n v="77"/>
    <x v="7"/>
    <x v="1"/>
    <s v="New York"/>
    <s v="Drug distribution"/>
    <x v="14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067"/>
    <x v="200"/>
    <x v="4"/>
    <s v="Su Hua"/>
    <n v="41"/>
    <x v="7"/>
    <x v="5"/>
    <s v="Beijing"/>
    <s v="Video streaming"/>
    <x v="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67"/>
    <x v="200"/>
    <x v="10"/>
    <s v="Sun Shoukuan"/>
    <n v="73"/>
    <x v="7"/>
    <x v="5"/>
    <s v="Yingkou"/>
    <s v="Metals, coal"/>
    <x v="10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067"/>
    <x v="200"/>
    <x v="10"/>
    <s v="Tseng Cheng"/>
    <n v="61"/>
    <x v="7"/>
    <x v="35"/>
    <m/>
    <s v="Petrochemicals"/>
    <x v="10"/>
    <s v="Taiwan"/>
    <m/>
    <x v="0"/>
    <s v="U"/>
    <x v="0"/>
    <m/>
    <m/>
    <m/>
    <m/>
    <x v="10"/>
    <m/>
    <m/>
    <m/>
    <m/>
    <x v="10"/>
    <m/>
    <m/>
  </r>
  <r>
    <n v="1067"/>
    <x v="200"/>
    <x v="8"/>
    <s v="Tung Chee Hwa"/>
    <n v="85"/>
    <x v="7"/>
    <x v="10"/>
    <s v="Hong Kong"/>
    <s v="Shipping"/>
    <x v="8"/>
    <s v="Hong Kong"/>
    <m/>
    <x v="0"/>
    <s v="E"/>
    <x v="0"/>
    <m/>
    <m/>
    <m/>
    <m/>
    <x v="10"/>
    <m/>
    <m/>
    <m/>
    <m/>
    <x v="10"/>
    <m/>
    <m/>
  </r>
  <r>
    <n v="1067"/>
    <x v="200"/>
    <x v="2"/>
    <s v="Meg Whitman"/>
    <n v="66"/>
    <x v="3"/>
    <x v="1"/>
    <s v="Los Angeles"/>
    <s v="EBay"/>
    <x v="2"/>
    <s v="United States"/>
    <s v="Quibi"/>
    <x v="1"/>
    <s v="D"/>
    <x v="1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067"/>
    <x v="200"/>
    <x v="10"/>
    <s v="Wong Luen Hei"/>
    <n v="61"/>
    <x v="7"/>
    <x v="10"/>
    <s v="Hong Kong"/>
    <s v="Building materials"/>
    <x v="10"/>
    <s v="China"/>
    <m/>
    <x v="1"/>
    <s v="D"/>
    <x v="0"/>
    <m/>
    <m/>
    <m/>
    <m/>
    <x v="10"/>
    <m/>
    <m/>
    <m/>
    <m/>
    <x v="10"/>
    <m/>
    <m/>
  </r>
  <r>
    <n v="1067"/>
    <x v="200"/>
    <x v="14"/>
    <s v="Chenghai Ye &amp; family"/>
    <n v="79"/>
    <x v="7"/>
    <x v="10"/>
    <s v="Hong Kong"/>
    <s v="Pharmaceuticals"/>
    <x v="14"/>
    <s v="Hong Kong"/>
    <m/>
    <x v="1"/>
    <s v="D"/>
    <x v="0"/>
    <m/>
    <m/>
    <m/>
    <m/>
    <x v="10"/>
    <m/>
    <m/>
    <m/>
    <m/>
    <x v="10"/>
    <m/>
    <m/>
  </r>
  <r>
    <n v="1067"/>
    <x v="200"/>
    <x v="10"/>
    <s v="Zhu Xingming"/>
    <n v="56"/>
    <x v="7"/>
    <x v="5"/>
    <s v="Shenzhen"/>
    <s v="Electrical equipment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04"/>
    <x v="201"/>
    <x v="3"/>
    <s v="Jose Joao Abdalla Filho"/>
    <n v="77"/>
    <x v="7"/>
    <x v="30"/>
    <s v="Rio de Janeiro"/>
    <s v="Investments"/>
    <x v="3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104"/>
    <x v="201"/>
    <x v="3"/>
    <s v="Juan Abello"/>
    <n v="81"/>
    <x v="7"/>
    <x v="4"/>
    <s v="Madrid"/>
    <s v="Investments"/>
    <x v="3"/>
    <s v="Spain"/>
    <m/>
    <x v="0"/>
    <s v="D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1104"/>
    <x v="201"/>
    <x v="6"/>
    <s v="Suhail Bahwan"/>
    <n v="84"/>
    <x v="7"/>
    <x v="61"/>
    <s v="Muscat"/>
    <s v="Diversified"/>
    <x v="6"/>
    <s v="Oman"/>
    <m/>
    <x v="1"/>
    <s v="U"/>
    <x v="0"/>
    <m/>
    <n v="113.53"/>
    <n v="0.1"/>
    <s v="$76,983,094,928 "/>
    <x v="50"/>
    <n v="103.4"/>
    <n v="77.599999999999994"/>
    <n v="2.5"/>
    <n v="27.4"/>
    <x v="54"/>
    <n v="21.473532899999999"/>
    <n v="55.975413000000003"/>
  </r>
  <r>
    <n v="1104"/>
    <x v="201"/>
    <x v="6"/>
    <s v="Madhur Bajaj"/>
    <n v="70"/>
    <x v="7"/>
    <x v="3"/>
    <s v="Mumbai"/>
    <s v="Diversified"/>
    <x v="6"/>
    <s v="India"/>
    <m/>
    <x v="0"/>
    <s v="Split Family Fortun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104"/>
    <x v="201"/>
    <x v="6"/>
    <s v="Niraj Bajaj"/>
    <n v="68"/>
    <x v="7"/>
    <x v="3"/>
    <s v="Mumbai"/>
    <s v="Diversified"/>
    <x v="6"/>
    <s v="India"/>
    <m/>
    <x v="0"/>
    <s v="Split Family Fortun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104"/>
    <x v="201"/>
    <x v="6"/>
    <s v="Shekhar Bajaj"/>
    <n v="74"/>
    <x v="7"/>
    <x v="3"/>
    <s v="Mumbai"/>
    <s v="Diversified"/>
    <x v="6"/>
    <s v="India"/>
    <m/>
    <x v="0"/>
    <s v="Split Family Fortun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104"/>
    <x v="201"/>
    <x v="3"/>
    <s v="Harindarpal Banga"/>
    <n v="72"/>
    <x v="7"/>
    <x v="10"/>
    <s v="Hong Kong"/>
    <s v="Commodities"/>
    <x v="3"/>
    <s v="India"/>
    <m/>
    <x v="1"/>
    <s v="U"/>
    <x v="0"/>
    <m/>
    <m/>
    <m/>
    <m/>
    <x v="10"/>
    <m/>
    <m/>
    <m/>
    <m/>
    <x v="10"/>
    <m/>
    <m/>
  </r>
  <r>
    <n v="1104"/>
    <x v="201"/>
    <x v="14"/>
    <s v="Ulrike Baro"/>
    <m/>
    <x v="7"/>
    <x v="7"/>
    <s v="Munich"/>
    <s v="Biopharmaceuticals"/>
    <x v="14"/>
    <s v="Germany"/>
    <m/>
    <x v="0"/>
    <s v="U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104"/>
    <x v="201"/>
    <x v="14"/>
    <s v="Anne Beaufour"/>
    <n v="59"/>
    <x v="7"/>
    <x v="13"/>
    <m/>
    <s v="Pharmaceuticals"/>
    <x v="14"/>
    <s v="France"/>
    <m/>
    <x v="0"/>
    <s v="U"/>
    <x v="1"/>
    <m/>
    <n v="119.62"/>
    <n v="1.7"/>
    <s v="$2,827,113,184,696 "/>
    <x v="13"/>
    <n v="101.2"/>
    <n v="81.3"/>
    <n v="25.5"/>
    <n v="30.6"/>
    <x v="13"/>
    <n v="55.378050999999999"/>
    <n v="-3.4359730000000002"/>
  </r>
  <r>
    <n v="1104"/>
    <x v="201"/>
    <x v="14"/>
    <s v="Henri Beaufour"/>
    <n v="57"/>
    <x v="7"/>
    <x v="13"/>
    <s v="London"/>
    <s v="Pharmaceuticals"/>
    <x v="14"/>
    <s v="France"/>
    <m/>
    <x v="0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104"/>
    <x v="201"/>
    <x v="10"/>
    <s v="Andrei Bokarev"/>
    <n v="56"/>
    <x v="7"/>
    <x v="17"/>
    <s v="Moscow"/>
    <s v="Metals, mining"/>
    <x v="10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104"/>
    <x v="201"/>
    <x v="7"/>
    <s v="Jack Cowin"/>
    <n v="80"/>
    <x v="7"/>
    <x v="14"/>
    <s v="Sydney"/>
    <s v="Fast food"/>
    <x v="7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104"/>
    <x v="201"/>
    <x v="3"/>
    <s v="Glenn Dubin"/>
    <n v="65"/>
    <x v="7"/>
    <x v="1"/>
    <s v="New York"/>
    <s v="Hedge funds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13"/>
    <s v="N. Murray Edwards"/>
    <n v="63"/>
    <x v="7"/>
    <x v="13"/>
    <s v="London"/>
    <s v="Oil &amp; gas"/>
    <x v="13"/>
    <s v="Canada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104"/>
    <x v="201"/>
    <x v="17"/>
    <s v="Frank Fertitta, III."/>
    <n v="61"/>
    <x v="7"/>
    <x v="1"/>
    <s v="Las Vegas"/>
    <s v="Casinos, mixed martial arts"/>
    <x v="17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1"/>
    <s v="Abhay Firodia"/>
    <n v="78"/>
    <x v="7"/>
    <x v="3"/>
    <s v="Pune"/>
    <s v="Automobiles"/>
    <x v="1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104"/>
    <x v="201"/>
    <x v="3"/>
    <s v="Bruce Flatt"/>
    <n v="57"/>
    <x v="7"/>
    <x v="13"/>
    <s v="London"/>
    <s v="Money management"/>
    <x v="3"/>
    <s v="Canada"/>
    <m/>
    <x v="1"/>
    <s v="D"/>
    <x v="0"/>
    <s v="Investor"/>
    <n v="119.62"/>
    <n v="1.7"/>
    <s v="$2,827,113,184,696 "/>
    <x v="13"/>
    <n v="101.2"/>
    <n v="81.3"/>
    <n v="25.5"/>
    <n v="30.6"/>
    <x v="13"/>
    <n v="55.378050999999999"/>
    <n v="-3.4359730000000002"/>
  </r>
  <r>
    <n v="1104"/>
    <x v="201"/>
    <x v="15"/>
    <s v="Miguel Fluxa Rossello"/>
    <n v="84"/>
    <x v="7"/>
    <x v="4"/>
    <s v="Esporles"/>
    <s v="Hotels"/>
    <x v="15"/>
    <s v="Spain"/>
    <m/>
    <x v="0"/>
    <s v="D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1104"/>
    <x v="201"/>
    <x v="12"/>
    <s v="Robert Friedland"/>
    <n v="72"/>
    <x v="0"/>
    <x v="25"/>
    <s v="Singapore"/>
    <s v="Mining"/>
    <x v="12"/>
    <s v="United States"/>
    <s v="Ivanhoe Mines Ltd."/>
    <x v="1"/>
    <s v="U"/>
    <x v="0"/>
    <s v="Founder and Executive Chairman"/>
    <n v="114.41"/>
    <n v="0.6"/>
    <s v="$372,062,527,489 "/>
    <x v="23"/>
    <n v="100.6"/>
    <n v="83.1"/>
    <n v="13.1"/>
    <n v="21"/>
    <x v="24"/>
    <n v="1.3520829999999999"/>
    <n v="103.819836"/>
  </r>
  <r>
    <n v="1104"/>
    <x v="201"/>
    <x v="12"/>
    <s v="Alexander Frolov"/>
    <n v="58"/>
    <x v="7"/>
    <x v="17"/>
    <s v="Moscow"/>
    <s v="Mining, steel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104"/>
    <x v="201"/>
    <x v="6"/>
    <s v="Nadir Godrej"/>
    <n v="72"/>
    <x v="7"/>
    <x v="3"/>
    <s v="Mumbai"/>
    <s v="Consumer goods"/>
    <x v="6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104"/>
    <x v="201"/>
    <x v="15"/>
    <s v="Maggie Hardy"/>
    <n v="57"/>
    <x v="7"/>
    <x v="1"/>
    <s v="Belle Vernon"/>
    <s v="Building materials"/>
    <x v="15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3"/>
    <s v="Nithin Kamath"/>
    <n v="43"/>
    <x v="7"/>
    <x v="3"/>
    <s v="Bangalore"/>
    <s v="Financial services"/>
    <x v="3"/>
    <s v="India"/>
    <m/>
    <x v="1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104"/>
    <x v="201"/>
    <x v="16"/>
    <s v="Samvel Karapetyan"/>
    <n v="57"/>
    <x v="7"/>
    <x v="17"/>
    <s v="Moscow"/>
    <s v="Real estate"/>
    <x v="16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104"/>
    <x v="201"/>
    <x v="11"/>
    <s v="Kei Hoi Pang"/>
    <n v="57"/>
    <x v="7"/>
    <x v="10"/>
    <s v="Hong Kong"/>
    <s v="Real estate"/>
    <x v="11"/>
    <s v="China"/>
    <m/>
    <x v="1"/>
    <s v="D"/>
    <x v="0"/>
    <m/>
    <m/>
    <m/>
    <m/>
    <x v="10"/>
    <m/>
    <m/>
    <m/>
    <m/>
    <x v="10"/>
    <m/>
    <m/>
  </r>
  <r>
    <n v="1104"/>
    <x v="201"/>
    <x v="6"/>
    <s v="Mustafa Rahmi Koc"/>
    <n v="92"/>
    <x v="7"/>
    <x v="47"/>
    <s v="Istanbul"/>
    <s v="Diversified"/>
    <x v="6"/>
    <s v="Turkey"/>
    <m/>
    <x v="0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104"/>
    <x v="201"/>
    <x v="3"/>
    <s v="Yuri Kovalchuk &amp; family"/>
    <n v="71"/>
    <x v="7"/>
    <x v="17"/>
    <s v="St. Petersburg"/>
    <s v="Banking, insurance, media"/>
    <x v="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104"/>
    <x v="201"/>
    <x v="11"/>
    <s v="Geoffrey Kwok"/>
    <n v="37"/>
    <x v="7"/>
    <x v="10"/>
    <s v="Hong Kong"/>
    <s v="Real estate"/>
    <x v="11"/>
    <s v="Hong Kong"/>
    <m/>
    <x v="0"/>
    <s v="D"/>
    <x v="0"/>
    <m/>
    <m/>
    <m/>
    <m/>
    <x v="10"/>
    <m/>
    <m/>
    <m/>
    <m/>
    <x v="10"/>
    <m/>
    <m/>
  </r>
  <r>
    <n v="1104"/>
    <x v="201"/>
    <x v="11"/>
    <s v="Jonathan Kwok"/>
    <n v="31"/>
    <x v="7"/>
    <x v="10"/>
    <s v="Hong Kong"/>
    <s v="Real Estate"/>
    <x v="11"/>
    <s v="Hong Kong"/>
    <m/>
    <x v="0"/>
    <s v="U"/>
    <x v="0"/>
    <m/>
    <m/>
    <m/>
    <m/>
    <x v="10"/>
    <m/>
    <m/>
    <m/>
    <m/>
    <x v="10"/>
    <m/>
    <m/>
  </r>
  <r>
    <n v="1104"/>
    <x v="201"/>
    <x v="10"/>
    <s v="Hans Langer"/>
    <n v="71"/>
    <x v="7"/>
    <x v="7"/>
    <s v="GrÃ¤felfing"/>
    <s v="3D printing"/>
    <x v="10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104"/>
    <x v="201"/>
    <x v="10"/>
    <s v="Frank Laukien"/>
    <n v="63"/>
    <x v="7"/>
    <x v="1"/>
    <s v="Boston"/>
    <s v="Scientific equipment"/>
    <x v="10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11"/>
    <s v="Maritsa Lazari &amp; family"/>
    <n v="78"/>
    <x v="7"/>
    <x v="13"/>
    <s v="London"/>
    <s v="Real estate"/>
    <x v="11"/>
    <s v="United Kingdom"/>
    <m/>
    <x v="1"/>
    <s v="D"/>
    <x v="1"/>
    <m/>
    <n v="119.62"/>
    <n v="1.7"/>
    <s v="$2,827,113,184,696 "/>
    <x v="13"/>
    <n v="101.2"/>
    <n v="81.3"/>
    <n v="25.5"/>
    <n v="30.6"/>
    <x v="13"/>
    <n v="55.378050999999999"/>
    <n v="-3.4359730000000002"/>
  </r>
  <r>
    <n v="1104"/>
    <x v="201"/>
    <x v="11"/>
    <s v="Angela Leong"/>
    <n v="62"/>
    <x v="7"/>
    <x v="10"/>
    <s v="Hong Kong"/>
    <s v="Casinos"/>
    <x v="11"/>
    <s v="Hong Kong"/>
    <m/>
    <x v="0"/>
    <s v="D"/>
    <x v="1"/>
    <m/>
    <m/>
    <m/>
    <m/>
    <x v="10"/>
    <m/>
    <m/>
    <m/>
    <m/>
    <x v="10"/>
    <m/>
    <m/>
  </r>
  <r>
    <n v="1104"/>
    <x v="201"/>
    <x v="2"/>
    <s v="Li Zhongchu"/>
    <n v="59"/>
    <x v="7"/>
    <x v="5"/>
    <s v="Beijing"/>
    <s v="Software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04"/>
    <x v="201"/>
    <x v="7"/>
    <s v="Liang Yunchao"/>
    <n v="54"/>
    <x v="7"/>
    <x v="5"/>
    <s v="Guangzhou"/>
    <s v="Nutritional supplements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04"/>
    <x v="201"/>
    <x v="17"/>
    <s v="Vincent McMahon"/>
    <n v="77"/>
    <x v="7"/>
    <x v="1"/>
    <s v="Greenwich"/>
    <s v="Entertainment"/>
    <x v="1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12"/>
    <s v="Patrice Motsepe"/>
    <n v="61"/>
    <x v="7"/>
    <x v="29"/>
    <s v="Johannesburg"/>
    <s v="Mining"/>
    <x v="12"/>
    <s v="South Africa"/>
    <m/>
    <x v="1"/>
    <s v="D"/>
    <x v="0"/>
    <m/>
    <n v="158.93"/>
    <n v="4.0999999999999996"/>
    <s v="$351,431,649,241 "/>
    <x v="27"/>
    <n v="100.9"/>
    <n v="63.9"/>
    <n v="27.5"/>
    <n v="29.2"/>
    <x v="28"/>
    <n v="-30.559481999999999"/>
    <n v="22.937505999999999"/>
  </r>
  <r>
    <n v="1104"/>
    <x v="201"/>
    <x v="5"/>
    <s v="Denis O'Brien"/>
    <n v="64"/>
    <x v="7"/>
    <x v="62"/>
    <s v="Dublin"/>
    <s v="Telecom"/>
    <x v="5"/>
    <s v="Ireland"/>
    <m/>
    <x v="1"/>
    <s v="D"/>
    <x v="0"/>
    <m/>
    <m/>
    <m/>
    <m/>
    <x v="10"/>
    <m/>
    <m/>
    <m/>
    <m/>
    <x v="10"/>
    <m/>
    <m/>
  </r>
  <r>
    <n v="1104"/>
    <x v="201"/>
    <x v="7"/>
    <s v="Timm Oberwelland"/>
    <m/>
    <x v="7"/>
    <x v="22"/>
    <m/>
    <s v="Candy"/>
    <x v="7"/>
    <s v="Germany"/>
    <m/>
    <x v="0"/>
    <s v="Split Family Fortune"/>
    <x v="0"/>
    <m/>
    <m/>
    <m/>
    <m/>
    <x v="10"/>
    <m/>
    <m/>
    <m/>
    <m/>
    <x v="10"/>
    <m/>
    <m/>
  </r>
  <r>
    <n v="1104"/>
    <x v="201"/>
    <x v="6"/>
    <s v="Dan Olsson"/>
    <n v="76"/>
    <x v="7"/>
    <x v="21"/>
    <s v="Gothenburg"/>
    <s v="Diversified"/>
    <x v="6"/>
    <s v="Sweden"/>
    <m/>
    <x v="0"/>
    <s v="E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1104"/>
    <x v="201"/>
    <x v="2"/>
    <s v="Yuji Otsuka"/>
    <n v="69"/>
    <x v="7"/>
    <x v="12"/>
    <s v="Tokyo"/>
    <s v="Copy machines, software"/>
    <x v="2"/>
    <s v="Japan"/>
    <m/>
    <x v="0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104"/>
    <x v="201"/>
    <x v="0"/>
    <s v="Pan Dong"/>
    <n v="58"/>
    <x v="7"/>
    <x v="10"/>
    <s v="Hong Kong"/>
    <s v="Consumer goods"/>
    <x v="0"/>
    <s v="Canada"/>
    <m/>
    <x v="1"/>
    <s v="D"/>
    <x v="1"/>
    <m/>
    <m/>
    <m/>
    <m/>
    <x v="10"/>
    <m/>
    <m/>
    <m/>
    <m/>
    <x v="10"/>
    <m/>
    <m/>
  </r>
  <r>
    <n v="1104"/>
    <x v="201"/>
    <x v="6"/>
    <s v="Karsanbhai Patel"/>
    <n v="79"/>
    <x v="7"/>
    <x v="3"/>
    <s v="Ahmedabad"/>
    <s v="Consumer goods"/>
    <x v="6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104"/>
    <x v="201"/>
    <x v="11"/>
    <s v="Richard Peery"/>
    <n v="84"/>
    <x v="7"/>
    <x v="1"/>
    <s v="Palo Alto"/>
    <s v="Real estate"/>
    <x v="11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12"/>
    <s v="Gianfelice Rocca"/>
    <n v="75"/>
    <x v="7"/>
    <x v="22"/>
    <m/>
    <s v="Pipe Manufacturing"/>
    <x v="12"/>
    <s v="Italy"/>
    <m/>
    <x v="0"/>
    <s v="Split Family Fortune"/>
    <x v="0"/>
    <m/>
    <m/>
    <m/>
    <m/>
    <x v="10"/>
    <m/>
    <m/>
    <m/>
    <m/>
    <x v="10"/>
    <m/>
    <m/>
  </r>
  <r>
    <n v="1104"/>
    <x v="201"/>
    <x v="12"/>
    <s v="Paolo Rocca"/>
    <n v="70"/>
    <x v="7"/>
    <x v="22"/>
    <m/>
    <s v="Pipe Manufacturing"/>
    <x v="12"/>
    <s v="Italy"/>
    <m/>
    <x v="0"/>
    <s v="Split Family Fortune"/>
    <x v="0"/>
    <m/>
    <m/>
    <m/>
    <m/>
    <x v="10"/>
    <m/>
    <m/>
    <m/>
    <m/>
    <x v="10"/>
    <m/>
    <m/>
  </r>
  <r>
    <n v="1104"/>
    <x v="201"/>
    <x v="14"/>
    <s v="Wayne Rothbaum"/>
    <n v="55"/>
    <x v="7"/>
    <x v="1"/>
    <s v="Delray Beach"/>
    <s v="Biotech investing"/>
    <x v="14"/>
    <s v="United States"/>
    <m/>
    <x v="1"/>
    <s v="N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2"/>
    <s v="Jeff Rothschild"/>
    <n v="68"/>
    <x v="3"/>
    <x v="1"/>
    <s v="Palo Alto"/>
    <s v="Facebook"/>
    <x v="2"/>
    <s v="United States"/>
    <s v="Meta Platforms"/>
    <x v="1"/>
    <s v="D"/>
    <x v="0"/>
    <s v="Advisor"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2"/>
    <s v="Raj Sardana"/>
    <n v="63"/>
    <x v="7"/>
    <x v="1"/>
    <s v="Atlanta"/>
    <s v="Technology services"/>
    <x v="2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4"/>
    <s v="Christiane Schoeller"/>
    <m/>
    <x v="7"/>
    <x v="22"/>
    <m/>
    <s v="Publishing"/>
    <x v="4"/>
    <s v="Germany"/>
    <m/>
    <x v="0"/>
    <s v="U"/>
    <x v="1"/>
    <m/>
    <m/>
    <m/>
    <m/>
    <x v="10"/>
    <m/>
    <m/>
    <m/>
    <m/>
    <x v="10"/>
    <m/>
    <m/>
  </r>
  <r>
    <n v="1104"/>
    <x v="201"/>
    <x v="10"/>
    <s v="Salil Singhal"/>
    <n v="75"/>
    <x v="7"/>
    <x v="3"/>
    <s v="Delhi"/>
    <s v="Agrochemicals"/>
    <x v="10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104"/>
    <x v="201"/>
    <x v="8"/>
    <s v="Alexander Skorobogatko"/>
    <n v="55"/>
    <x v="7"/>
    <x v="17"/>
    <s v="Moscow"/>
    <s v="Real estate, airport"/>
    <x v="8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104"/>
    <x v="201"/>
    <x v="2"/>
    <s v="Evan Spiegel"/>
    <n v="32"/>
    <x v="6"/>
    <x v="1"/>
    <s v="Los Angeles"/>
    <s v="Snapchat"/>
    <x v="2"/>
    <s v="United States"/>
    <s v="Snap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15"/>
    <s v="Glen Taylor"/>
    <n v="81"/>
    <x v="7"/>
    <x v="1"/>
    <s v="Mankato"/>
    <s v="Printing"/>
    <x v="15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4"/>
    <s v="Thomas Tull"/>
    <n v="52"/>
    <x v="7"/>
    <x v="1"/>
    <s v="Pittsburgh"/>
    <s v="Movies, investments"/>
    <x v="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04"/>
    <x v="201"/>
    <x v="12"/>
    <s v="Bulat Utemuratov"/>
    <n v="65"/>
    <x v="7"/>
    <x v="51"/>
    <s v="Nur-Sultan"/>
    <s v="Mining, banking, hotels"/>
    <x v="12"/>
    <s v="Kazakhstan"/>
    <m/>
    <x v="1"/>
    <s v="D"/>
    <x v="0"/>
    <m/>
    <n v="182.75"/>
    <n v="5.2"/>
    <s v="$180,161,741,180 "/>
    <x v="43"/>
    <n v="104.4"/>
    <n v="73.2"/>
    <n v="11.7"/>
    <n v="28.4"/>
    <x v="46"/>
    <n v="48.019573000000001"/>
    <n v="66.923683999999994"/>
  </r>
  <r>
    <n v="1104"/>
    <x v="201"/>
    <x v="7"/>
    <s v="Gustav Magnar Witzoe"/>
    <n v="29"/>
    <x v="7"/>
    <x v="36"/>
    <s v="Kverva"/>
    <s v="Fish farming"/>
    <x v="7"/>
    <s v="Norway"/>
    <m/>
    <x v="0"/>
    <s v="D"/>
    <x v="0"/>
    <m/>
    <n v="120.27"/>
    <n v="2.2000000000000002"/>
    <s v="$403,336,363,636 "/>
    <x v="31"/>
    <n v="100.3"/>
    <n v="82.8"/>
    <n v="23.9"/>
    <n v="36.200000000000003"/>
    <x v="34"/>
    <n v="60.472023999999998"/>
    <n v="8.4689460000000008"/>
  </r>
  <r>
    <n v="1104"/>
    <x v="201"/>
    <x v="10"/>
    <s v="Wong Man Li"/>
    <n v="58"/>
    <x v="7"/>
    <x v="10"/>
    <s v="Hong Kong"/>
    <s v="Furniture"/>
    <x v="10"/>
    <s v="Hong Kong"/>
    <m/>
    <x v="1"/>
    <s v="D"/>
    <x v="0"/>
    <m/>
    <m/>
    <m/>
    <m/>
    <x v="10"/>
    <m/>
    <m/>
    <m/>
    <m/>
    <x v="10"/>
    <m/>
    <m/>
  </r>
  <r>
    <n v="1104"/>
    <x v="201"/>
    <x v="14"/>
    <s v="Guangming Wu"/>
    <n v="61"/>
    <x v="7"/>
    <x v="5"/>
    <s v="Danyang"/>
    <s v="Medical equipment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04"/>
    <x v="201"/>
    <x v="14"/>
    <s v="Zhu Yi"/>
    <n v="59"/>
    <x v="7"/>
    <x v="5"/>
    <s v="Chengdu"/>
    <s v="Pharmaceuticals"/>
    <x v="14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4"/>
    <x v="202"/>
    <x v="11"/>
    <s v="Ben Ashkenazy"/>
    <n v="53"/>
    <x v="7"/>
    <x v="1"/>
    <s v="New York"/>
    <s v="Real estate"/>
    <x v="11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3"/>
    <s v="Felix Baker"/>
    <n v="54"/>
    <x v="7"/>
    <x v="1"/>
    <s v="New York"/>
    <s v="Biotech investing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3"/>
    <s v="Julian Baker"/>
    <n v="56"/>
    <x v="7"/>
    <x v="1"/>
    <s v="New York"/>
    <s v="Investing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4"/>
    <s v="David Baszucki"/>
    <n v="60"/>
    <x v="7"/>
    <x v="1"/>
    <s v="San Francisco"/>
    <s v="Online games"/>
    <x v="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7"/>
    <s v="Joesley Batista"/>
    <n v="51"/>
    <x v="7"/>
    <x v="30"/>
    <s v="Sao Paulo"/>
    <s v="Beef processing"/>
    <x v="7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164"/>
    <x v="202"/>
    <x v="7"/>
    <s v="Wesley Batista"/>
    <n v="50"/>
    <x v="7"/>
    <x v="30"/>
    <s v="Sao Paulo"/>
    <s v="Beef packing"/>
    <x v="7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164"/>
    <x v="202"/>
    <x v="4"/>
    <s v="Yvonne Bauer"/>
    <n v="46"/>
    <x v="7"/>
    <x v="7"/>
    <s v="Hamburg"/>
    <s v="Magazines, media"/>
    <x v="4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164"/>
    <x v="202"/>
    <x v="10"/>
    <s v="Miriam Baumann-Blocher"/>
    <n v="48"/>
    <x v="7"/>
    <x v="8"/>
    <s v="Rheinfelden"/>
    <s v="Chemicals"/>
    <x v="10"/>
    <s v="Switzerland"/>
    <m/>
    <x v="0"/>
    <s v="D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1164"/>
    <x v="202"/>
    <x v="14"/>
    <s v="Cen Junda"/>
    <n v="58"/>
    <x v="7"/>
    <x v="5"/>
    <s v="Lianyungang"/>
    <s v="Pharmaceutical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4"/>
    <x v="202"/>
    <x v="3"/>
    <s v="Richard Chandler"/>
    <n v="64"/>
    <x v="7"/>
    <x v="25"/>
    <s v="Singapore"/>
    <s v="Investments"/>
    <x v="3"/>
    <s v="New Zealand"/>
    <m/>
    <x v="0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1164"/>
    <x v="202"/>
    <x v="10"/>
    <s v="Chen Zhiping"/>
    <n v="47"/>
    <x v="7"/>
    <x v="5"/>
    <s v="Shenzhen"/>
    <s v="E-cigarette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4"/>
    <x v="202"/>
    <x v="15"/>
    <s v="Fernando Chico Pardo"/>
    <n v="71"/>
    <x v="7"/>
    <x v="2"/>
    <s v="Mexico City"/>
    <s v="Airport management"/>
    <x v="15"/>
    <s v="Mexico"/>
    <m/>
    <x v="1"/>
    <s v="U"/>
    <x v="0"/>
    <m/>
    <n v="141.54"/>
    <n v="3.6"/>
    <s v="$1,258,286,717,125 "/>
    <x v="2"/>
    <n v="105.8"/>
    <n v="75"/>
    <n v="13.1"/>
    <n v="55.1"/>
    <x v="2"/>
    <n v="23.634501"/>
    <n v="-102.552784"/>
  </r>
  <r>
    <n v="1164"/>
    <x v="202"/>
    <x v="13"/>
    <s v="Ray Davis"/>
    <n v="81"/>
    <x v="7"/>
    <x v="1"/>
    <s v="Dallas"/>
    <s v="Pipelines"/>
    <x v="1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16"/>
    <s v="Maria Del Pino"/>
    <n v="67"/>
    <x v="7"/>
    <x v="4"/>
    <s v="Madrid"/>
    <s v="Construction"/>
    <x v="16"/>
    <s v="Spain"/>
    <m/>
    <x v="0"/>
    <s v="U"/>
    <x v="1"/>
    <m/>
    <n v="110.96"/>
    <n v="0.7"/>
    <s v="$1,394,116,310,769 "/>
    <x v="4"/>
    <n v="102.7"/>
    <n v="83.3"/>
    <n v="14.2"/>
    <n v="47"/>
    <x v="4"/>
    <n v="40.463667000000001"/>
    <n v="-3.7492200000000002"/>
  </r>
  <r>
    <n v="1164"/>
    <x v="202"/>
    <x v="10"/>
    <s v="Deng Weiming &amp; family"/>
    <n v="54"/>
    <x v="7"/>
    <x v="5"/>
    <s v="Changsha"/>
    <s v="Battery component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4"/>
    <x v="202"/>
    <x v="7"/>
    <s v="John Dorrance, III."/>
    <n v="79"/>
    <x v="7"/>
    <x v="62"/>
    <s v="Dublin"/>
    <s v="Campbell Soup"/>
    <x v="7"/>
    <s v="Ireland"/>
    <m/>
    <x v="0"/>
    <s v="D"/>
    <x v="0"/>
    <m/>
    <m/>
    <m/>
    <m/>
    <x v="10"/>
    <m/>
    <m/>
    <m/>
    <m/>
    <x v="10"/>
    <m/>
    <m/>
  </r>
  <r>
    <n v="1164"/>
    <x v="202"/>
    <x v="6"/>
    <s v="Carl Douglas"/>
    <n v="61"/>
    <x v="7"/>
    <x v="21"/>
    <s v="Stockholm"/>
    <s v="Investments"/>
    <x v="6"/>
    <s v="Sweden"/>
    <m/>
    <x v="0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1164"/>
    <x v="202"/>
    <x v="6"/>
    <s v="Eric Douglas"/>
    <n v="54"/>
    <x v="7"/>
    <x v="21"/>
    <s v="Stockholm"/>
    <s v="Investments"/>
    <x v="6"/>
    <s v="Sweden"/>
    <m/>
    <x v="0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1164"/>
    <x v="202"/>
    <x v="10"/>
    <s v="Fiona Geminder"/>
    <n v="58"/>
    <x v="7"/>
    <x v="14"/>
    <s v="Melbourne"/>
    <s v="Manufacturing"/>
    <x v="10"/>
    <s v="Australia"/>
    <m/>
    <x v="0"/>
    <s v="D"/>
    <x v="1"/>
    <m/>
    <n v="119.8"/>
    <n v="1.6"/>
    <s v="$1,392,680,589,329 "/>
    <x v="14"/>
    <n v="100.3"/>
    <n v="82.7"/>
    <n v="23"/>
    <n v="47.4"/>
    <x v="14"/>
    <n v="-25.274398000000001"/>
    <n v="133.775136"/>
  </r>
  <r>
    <n v="1164"/>
    <x v="202"/>
    <x v="3"/>
    <s v="Stewart Horejsi &amp; family"/>
    <n v="85"/>
    <x v="7"/>
    <x v="1"/>
    <s v="Phoenix"/>
    <s v="Berkshire Hathawa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14"/>
    <s v="Hou Juncheng"/>
    <n v="58"/>
    <x v="7"/>
    <x v="5"/>
    <s v="Hangzhou"/>
    <s v="Cosmetic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4"/>
    <x v="202"/>
    <x v="16"/>
    <s v="Zhenda Huang &amp; family"/>
    <n v="75"/>
    <x v="7"/>
    <x v="5"/>
    <s v="Shantou"/>
    <s v="Construction"/>
    <x v="1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4"/>
    <x v="202"/>
    <x v="15"/>
    <s v="Dmitry Kamenshchik"/>
    <n v="54"/>
    <x v="7"/>
    <x v="17"/>
    <s v="Moscow"/>
    <s v="Airport"/>
    <x v="15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164"/>
    <x v="202"/>
    <x v="3"/>
    <s v="Alicia Koplowitz"/>
    <n v="69"/>
    <x v="7"/>
    <x v="4"/>
    <s v="Madrid"/>
    <s v="Construction, investments"/>
    <x v="3"/>
    <s v="Spain"/>
    <m/>
    <x v="0"/>
    <s v="D"/>
    <x v="1"/>
    <m/>
    <n v="110.96"/>
    <n v="0.7"/>
    <s v="$1,394,116,310,769 "/>
    <x v="4"/>
    <n v="102.7"/>
    <n v="83.3"/>
    <n v="14.2"/>
    <n v="47"/>
    <x v="4"/>
    <n v="40.463667000000001"/>
    <n v="-3.7492200000000002"/>
  </r>
  <r>
    <n v="1164"/>
    <x v="202"/>
    <x v="11"/>
    <s v="Adam Kwok"/>
    <n v="40"/>
    <x v="7"/>
    <x v="10"/>
    <s v="Hong Kong"/>
    <s v="Real estate"/>
    <x v="11"/>
    <s v="Hong Kong"/>
    <m/>
    <x v="0"/>
    <s v="U"/>
    <x v="0"/>
    <m/>
    <m/>
    <m/>
    <m/>
    <x v="10"/>
    <m/>
    <m/>
    <m/>
    <m/>
    <x v="10"/>
    <m/>
    <m/>
  </r>
  <r>
    <n v="1164"/>
    <x v="202"/>
    <x v="3"/>
    <s v="Henry Laufer"/>
    <n v="77"/>
    <x v="7"/>
    <x v="1"/>
    <s v="Lake Worth"/>
    <s v="Hedge funds"/>
    <x v="3"/>
    <s v="United States"/>
    <m/>
    <x v="1"/>
    <s v="U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7"/>
    <s v="Louis Le Duff"/>
    <n v="76"/>
    <x v="7"/>
    <x v="0"/>
    <s v="Paris"/>
    <s v="Bakeries"/>
    <x v="7"/>
    <s v="France"/>
    <m/>
    <x v="1"/>
    <s v="U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1164"/>
    <x v="202"/>
    <x v="2"/>
    <s v="Mark Leonard &amp; family"/>
    <n v="66"/>
    <x v="7"/>
    <x v="6"/>
    <s v="Toronto"/>
    <s v="Software"/>
    <x v="2"/>
    <s v="Canada"/>
    <m/>
    <x v="1"/>
    <s v="U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164"/>
    <x v="202"/>
    <x v="1"/>
    <s v="Li Guoqiang"/>
    <n v="59"/>
    <x v="7"/>
    <x v="5"/>
    <s v="Beijing"/>
    <s v="Auto dealership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4"/>
    <x v="202"/>
    <x v="15"/>
    <s v="Li Yongxin"/>
    <n v="47"/>
    <x v="7"/>
    <x v="5"/>
    <s v="Beijing"/>
    <s v="Education"/>
    <x v="15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4"/>
    <x v="202"/>
    <x v="3"/>
    <s v="Peter Lim"/>
    <n v="69"/>
    <x v="7"/>
    <x v="25"/>
    <s v="Singapore"/>
    <s v="Investments"/>
    <x v="3"/>
    <s v="Singapore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1164"/>
    <x v="202"/>
    <x v="6"/>
    <s v="Lu Weiding"/>
    <n v="52"/>
    <x v="7"/>
    <x v="5"/>
    <s v="Hangzhou"/>
    <s v="Diversified"/>
    <x v="6"/>
    <s v="China"/>
    <m/>
    <x v="0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4"/>
    <x v="202"/>
    <x v="15"/>
    <s v="Sergio Mantegazza"/>
    <n v="95"/>
    <x v="7"/>
    <x v="8"/>
    <s v="Lugano"/>
    <s v="Travel"/>
    <x v="15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164"/>
    <x v="202"/>
    <x v="3"/>
    <s v="Hans Melchers"/>
    <n v="84"/>
    <x v="7"/>
    <x v="41"/>
    <s v="Vorden"/>
    <s v="Chemicals, investments"/>
    <x v="3"/>
    <s v="Netherlands"/>
    <m/>
    <x v="1"/>
    <s v="D"/>
    <x v="0"/>
    <m/>
    <n v="115.91"/>
    <n v="2.6"/>
    <s v="$909,070,395,161 "/>
    <x v="36"/>
    <n v="104.2"/>
    <n v="81.8"/>
    <n v="23"/>
    <n v="41.2"/>
    <x v="38"/>
    <n v="52.132632999999998"/>
    <n v="5.2912660000000002"/>
  </r>
  <r>
    <n v="1164"/>
    <x v="202"/>
    <x v="7"/>
    <s v="C. Dean Metropoulos"/>
    <n v="76"/>
    <x v="7"/>
    <x v="1"/>
    <s v="Palm Beach"/>
    <s v="Investments"/>
    <x v="7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10"/>
    <s v="Hans Georg Naeder"/>
    <n v="61"/>
    <x v="7"/>
    <x v="7"/>
    <s v="Duderstadt"/>
    <s v="Prosthetics"/>
    <x v="10"/>
    <s v="Germany"/>
    <m/>
    <x v="0"/>
    <s v="E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164"/>
    <x v="202"/>
    <x v="0"/>
    <s v="Falguni Nayar"/>
    <n v="60"/>
    <x v="3"/>
    <x v="3"/>
    <s v="Mumbai"/>
    <s v="Retailing"/>
    <x v="0"/>
    <s v="India"/>
    <s v="Nykaa"/>
    <x v="1"/>
    <s v="D"/>
    <x v="1"/>
    <s v="Founder &amp; CEO"/>
    <n v="180.44"/>
    <n v="7.7"/>
    <s v="$2,611,000,000,000 "/>
    <x v="3"/>
    <n v="113"/>
    <n v="69.400000000000006"/>
    <n v="11.2"/>
    <n v="49.7"/>
    <x v="3"/>
    <n v="20.593684"/>
    <n v="78.962879999999998"/>
  </r>
  <r>
    <n v="1164"/>
    <x v="202"/>
    <x v="3"/>
    <s v="James Packer"/>
    <n v="55"/>
    <x v="7"/>
    <x v="1"/>
    <s v="Los Angeles"/>
    <s v="Investments"/>
    <x v="3"/>
    <s v="Australia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8"/>
    <s v="Alexander Ponomarenko"/>
    <n v="58"/>
    <x v="7"/>
    <x v="17"/>
    <s v="Moscow"/>
    <s v="Real estate, airport"/>
    <x v="8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164"/>
    <x v="202"/>
    <x v="3"/>
    <s v="Nicholas Pritzker"/>
    <n v="79"/>
    <x v="7"/>
    <x v="1"/>
    <s v="Nicasio"/>
    <s v="Hotels, investments"/>
    <x v="3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7"/>
    <s v="Alejandro Santo Domingo"/>
    <n v="46"/>
    <x v="7"/>
    <x v="1"/>
    <s v="New York"/>
    <s v="Beer"/>
    <x v="7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2"/>
    <s v="Steven Sarowitz"/>
    <n v="57"/>
    <x v="7"/>
    <x v="1"/>
    <s v="Highland Park"/>
    <s v="Payroll software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1"/>
    <s v="Maria-Elisabeth Schaeffler-Thumann"/>
    <n v="81"/>
    <x v="7"/>
    <x v="7"/>
    <s v="Herzogenaurach"/>
    <s v="Auto parts"/>
    <x v="1"/>
    <s v="Germany"/>
    <m/>
    <x v="0"/>
    <s v="U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164"/>
    <x v="202"/>
    <x v="14"/>
    <s v="Leonard Schleifer"/>
    <n v="70"/>
    <x v="0"/>
    <x v="1"/>
    <s v="Tarrytown"/>
    <s v="Pharmaceuticals"/>
    <x v="14"/>
    <s v="United States"/>
    <s v="Regeneron Pharmaceuticals"/>
    <x v="1"/>
    <s v="U"/>
    <x v="0"/>
    <s v="CEO and Founder"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10"/>
    <s v="Dieter Schnabel"/>
    <n v="77"/>
    <x v="7"/>
    <x v="7"/>
    <s v="Hamburg"/>
    <s v="Chemicals"/>
    <x v="10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164"/>
    <x v="202"/>
    <x v="13"/>
    <s v="Michael S. Smith"/>
    <n v="67"/>
    <x v="7"/>
    <x v="1"/>
    <s v="Miami Beach"/>
    <s v="Liquefied natural gas"/>
    <x v="13"/>
    <s v="United States"/>
    <m/>
    <x v="1"/>
    <s v="U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10"/>
    <s v="Julia Thiele-Schuerhoff"/>
    <n v="51"/>
    <x v="7"/>
    <x v="7"/>
    <s v="Munich"/>
    <s v="Brakes, investments"/>
    <x v="10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164"/>
    <x v="202"/>
    <x v="7"/>
    <s v="John Tyson &amp; family"/>
    <n v="69"/>
    <x v="7"/>
    <x v="1"/>
    <s v="Springdale"/>
    <s v="Food processing"/>
    <x v="7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164"/>
    <x v="202"/>
    <x v="10"/>
    <s v="Anna Katharina Viessmann"/>
    <m/>
    <x v="7"/>
    <x v="7"/>
    <s v="Battenberg"/>
    <s v="Heating and cooling equipment"/>
    <x v="10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164"/>
    <x v="202"/>
    <x v="16"/>
    <s v="Jurgen Wirtgen"/>
    <n v="57"/>
    <x v="7"/>
    <x v="22"/>
    <m/>
    <s v="Construction Vehicles"/>
    <x v="16"/>
    <s v="Germany"/>
    <m/>
    <x v="0"/>
    <s v="N"/>
    <x v="0"/>
    <m/>
    <m/>
    <m/>
    <m/>
    <x v="10"/>
    <m/>
    <m/>
    <m/>
    <m/>
    <x v="10"/>
    <m/>
    <m/>
  </r>
  <r>
    <n v="1164"/>
    <x v="202"/>
    <x v="16"/>
    <s v="Stefan Wirtgen"/>
    <n v="52"/>
    <x v="7"/>
    <x v="22"/>
    <m/>
    <s v="Construction Vehicles"/>
    <x v="16"/>
    <s v="Germany"/>
    <m/>
    <x v="0"/>
    <s v="N"/>
    <x v="0"/>
    <m/>
    <m/>
    <m/>
    <m/>
    <x v="10"/>
    <m/>
    <m/>
    <m/>
    <m/>
    <x v="10"/>
    <m/>
    <m/>
  </r>
  <r>
    <n v="1164"/>
    <x v="202"/>
    <x v="2"/>
    <s v="Zhao Lixin"/>
    <n v="57"/>
    <x v="7"/>
    <x v="5"/>
    <s v="Shanghai"/>
    <s v="Electronic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164"/>
    <x v="202"/>
    <x v="2"/>
    <s v="Hongyi Zhou"/>
    <n v="52"/>
    <x v="7"/>
    <x v="5"/>
    <s v="Beijing"/>
    <s v="Security software"/>
    <x v="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17"/>
    <x v="203"/>
    <x v="7"/>
    <s v="S. Daniel Abraham"/>
    <n v="98"/>
    <x v="2"/>
    <x v="1"/>
    <s v="Palm Beach"/>
    <s v="Slim-Fast"/>
    <x v="7"/>
    <s v="United States"/>
    <s v="S. Daniel Abraham Center for Middle East Peace"/>
    <x v="1"/>
    <s v="U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0"/>
    <s v="Bill Alfond"/>
    <n v="74"/>
    <x v="7"/>
    <x v="1"/>
    <s v="Boston"/>
    <s v="Shoes"/>
    <x v="0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0"/>
    <s v="Susan Alfond"/>
    <n v="77"/>
    <x v="7"/>
    <x v="1"/>
    <s v="Scarborough"/>
    <s v="Shoes"/>
    <x v="0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0"/>
    <s v="Ted Alfond"/>
    <n v="78"/>
    <x v="7"/>
    <x v="1"/>
    <s v="Weston"/>
    <s v="Shoes"/>
    <x v="0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16"/>
    <s v="Riley Bechtel &amp; family"/>
    <n v="71"/>
    <x v="0"/>
    <x v="1"/>
    <s v="San Francisco"/>
    <s v="Engineering, construction"/>
    <x v="16"/>
    <s v="United States"/>
    <s v="Bechtel Corp."/>
    <x v="0"/>
    <s v="D"/>
    <x v="0"/>
    <s v="former 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6"/>
    <s v="Thor Bjorgolfsson"/>
    <n v="56"/>
    <x v="7"/>
    <x v="13"/>
    <s v="London"/>
    <s v="Investments"/>
    <x v="6"/>
    <s v="Iceland"/>
    <m/>
    <x v="1"/>
    <s v="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217"/>
    <x v="203"/>
    <x v="7"/>
    <s v="Charles Bronfman"/>
    <n v="91"/>
    <x v="7"/>
    <x v="1"/>
    <s v="Palm Beach"/>
    <s v="Liquor"/>
    <x v="7"/>
    <s v="Canada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7"/>
    <s v="Vivek Chand Burman"/>
    <n v="85"/>
    <x v="7"/>
    <x v="3"/>
    <s v="Delhi"/>
    <s v="Consumer goods"/>
    <x v="7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217"/>
    <x v="203"/>
    <x v="1"/>
    <s v="Herb Chambers"/>
    <n v="81"/>
    <x v="7"/>
    <x v="1"/>
    <s v="Boston"/>
    <s v="Car dealerships"/>
    <x v="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4"/>
    <s v="Cheng Yixiao"/>
    <n v="39"/>
    <x v="7"/>
    <x v="5"/>
    <s v="Beijing"/>
    <s v="Video streaming app"/>
    <x v="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17"/>
    <x v="203"/>
    <x v="7"/>
    <s v="Andrew Cherng"/>
    <n v="75"/>
    <x v="7"/>
    <x v="1"/>
    <s v="Las Vegas"/>
    <s v="Fast food"/>
    <x v="7"/>
    <s v="United States"/>
    <m/>
    <x v="1"/>
    <s v="Split Family Fortun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7"/>
    <s v="Peggy Cherng"/>
    <n v="75"/>
    <x v="7"/>
    <x v="1"/>
    <s v="Las Vegas"/>
    <s v="Fast food"/>
    <x v="7"/>
    <s v="United States"/>
    <m/>
    <x v="1"/>
    <s v="Split Family Fortune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3"/>
    <s v="Leon G. Cooperman"/>
    <n v="79"/>
    <x v="0"/>
    <x v="1"/>
    <s v="Boca Raton"/>
    <s v="Hedge funds"/>
    <x v="3"/>
    <s v="United States"/>
    <s v="Omega Advisors, Inc."/>
    <x v="1"/>
    <s v="E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10"/>
    <s v="Yadu Hari Dalmia &amp; family"/>
    <n v="75"/>
    <x v="7"/>
    <x v="3"/>
    <s v="Delhi"/>
    <s v="Cement"/>
    <x v="10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217"/>
    <x v="203"/>
    <x v="7"/>
    <s v="Henry Davis"/>
    <n v="72"/>
    <x v="7"/>
    <x v="1"/>
    <s v="Omaha"/>
    <s v="Beef processing"/>
    <x v="7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12"/>
    <s v="Oleg Deripaska"/>
    <n v="55"/>
    <x v="7"/>
    <x v="17"/>
    <s v="Moscow"/>
    <s v="Aluminum, utilities"/>
    <x v="1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217"/>
    <x v="203"/>
    <x v="2"/>
    <s v="Sergey Dmitriev"/>
    <n v="57"/>
    <x v="7"/>
    <x v="63"/>
    <s v="Paralimni"/>
    <s v="Software"/>
    <x v="2"/>
    <s v="Cyprus"/>
    <m/>
    <x v="1"/>
    <s v="D"/>
    <x v="0"/>
    <m/>
    <n v="102.51"/>
    <n v="0.3"/>
    <s v="$24,564,647,935 "/>
    <x v="51"/>
    <n v="99.3"/>
    <n v="80.8"/>
    <n v="24.5"/>
    <n v="22.4"/>
    <x v="55"/>
    <n v="35.126412999999999"/>
    <n v="33.429859"/>
  </r>
  <r>
    <n v="1217"/>
    <x v="203"/>
    <x v="3"/>
    <s v="Joseph Edelman"/>
    <n v="67"/>
    <x v="3"/>
    <x v="1"/>
    <s v="New York"/>
    <s v="Hedge funds"/>
    <x v="3"/>
    <s v="United States"/>
    <s v="Perceptive Advisors"/>
    <x v="1"/>
    <s v="D"/>
    <x v="0"/>
    <s v="Founder &amp; CEO"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10"/>
    <s v="Sandeep Engineer"/>
    <n v="61"/>
    <x v="7"/>
    <x v="3"/>
    <s v="Ahmedabad"/>
    <s v="Plastic pipes"/>
    <x v="1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217"/>
    <x v="203"/>
    <x v="13"/>
    <s v="Alceu Elias Feldmann &amp; family"/>
    <n v="73"/>
    <x v="7"/>
    <x v="30"/>
    <s v="Curitiba"/>
    <s v="Fertilizer"/>
    <x v="13"/>
    <s v="Brazil"/>
    <m/>
    <x v="1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217"/>
    <x v="203"/>
    <x v="2"/>
    <s v="Serge Godin"/>
    <n v="73"/>
    <x v="0"/>
    <x v="6"/>
    <s v="Westmount"/>
    <s v="Information technology"/>
    <x v="2"/>
    <s v="Canada"/>
    <s v="CGI Group"/>
    <x v="1"/>
    <s v="U"/>
    <x v="0"/>
    <s v="Chairman and CEO"/>
    <n v="116.76"/>
    <n v="1.9"/>
    <s v="$1,736,425,629,520 "/>
    <x v="6"/>
    <n v="100.9"/>
    <n v="81.900000000000006"/>
    <n v="12.8"/>
    <n v="24.5"/>
    <x v="6"/>
    <n v="56.130366000000002"/>
    <n v="-106.346771"/>
  </r>
  <r>
    <n v="1217"/>
    <x v="203"/>
    <x v="3"/>
    <s v="Alec Gores"/>
    <n v="70"/>
    <x v="7"/>
    <x v="1"/>
    <s v="Beverly Hills"/>
    <s v="Private equit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0"/>
    <s v="Bill Haslam"/>
    <n v="64"/>
    <x v="7"/>
    <x v="1"/>
    <s v="Knoxville"/>
    <s v="Gas stations"/>
    <x v="0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3"/>
    <s v="J. Tomilson Hill"/>
    <n v="74"/>
    <x v="7"/>
    <x v="1"/>
    <s v="New York"/>
    <s v="Investments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4"/>
    <s v="Jay-Z"/>
    <n v="53"/>
    <x v="7"/>
    <x v="1"/>
    <s v="New York"/>
    <s v="Music"/>
    <x v="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1"/>
    <s v="Baba Kalyani"/>
    <n v="74"/>
    <x v="7"/>
    <x v="3"/>
    <s v="Pune"/>
    <s v="Engineering"/>
    <x v="1"/>
    <s v="India"/>
    <m/>
    <x v="0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217"/>
    <x v="203"/>
    <x v="13"/>
    <s v="Saban Cemil Kazanci"/>
    <n v="62"/>
    <x v="7"/>
    <x v="47"/>
    <s v="Istanbul"/>
    <s v="Energy"/>
    <x v="13"/>
    <s v="Turkey"/>
    <m/>
    <x v="0"/>
    <s v="R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217"/>
    <x v="203"/>
    <x v="11"/>
    <s v="Brad Kelley"/>
    <n v="66"/>
    <x v="7"/>
    <x v="1"/>
    <s v="Franklin"/>
    <s v="Tobacco"/>
    <x v="11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16"/>
    <s v="Wolfgang Leitner"/>
    <n v="70"/>
    <x v="7"/>
    <x v="11"/>
    <s v="Graz"/>
    <s v="Engineering"/>
    <x v="16"/>
    <s v="Austria"/>
    <m/>
    <x v="1"/>
    <s v="U"/>
    <x v="0"/>
    <m/>
    <n v="118.06"/>
    <n v="1.5"/>
    <s v="$446,314,739,528 "/>
    <x v="11"/>
    <n v="103.1"/>
    <n v="81.599999999999994"/>
    <n v="25.4"/>
    <n v="51.4"/>
    <x v="11"/>
    <n v="47.516230999999998"/>
    <n v="14.550072"/>
  </r>
  <r>
    <n v="1217"/>
    <x v="203"/>
    <x v="10"/>
    <s v="Li Hongxin &amp; family"/>
    <n v="70"/>
    <x v="7"/>
    <x v="5"/>
    <s v="Yanzhou"/>
    <s v="Paper &amp; related product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17"/>
    <x v="203"/>
    <x v="11"/>
    <s v="Lin Chen-hai"/>
    <n v="76"/>
    <x v="7"/>
    <x v="35"/>
    <s v="Taipei"/>
    <s v="Real estate"/>
    <x v="11"/>
    <s v="Taiwan"/>
    <m/>
    <x v="1"/>
    <s v="D"/>
    <x v="0"/>
    <m/>
    <m/>
    <m/>
    <m/>
    <x v="10"/>
    <m/>
    <m/>
    <m/>
    <m/>
    <x v="10"/>
    <m/>
    <m/>
  </r>
  <r>
    <n v="1217"/>
    <x v="203"/>
    <x v="0"/>
    <s v="Lu Yiwen"/>
    <n v="36"/>
    <x v="7"/>
    <x v="5"/>
    <s v="Shenzhen"/>
    <s v="Jewelry"/>
    <x v="0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217"/>
    <x v="203"/>
    <x v="7"/>
    <s v="Prayudh Mahagitsiri"/>
    <n v="77"/>
    <x v="7"/>
    <x v="23"/>
    <s v="Bangkok"/>
    <s v="Coffee, shipping"/>
    <x v="7"/>
    <s v="Thailand"/>
    <m/>
    <x v="0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217"/>
    <x v="203"/>
    <x v="14"/>
    <s v="Willy Michel"/>
    <n v="76"/>
    <x v="7"/>
    <x v="8"/>
    <s v="Burgdorf"/>
    <s v="Medical devices"/>
    <x v="14"/>
    <s v="Switzerland"/>
    <m/>
    <x v="1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217"/>
    <x v="203"/>
    <x v="1"/>
    <s v="Lachhman Das Mittal"/>
    <n v="92"/>
    <x v="7"/>
    <x v="3"/>
    <s v="Delhi"/>
    <s v="Tractors"/>
    <x v="1"/>
    <s v="India"/>
    <m/>
    <x v="0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217"/>
    <x v="203"/>
    <x v="2"/>
    <s v="Bobby Murphy"/>
    <n v="34"/>
    <x v="6"/>
    <x v="1"/>
    <s v="Venice"/>
    <s v="Snapchat"/>
    <x v="2"/>
    <s v="United States"/>
    <s v="Snap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11"/>
    <s v="Tomas Olivo Lopez"/>
    <n v="49"/>
    <x v="7"/>
    <x v="4"/>
    <s v="Marbella"/>
    <s v="Shopping centers"/>
    <x v="11"/>
    <s v="Spain"/>
    <m/>
    <x v="1"/>
    <s v="U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1217"/>
    <x v="203"/>
    <x v="10"/>
    <s v="Eren Ozmen"/>
    <n v="64"/>
    <x v="7"/>
    <x v="1"/>
    <s v="Reno"/>
    <s v="Aerospace"/>
    <x v="10"/>
    <s v="United States"/>
    <m/>
    <x v="1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3"/>
    <s v="John Pritzker"/>
    <n v="69"/>
    <x v="7"/>
    <x v="1"/>
    <s v="San Francisco"/>
    <s v="Hotels, investments"/>
    <x v="3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2"/>
    <s v="Qiu Minxiu"/>
    <n v="77"/>
    <x v="7"/>
    <x v="5"/>
    <s v="Shangyu"/>
    <s v="Semiconductors"/>
    <x v="2"/>
    <s v="China"/>
    <m/>
    <x v="1"/>
    <s v="E"/>
    <x v="1"/>
    <m/>
    <n v="125.08"/>
    <n v="2.9"/>
    <s v="$19,910,000,000,000 "/>
    <x v="5"/>
    <n v="100.2"/>
    <n v="77"/>
    <n v="9.4"/>
    <n v="59.2"/>
    <x v="5"/>
    <n v="35.861660000000001"/>
    <n v="104.195397"/>
  </r>
  <r>
    <n v="1217"/>
    <x v="203"/>
    <x v="6"/>
    <s v="Ferit Faik Sahenk"/>
    <n v="59"/>
    <x v="7"/>
    <x v="47"/>
    <s v="Istanbul"/>
    <s v="Diversified"/>
    <x v="6"/>
    <s v="Turkey"/>
    <m/>
    <x v="0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217"/>
    <x v="203"/>
    <x v="12"/>
    <s v="Wenrong Shen"/>
    <n v="77"/>
    <x v="7"/>
    <x v="5"/>
    <s v="Zhangjiagang"/>
    <s v="Steel production"/>
    <x v="1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17"/>
    <x v="203"/>
    <x v="6"/>
    <s v="Yuzhu Shi"/>
    <n v="60"/>
    <x v="7"/>
    <x v="5"/>
    <s v="Shanghai"/>
    <s v="Online games, investments"/>
    <x v="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17"/>
    <x v="203"/>
    <x v="11"/>
    <s v="Jeff Sutton"/>
    <n v="63"/>
    <x v="7"/>
    <x v="1"/>
    <s v="New York"/>
    <s v="Real estate"/>
    <x v="11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6"/>
    <s v="Henry Sy, Jr."/>
    <n v="69"/>
    <x v="7"/>
    <x v="34"/>
    <s v="Manila"/>
    <s v="Diversified"/>
    <x v="6"/>
    <s v="Philippines"/>
    <m/>
    <x v="0"/>
    <s v="D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1217"/>
    <x v="203"/>
    <x v="6"/>
    <s v="Andrew Tan"/>
    <n v="71"/>
    <x v="7"/>
    <x v="34"/>
    <s v="Manila"/>
    <s v="Diversified"/>
    <x v="6"/>
    <s v="Philippines"/>
    <m/>
    <x v="1"/>
    <s v="D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1217"/>
    <x v="203"/>
    <x v="13"/>
    <s v="Arvind Tiku"/>
    <n v="53"/>
    <x v="7"/>
    <x v="25"/>
    <s v="Singapore"/>
    <s v="Oil &amp; gas, investments"/>
    <x v="13"/>
    <s v="India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1217"/>
    <x v="203"/>
    <x v="3"/>
    <s v="Byron Trott"/>
    <n v="64"/>
    <x v="7"/>
    <x v="1"/>
    <s v="Winnetka"/>
    <s v="Investments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11"/>
    <s v="Donald Trump"/>
    <n v="76"/>
    <x v="7"/>
    <x v="1"/>
    <s v="Palm Beach"/>
    <s v="Real estate"/>
    <x v="11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1"/>
    <s v="Peter Unger"/>
    <n v="78"/>
    <x v="7"/>
    <x v="7"/>
    <s v="Neustadt an der Waldnaab"/>
    <s v="Auto repair"/>
    <x v="1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217"/>
    <x v="203"/>
    <x v="0"/>
    <s v="Roger Wang"/>
    <n v="74"/>
    <x v="7"/>
    <x v="5"/>
    <s v="Nanjing"/>
    <s v="Retail"/>
    <x v="0"/>
    <s v="United States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17"/>
    <x v="203"/>
    <x v="4"/>
    <s v="Oprah Winfrey"/>
    <n v="69"/>
    <x v="7"/>
    <x v="1"/>
    <s v="Montecito"/>
    <s v="TV shows"/>
    <x v="4"/>
    <s v="United States"/>
    <m/>
    <x v="1"/>
    <s v="D"/>
    <x v="1"/>
    <s v="Entrepreneur, Personality, Philanthropist"/>
    <n v="117.24"/>
    <n v="7.5"/>
    <s v="$21,427,700,000,000 "/>
    <x v="1"/>
    <n v="101.8"/>
    <n v="78.5"/>
    <n v="9.6"/>
    <n v="36.6"/>
    <x v="1"/>
    <n v="37.090240000000001"/>
    <n v="-95.712890999999999"/>
  </r>
  <r>
    <n v="1217"/>
    <x v="203"/>
    <x v="7"/>
    <s v="Wu Zhigang &amp; family"/>
    <n v="88"/>
    <x v="7"/>
    <x v="5"/>
    <s v="Shenyang"/>
    <s v="Bakery chain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17"/>
    <x v="203"/>
    <x v="12"/>
    <s v="Xie Weitong"/>
    <n v="66"/>
    <x v="7"/>
    <x v="25"/>
    <m/>
    <s v="Cobalt"/>
    <x v="12"/>
    <s v="Taiwan"/>
    <m/>
    <x v="1"/>
    <s v="D"/>
    <x v="0"/>
    <m/>
    <n v="114.41"/>
    <n v="0.6"/>
    <s v="$372,062,527,489 "/>
    <x v="23"/>
    <n v="100.6"/>
    <n v="83.1"/>
    <n v="13.1"/>
    <n v="21"/>
    <x v="24"/>
    <n v="1.3520829999999999"/>
    <n v="103.819836"/>
  </r>
  <r>
    <n v="1217"/>
    <x v="203"/>
    <x v="0"/>
    <s v="Ye Guofu"/>
    <n v="45"/>
    <x v="7"/>
    <x v="5"/>
    <s v="Guangzhou"/>
    <s v="Retail"/>
    <x v="0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72"/>
    <x v="204"/>
    <x v="2"/>
    <s v="Brian Acton"/>
    <n v="51"/>
    <x v="1"/>
    <x v="1"/>
    <s v="Palo Alto"/>
    <s v="WhatsApp"/>
    <x v="2"/>
    <s v="United States"/>
    <s v="WhatsApp Inc.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1"/>
    <s v="Abdulla Al Futtaim &amp; family"/>
    <n v="83"/>
    <x v="7"/>
    <x v="16"/>
    <s v="Dubai"/>
    <s v="Auto dealers, investments"/>
    <x v="1"/>
    <s v="United Arab Emirates"/>
    <m/>
    <x v="0"/>
    <s v="D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1272"/>
    <x v="204"/>
    <x v="13"/>
    <s v="Edward Bass"/>
    <n v="77"/>
    <x v="7"/>
    <x v="1"/>
    <s v="Fort Worth"/>
    <s v="Oil, investments"/>
    <x v="13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4"/>
    <s v="Koos Bekker"/>
    <n v="70"/>
    <x v="7"/>
    <x v="29"/>
    <s v="Cape Town"/>
    <s v="Media, investments"/>
    <x v="4"/>
    <s v="South Africa"/>
    <m/>
    <x v="1"/>
    <s v="U"/>
    <x v="0"/>
    <m/>
    <n v="158.93"/>
    <n v="4.0999999999999996"/>
    <s v="$351,431,649,241 "/>
    <x v="27"/>
    <n v="100.9"/>
    <n v="63.9"/>
    <n v="27.5"/>
    <n v="29.2"/>
    <x v="28"/>
    <n v="-30.559481999999999"/>
    <n v="22.937505999999999"/>
  </r>
  <r>
    <n v="1272"/>
    <x v="204"/>
    <x v="14"/>
    <s v="Otto Philipp Braun"/>
    <n v="45"/>
    <x v="7"/>
    <x v="7"/>
    <s v="Melsungen"/>
    <s v="Medical technology"/>
    <x v="14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272"/>
    <x v="204"/>
    <x v="0"/>
    <s v="Chen Tei-fu"/>
    <n v="74"/>
    <x v="7"/>
    <x v="1"/>
    <s v="Los Angeles"/>
    <s v="Herbal products"/>
    <x v="0"/>
    <s v="Taiwan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0"/>
    <s v="Abilio dos Santos Diniz"/>
    <n v="86"/>
    <x v="7"/>
    <x v="30"/>
    <s v="Sao Paulo"/>
    <s v="Retail"/>
    <x v="0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272"/>
    <x v="204"/>
    <x v="3"/>
    <s v="Marcel Erni"/>
    <n v="58"/>
    <x v="7"/>
    <x v="8"/>
    <s v="Zug"/>
    <s v="Private equity"/>
    <x v="3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272"/>
    <x v="204"/>
    <x v="0"/>
    <s v="Doris Fisher"/>
    <n v="91"/>
    <x v="2"/>
    <x v="1"/>
    <s v="San Francisco"/>
    <s v="Gap"/>
    <x v="0"/>
    <s v="United States"/>
    <s v="Gap Inc."/>
    <x v="1"/>
    <s v="D"/>
    <x v="1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3"/>
    <s v="Gerald Ford"/>
    <n v="78"/>
    <x v="0"/>
    <x v="1"/>
    <s v="Dallas"/>
    <s v="Banking"/>
    <x v="3"/>
    <s v="United States"/>
    <s v="Ford Financial Fund"/>
    <x v="1"/>
    <s v="D"/>
    <x v="0"/>
    <s v="Managing Member"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14"/>
    <s v="Bernard Fraisse &amp; family"/>
    <n v="66"/>
    <x v="7"/>
    <x v="0"/>
    <s v="Paris"/>
    <s v="Pharmaceuticals"/>
    <x v="14"/>
    <s v="France"/>
    <m/>
    <x v="1"/>
    <s v="E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1272"/>
    <x v="204"/>
    <x v="3"/>
    <s v="Alfred Gantner"/>
    <n v="55"/>
    <x v="7"/>
    <x v="8"/>
    <s v="Zug"/>
    <s v="Private equity"/>
    <x v="3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272"/>
    <x v="204"/>
    <x v="9"/>
    <s v="Paul Gauselmann &amp; family"/>
    <n v="88"/>
    <x v="7"/>
    <x v="7"/>
    <s v="Espelkamp"/>
    <s v="Gambling"/>
    <x v="9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272"/>
    <x v="204"/>
    <x v="11"/>
    <s v="Mitchell Goldhar"/>
    <n v="61"/>
    <x v="3"/>
    <x v="6"/>
    <s v="North York"/>
    <s v="Real estate"/>
    <x v="11"/>
    <s v="Canada"/>
    <s v="SmartCentres"/>
    <x v="1"/>
    <s v="D"/>
    <x v="0"/>
    <s v="Owner"/>
    <n v="116.76"/>
    <n v="1.9"/>
    <s v="$1,736,425,629,520 "/>
    <x v="6"/>
    <n v="100.9"/>
    <n v="81.900000000000006"/>
    <n v="12.8"/>
    <n v="24.5"/>
    <x v="6"/>
    <n v="56.130366000000002"/>
    <n v="-106.346771"/>
  </r>
  <r>
    <n v="1272"/>
    <x v="204"/>
    <x v="3"/>
    <s v="Peter Hargreaves"/>
    <n v="76"/>
    <x v="7"/>
    <x v="13"/>
    <s v="Bristol"/>
    <s v="Financial services"/>
    <x v="3"/>
    <s v="United Kingdom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272"/>
    <x v="204"/>
    <x v="14"/>
    <s v="Xuande Hua &amp; family"/>
    <n v="79"/>
    <x v="7"/>
    <x v="5"/>
    <s v="Taizhou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72"/>
    <x v="204"/>
    <x v="6"/>
    <s v="Kwek Leng Kee"/>
    <n v="68"/>
    <x v="7"/>
    <x v="25"/>
    <s v="Singapore"/>
    <s v="Diversified"/>
    <x v="6"/>
    <s v="Singapore"/>
    <m/>
    <x v="0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1272"/>
    <x v="204"/>
    <x v="10"/>
    <s v="Catherine Lozick"/>
    <n v="77"/>
    <x v="7"/>
    <x v="1"/>
    <s v="Fort Lauderdale"/>
    <s v="Valve manufacturing"/>
    <x v="10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4"/>
    <s v="Kalanithi Maran"/>
    <n v="57"/>
    <x v="7"/>
    <x v="3"/>
    <s v="Chennai"/>
    <s v="Media"/>
    <x v="4"/>
    <s v="India"/>
    <m/>
    <x v="1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272"/>
    <x v="204"/>
    <x v="3"/>
    <s v="Jed McCaleb"/>
    <n v="48"/>
    <x v="7"/>
    <x v="1"/>
    <s v="Berkeley"/>
    <s v="Cryptocurrenc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10"/>
    <s v="Fatih Ozmen"/>
    <n v="65"/>
    <x v="7"/>
    <x v="1"/>
    <s v="Reno"/>
    <s v="Aerospace"/>
    <x v="10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7"/>
    <s v="Pan Laican"/>
    <m/>
    <x v="7"/>
    <x v="5"/>
    <s v="foshan"/>
    <s v="Soy sauce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72"/>
    <x v="204"/>
    <x v="12"/>
    <s v="Tor Peterson"/>
    <n v="58"/>
    <x v="7"/>
    <x v="8"/>
    <s v="Zug"/>
    <s v="Commodities"/>
    <x v="12"/>
    <s v="United States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272"/>
    <x v="204"/>
    <x v="3"/>
    <s v="Daniel Pritzker"/>
    <n v="63"/>
    <x v="7"/>
    <x v="1"/>
    <s v="Marin County"/>
    <s v="Hotels, investments"/>
    <x v="3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11"/>
    <s v="Jinxing Qi"/>
    <n v="61"/>
    <x v="7"/>
    <x v="5"/>
    <s v="Hangzhou"/>
    <s v="Real estate"/>
    <x v="11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72"/>
    <x v="204"/>
    <x v="10"/>
    <s v="Qiu Jianping &amp; family"/>
    <n v="61"/>
    <x v="7"/>
    <x v="5"/>
    <s v="Hangzhou"/>
    <s v="Hand tool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72"/>
    <x v="204"/>
    <x v="6"/>
    <s v="Rajan Raheja &amp; family"/>
    <n v="68"/>
    <x v="7"/>
    <x v="3"/>
    <s v="Mumbai"/>
    <s v="Diversified"/>
    <x v="6"/>
    <s v="India"/>
    <m/>
    <x v="0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272"/>
    <x v="204"/>
    <x v="3"/>
    <s v="Matthias Reinhart"/>
    <n v="63"/>
    <x v="7"/>
    <x v="8"/>
    <s v="Zurich"/>
    <s v="Financial services"/>
    <x v="3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272"/>
    <x v="204"/>
    <x v="2"/>
    <s v="Arnout Schuijff"/>
    <n v="55"/>
    <x v="7"/>
    <x v="41"/>
    <s v="Amsterdam"/>
    <s v="Payments software"/>
    <x v="2"/>
    <s v="Netherlands"/>
    <m/>
    <x v="1"/>
    <s v="D"/>
    <x v="0"/>
    <m/>
    <n v="115.91"/>
    <n v="2.6"/>
    <s v="$909,070,395,161 "/>
    <x v="36"/>
    <n v="104.2"/>
    <n v="81.8"/>
    <n v="23"/>
    <n v="41.2"/>
    <x v="38"/>
    <n v="52.132632999999998"/>
    <n v="5.2912660000000002"/>
  </r>
  <r>
    <n v="1272"/>
    <x v="204"/>
    <x v="6"/>
    <s v="Hans Sy"/>
    <n v="67"/>
    <x v="7"/>
    <x v="34"/>
    <s v="Manila"/>
    <s v="Diversified"/>
    <x v="6"/>
    <s v="Philippines"/>
    <m/>
    <x v="0"/>
    <s v="D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1272"/>
    <x v="204"/>
    <x v="6"/>
    <s v="Herbert Sy"/>
    <n v="66"/>
    <x v="7"/>
    <x v="34"/>
    <s v="Manila"/>
    <s v="Diversified"/>
    <x v="6"/>
    <s v="Philippines"/>
    <m/>
    <x v="0"/>
    <s v="D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1272"/>
    <x v="204"/>
    <x v="6"/>
    <s v="Lucio Tan"/>
    <n v="88"/>
    <x v="7"/>
    <x v="34"/>
    <s v="Manila"/>
    <s v="Diversified"/>
    <x v="6"/>
    <s v="Philippines"/>
    <m/>
    <x v="1"/>
    <s v="U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1272"/>
    <x v="204"/>
    <x v="2"/>
    <s v="Tsai Ming-kai"/>
    <n v="72"/>
    <x v="7"/>
    <x v="35"/>
    <s v="Hsinchu"/>
    <s v="Semiconductors"/>
    <x v="2"/>
    <s v="Taiwan"/>
    <m/>
    <x v="1"/>
    <s v="D"/>
    <x v="0"/>
    <m/>
    <m/>
    <m/>
    <m/>
    <x v="10"/>
    <m/>
    <m/>
    <m/>
    <m/>
    <x v="10"/>
    <m/>
    <m/>
  </r>
  <r>
    <n v="1272"/>
    <x v="204"/>
    <x v="4"/>
    <s v="Ted Turner"/>
    <n v="84"/>
    <x v="7"/>
    <x v="1"/>
    <s v="Atlanta"/>
    <s v="Cable television"/>
    <x v="4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11"/>
    <s v="David Walentas"/>
    <n v="84"/>
    <x v="7"/>
    <x v="1"/>
    <s v="New York"/>
    <s v="Real estate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3"/>
    <s v="Urs Wietlisbach"/>
    <n v="61"/>
    <x v="7"/>
    <x v="8"/>
    <s v="Zug"/>
    <s v="Private equity"/>
    <x v="3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272"/>
    <x v="204"/>
    <x v="2"/>
    <s v="Jerry Yang"/>
    <n v="54"/>
    <x v="1"/>
    <x v="1"/>
    <s v="Los Altos Hills"/>
    <s v="Yahoo"/>
    <x v="2"/>
    <s v="United States"/>
    <s v="Yahoo!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272"/>
    <x v="204"/>
    <x v="10"/>
    <s v="Yang Jianliang &amp; family"/>
    <n v="53"/>
    <x v="7"/>
    <x v="5"/>
    <s v="Wuxi"/>
    <s v="Machinery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72"/>
    <x v="204"/>
    <x v="10"/>
    <s v="Yang Weidong &amp; family"/>
    <n v="54"/>
    <x v="7"/>
    <x v="5"/>
    <s v="Jiaxing"/>
    <s v="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272"/>
    <x v="204"/>
    <x v="11"/>
    <s v="Mortimer Zuckerman"/>
    <n v="85"/>
    <x v="4"/>
    <x v="1"/>
    <s v="New York"/>
    <s v="Real estate, media"/>
    <x v="11"/>
    <s v="United States"/>
    <s v="Boston Properties"/>
    <x v="1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3"/>
    <s v="John Armitage"/>
    <n v="63"/>
    <x v="7"/>
    <x v="13"/>
    <s v="London"/>
    <s v="Hedge funds"/>
    <x v="3"/>
    <s v="Ireland"/>
    <s v="Egerton Capital"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312"/>
    <x v="205"/>
    <x v="13"/>
    <s v="Lee Bass"/>
    <n v="66"/>
    <x v="7"/>
    <x v="1"/>
    <s v="Fort Worth"/>
    <s v="Oil, investments"/>
    <x v="1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2"/>
    <s v="John Bicket"/>
    <n v="43"/>
    <x v="7"/>
    <x v="1"/>
    <s v="San Francisco"/>
    <s v="Sensor systems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2"/>
    <s v="Sanjit Biswas"/>
    <n v="41"/>
    <x v="7"/>
    <x v="1"/>
    <s v="San Francisco"/>
    <s v="Sensor systems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0"/>
    <s v="Timothy Boyle"/>
    <n v="73"/>
    <x v="7"/>
    <x v="1"/>
    <s v="Portland"/>
    <s v="Columbia Sportswear"/>
    <x v="0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2"/>
    <s v="Morris Chang"/>
    <n v="91"/>
    <x v="7"/>
    <x v="35"/>
    <s v="Hsinchu"/>
    <s v="Semiconductors"/>
    <x v="2"/>
    <s v="Taiwan"/>
    <m/>
    <x v="1"/>
    <s v="D"/>
    <x v="0"/>
    <m/>
    <m/>
    <m/>
    <m/>
    <x v="10"/>
    <m/>
    <m/>
    <m/>
    <m/>
    <x v="10"/>
    <m/>
    <m/>
  </r>
  <r>
    <n v="1312"/>
    <x v="205"/>
    <x v="11"/>
    <s v="Chao Teng-hsiung"/>
    <n v="78"/>
    <x v="7"/>
    <x v="35"/>
    <s v="Taipei"/>
    <s v="Real estate"/>
    <x v="11"/>
    <s v="Taiwan"/>
    <m/>
    <x v="1"/>
    <s v="D"/>
    <x v="0"/>
    <m/>
    <m/>
    <m/>
    <m/>
    <x v="10"/>
    <m/>
    <m/>
    <m/>
    <m/>
    <x v="10"/>
    <m/>
    <m/>
  </r>
  <r>
    <n v="1312"/>
    <x v="205"/>
    <x v="3"/>
    <s v="Samuel Chen"/>
    <n v="73"/>
    <x v="7"/>
    <x v="22"/>
    <m/>
    <s v="Investments"/>
    <x v="3"/>
    <s v="Taiwan"/>
    <m/>
    <x v="1"/>
    <s v="N"/>
    <x v="0"/>
    <m/>
    <m/>
    <m/>
    <m/>
    <x v="10"/>
    <m/>
    <m/>
    <m/>
    <m/>
    <x v="10"/>
    <m/>
    <m/>
  </r>
  <r>
    <n v="1312"/>
    <x v="205"/>
    <x v="10"/>
    <s v="Chu Lam Yiu"/>
    <n v="53"/>
    <x v="7"/>
    <x v="10"/>
    <s v="Hong Kong"/>
    <s v="Flavorings"/>
    <x v="10"/>
    <s v="Hong Kong"/>
    <m/>
    <x v="1"/>
    <s v="E"/>
    <x v="1"/>
    <m/>
    <m/>
    <m/>
    <m/>
    <x v="10"/>
    <m/>
    <m/>
    <m/>
    <m/>
    <x v="10"/>
    <m/>
    <m/>
  </r>
  <r>
    <n v="1312"/>
    <x v="205"/>
    <x v="2"/>
    <s v="K. Dinesh"/>
    <n v="68"/>
    <x v="7"/>
    <x v="3"/>
    <s v="Bangalore"/>
    <s v="Software services"/>
    <x v="2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312"/>
    <x v="205"/>
    <x v="6"/>
    <s v="James Duff"/>
    <n v="62"/>
    <x v="7"/>
    <x v="1"/>
    <s v="Hattiesburg"/>
    <s v="Tires, diversified"/>
    <x v="6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6"/>
    <s v="Thomas Duff"/>
    <n v="66"/>
    <x v="7"/>
    <x v="1"/>
    <s v="Hattiesburg"/>
    <s v="Tires, diversified"/>
    <x v="6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2"/>
    <s v="Daniel Ek"/>
    <n v="40"/>
    <x v="5"/>
    <x v="21"/>
    <s v="Stockholm"/>
    <s v="Spotify"/>
    <x v="2"/>
    <s v="Sweden"/>
    <s v="Spotify"/>
    <x v="1"/>
    <s v="D"/>
    <x v="0"/>
    <s v="CEO"/>
    <n v="110.51"/>
    <n v="1.8"/>
    <s v="$530,832,908,738 "/>
    <x v="20"/>
    <n v="126.6"/>
    <n v="82.5"/>
    <n v="27.9"/>
    <n v="49.1"/>
    <x v="21"/>
    <n v="60.128160999999999"/>
    <n v="18.643501000000001"/>
  </r>
  <r>
    <n v="1312"/>
    <x v="205"/>
    <x v="0"/>
    <s v="John Fisher"/>
    <n v="61"/>
    <x v="3"/>
    <x v="1"/>
    <s v="San Francisco"/>
    <s v="Gap"/>
    <x v="0"/>
    <s v="United States"/>
    <s v="Pisces, Inc."/>
    <x v="0"/>
    <s v="D"/>
    <x v="0"/>
    <s v="President"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0"/>
    <s v="Georg Haub"/>
    <n v="61"/>
    <x v="7"/>
    <x v="7"/>
    <s v="Berlin"/>
    <s v="Retail"/>
    <x v="0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312"/>
    <x v="205"/>
    <x v="16"/>
    <s v="Erman Ilicak"/>
    <n v="55"/>
    <x v="7"/>
    <x v="47"/>
    <s v="Ankara"/>
    <s v="Construction"/>
    <x v="16"/>
    <s v="Turkey"/>
    <m/>
    <x v="1"/>
    <s v="E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312"/>
    <x v="205"/>
    <x v="3"/>
    <s v="Justin Ishbia"/>
    <n v="45"/>
    <x v="7"/>
    <x v="1"/>
    <s v="Chicago"/>
    <s v="Private equity"/>
    <x v="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2"/>
    <s v="Long Jiang"/>
    <n v="49"/>
    <x v="7"/>
    <x v="5"/>
    <s v="Weifang"/>
    <s v="Manufacturing"/>
    <x v="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12"/>
    <x v="205"/>
    <x v="3"/>
    <s v="Bruce Karsh"/>
    <n v="67"/>
    <x v="3"/>
    <x v="1"/>
    <s v="Los Angeles"/>
    <s v="Private equity"/>
    <x v="3"/>
    <s v="United States"/>
    <s v="Oaktree Capital Group LLC"/>
    <x v="1"/>
    <s v="U"/>
    <x v="0"/>
    <s v="President"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2"/>
    <s v="Bom Kim"/>
    <n v="44"/>
    <x v="7"/>
    <x v="32"/>
    <s v="Seoul"/>
    <s v="Online retailing"/>
    <x v="2"/>
    <s v="United States"/>
    <s v="Coupang"/>
    <x v="1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1312"/>
    <x v="205"/>
    <x v="7"/>
    <s v="Jianping Lai"/>
    <m/>
    <x v="7"/>
    <x v="5"/>
    <s v="Foshan"/>
    <s v="Soy sauce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12"/>
    <x v="205"/>
    <x v="14"/>
    <s v="Lam Kong"/>
    <n v="58"/>
    <x v="7"/>
    <x v="10"/>
    <s v="Hong Kong"/>
    <s v="Pharmaceuticals"/>
    <x v="14"/>
    <s v="China"/>
    <m/>
    <x v="1"/>
    <s v="D"/>
    <x v="0"/>
    <m/>
    <m/>
    <m/>
    <m/>
    <x v="10"/>
    <m/>
    <m/>
    <m/>
    <m/>
    <x v="10"/>
    <m/>
    <m/>
  </r>
  <r>
    <n v="1312"/>
    <x v="205"/>
    <x v="3"/>
    <s v="Stephen Lansdown"/>
    <n v="70"/>
    <x v="7"/>
    <x v="64"/>
    <s v="St. Peter Port"/>
    <s v="Financial services"/>
    <x v="3"/>
    <s v="Guernsey"/>
    <m/>
    <x v="1"/>
    <s v="D"/>
    <x v="0"/>
    <m/>
    <m/>
    <m/>
    <m/>
    <x v="10"/>
    <m/>
    <m/>
    <m/>
    <m/>
    <x v="10"/>
    <m/>
    <m/>
  </r>
  <r>
    <n v="1312"/>
    <x v="205"/>
    <x v="0"/>
    <s v="Kevin David Lehmann"/>
    <n v="20"/>
    <x v="7"/>
    <x v="22"/>
    <m/>
    <s v="Drugstores"/>
    <x v="0"/>
    <s v="Germany"/>
    <m/>
    <x v="0"/>
    <s v="D"/>
    <x v="0"/>
    <m/>
    <m/>
    <m/>
    <m/>
    <x v="10"/>
    <m/>
    <m/>
    <m/>
    <m/>
    <x v="10"/>
    <m/>
    <m/>
  </r>
  <r>
    <n v="1312"/>
    <x v="205"/>
    <x v="7"/>
    <s v="Li Haiyan"/>
    <m/>
    <x v="7"/>
    <x v="5"/>
    <s v="Chengdu"/>
    <s v="Restaurants"/>
    <x v="7"/>
    <s v="China"/>
    <m/>
    <x v="1"/>
    <s v="U"/>
    <x v="1"/>
    <m/>
    <n v="125.08"/>
    <n v="2.9"/>
    <s v="$19,910,000,000,000 "/>
    <x v="5"/>
    <n v="100.2"/>
    <n v="77"/>
    <n v="9.4"/>
    <n v="59.2"/>
    <x v="5"/>
    <n v="35.861660000000001"/>
    <n v="104.195397"/>
  </r>
  <r>
    <n v="1312"/>
    <x v="205"/>
    <x v="3"/>
    <s v="Hua Li"/>
    <n v="45"/>
    <x v="7"/>
    <x v="5"/>
    <s v="Shenzhen"/>
    <s v="Financial services"/>
    <x v="3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12"/>
    <x v="205"/>
    <x v="9"/>
    <s v="Lim Kok Thay"/>
    <n v="71"/>
    <x v="7"/>
    <x v="31"/>
    <s v="Kuala Lumpur"/>
    <s v="Casinos"/>
    <x v="9"/>
    <s v="Malaysia"/>
    <m/>
    <x v="0"/>
    <s v="U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1312"/>
    <x v="205"/>
    <x v="7"/>
    <s v="Kishore Mariwala"/>
    <n v="88"/>
    <x v="7"/>
    <x v="3"/>
    <s v="Mumbai"/>
    <s v="Consumer goods"/>
    <x v="7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312"/>
    <x v="205"/>
    <x v="7"/>
    <s v="Clayton Mathile"/>
    <n v="82"/>
    <x v="7"/>
    <x v="1"/>
    <s v="Brookville"/>
    <s v="Pet food"/>
    <x v="7"/>
    <s v="United States"/>
    <m/>
    <x v="1"/>
    <s v="E"/>
    <x v="0"/>
    <s v="Investor, Philanthropist"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0"/>
    <s v="Mi Enhua"/>
    <n v="65"/>
    <x v="7"/>
    <x v="5"/>
    <s v="Urumqi"/>
    <s v="Retail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12"/>
    <x v="205"/>
    <x v="7"/>
    <s v="Vadim Moshkovich"/>
    <n v="55"/>
    <x v="7"/>
    <x v="17"/>
    <s v="Moscow"/>
    <s v="Agriculture, land"/>
    <x v="7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312"/>
    <x v="205"/>
    <x v="7"/>
    <s v="David Murdock"/>
    <n v="99"/>
    <x v="7"/>
    <x v="1"/>
    <s v="Ventura"/>
    <s v="Dole, real estate"/>
    <x v="7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0"/>
    <s v="David Nahmad"/>
    <n v="75"/>
    <x v="7"/>
    <x v="1"/>
    <s v="New York"/>
    <s v="Art collection"/>
    <x v="0"/>
    <s v="Monaco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3"/>
    <s v="Lirio Parisotto"/>
    <n v="69"/>
    <x v="7"/>
    <x v="30"/>
    <s v="Manaus"/>
    <s v="Investments"/>
    <x v="3"/>
    <s v="Brazil"/>
    <m/>
    <x v="1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312"/>
    <x v="205"/>
    <x v="7"/>
    <s v="Augusto Perfetti"/>
    <m/>
    <x v="7"/>
    <x v="8"/>
    <s v="Lugano"/>
    <s v="Candy"/>
    <x v="7"/>
    <s v="Italy"/>
    <m/>
    <x v="0"/>
    <s v="Split Family Fortun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312"/>
    <x v="205"/>
    <x v="7"/>
    <s v="Giorgio Perfetti"/>
    <m/>
    <x v="7"/>
    <x v="8"/>
    <s v="Lugano"/>
    <s v="Candy"/>
    <x v="7"/>
    <s v="Italy"/>
    <m/>
    <x v="0"/>
    <s v="Split Family Fortun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312"/>
    <x v="205"/>
    <x v="0"/>
    <s v="Alberto Prada"/>
    <n v="69"/>
    <x v="7"/>
    <x v="28"/>
    <s v="Milan"/>
    <s v="Luxury goods"/>
    <x v="0"/>
    <s v="Italy"/>
    <m/>
    <x v="0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312"/>
    <x v="205"/>
    <x v="0"/>
    <s v="Marina Prada"/>
    <n v="77"/>
    <x v="7"/>
    <x v="28"/>
    <s v="Milan"/>
    <s v="Luxury goods"/>
    <x v="0"/>
    <s v="Italy"/>
    <m/>
    <x v="0"/>
    <s v="U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1312"/>
    <x v="205"/>
    <x v="6"/>
    <s v="Filiz Sahenk"/>
    <n v="56"/>
    <x v="7"/>
    <x v="47"/>
    <s v="Istanbul"/>
    <s v="Diversified"/>
    <x v="6"/>
    <s v="Turkey"/>
    <m/>
    <x v="0"/>
    <s v="U"/>
    <x v="1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312"/>
    <x v="205"/>
    <x v="7"/>
    <s v="Richard Sands"/>
    <n v="72"/>
    <x v="7"/>
    <x v="1"/>
    <s v="Delray Beach"/>
    <s v="Liquor"/>
    <x v="7"/>
    <s v="United States"/>
    <m/>
    <x v="0"/>
    <s v="Split Family Fortun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3"/>
    <s v="Stephan Schmidheiny"/>
    <n v="75"/>
    <x v="7"/>
    <x v="8"/>
    <s v="Hurden"/>
    <s v="Investments"/>
    <x v="3"/>
    <s v="Switzerland"/>
    <m/>
    <x v="0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312"/>
    <x v="205"/>
    <x v="14"/>
    <s v="Alberto Siccardi &amp; family"/>
    <n v="78"/>
    <x v="7"/>
    <x v="8"/>
    <s v="Lugano"/>
    <s v="Medical devices"/>
    <x v="14"/>
    <s v="Switzerland"/>
    <m/>
    <x v="0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312"/>
    <x v="205"/>
    <x v="11"/>
    <s v="Stefan Soloviev"/>
    <n v="47"/>
    <x v="7"/>
    <x v="1"/>
    <s v="Delray Beach"/>
    <s v="Real estate, grains"/>
    <x v="11"/>
    <s v="United States"/>
    <m/>
    <x v="0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0"/>
    <s v="Tang Yiu"/>
    <n v="89"/>
    <x v="7"/>
    <x v="10"/>
    <s v="Hong Kong"/>
    <s v="Fashion retail"/>
    <x v="0"/>
    <s v="Hong Kong"/>
    <m/>
    <x v="1"/>
    <s v="D"/>
    <x v="0"/>
    <m/>
    <m/>
    <m/>
    <m/>
    <x v="10"/>
    <m/>
    <m/>
    <m/>
    <m/>
    <x v="10"/>
    <m/>
    <m/>
  </r>
  <r>
    <n v="1312"/>
    <x v="205"/>
    <x v="2"/>
    <s v="Tian Ming"/>
    <n v="69"/>
    <x v="7"/>
    <x v="5"/>
    <s v="Hefei"/>
    <s v="Measuring instruments"/>
    <x v="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12"/>
    <x v="205"/>
    <x v="3"/>
    <s v="T.Y. Tsai"/>
    <n v="70"/>
    <x v="7"/>
    <x v="35"/>
    <s v="Taipei"/>
    <s v="Finance"/>
    <x v="3"/>
    <s v="Taiwan"/>
    <m/>
    <x v="0"/>
    <s v="D"/>
    <x v="0"/>
    <m/>
    <m/>
    <m/>
    <m/>
    <x v="10"/>
    <m/>
    <m/>
    <m/>
    <m/>
    <x v="10"/>
    <m/>
    <m/>
  </r>
  <r>
    <n v="1312"/>
    <x v="205"/>
    <x v="2"/>
    <s v="Jayshree Ullal"/>
    <n v="62"/>
    <x v="3"/>
    <x v="1"/>
    <s v="Saratoga"/>
    <s v="Computer networking"/>
    <x v="2"/>
    <s v="United States"/>
    <s v="Arista"/>
    <x v="1"/>
    <s v="U"/>
    <x v="1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312"/>
    <x v="205"/>
    <x v="3"/>
    <s v="Georg von Opel"/>
    <n v="56"/>
    <x v="7"/>
    <x v="13"/>
    <s v="London"/>
    <s v="Real estate, investments"/>
    <x v="3"/>
    <s v="Switzerland"/>
    <m/>
    <x v="0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312"/>
    <x v="205"/>
    <x v="11"/>
    <s v="Lang Walker"/>
    <n v="77"/>
    <x v="7"/>
    <x v="14"/>
    <s v="Sydney"/>
    <s v="Real estate"/>
    <x v="11"/>
    <s v="Australia"/>
    <m/>
    <x v="1"/>
    <s v="U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312"/>
    <x v="205"/>
    <x v="10"/>
    <s v="Xicheng Wang &amp; family"/>
    <n v="74"/>
    <x v="7"/>
    <x v="5"/>
    <s v="Zhaoyuan"/>
    <s v="Tire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12"/>
    <x v="205"/>
    <x v="11"/>
    <s v="Wang Zhenhua"/>
    <n v="61"/>
    <x v="7"/>
    <x v="5"/>
    <s v="Shanghai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12"/>
    <x v="205"/>
    <x v="7"/>
    <s v="Paul-Heinz Wesjohann &amp; family"/>
    <n v="79"/>
    <x v="7"/>
    <x v="7"/>
    <s v="Rechterfeld"/>
    <s v="Chicken processing"/>
    <x v="7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312"/>
    <x v="205"/>
    <x v="0"/>
    <s v="Xie Bingkun &amp; family"/>
    <n v="56"/>
    <x v="7"/>
    <x v="5"/>
    <s v="Fuzhou"/>
    <s v="Pearlescent pigments"/>
    <x v="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12"/>
    <x v="205"/>
    <x v="10"/>
    <s v="Xu Shugen"/>
    <n v="57"/>
    <x v="7"/>
    <x v="5"/>
    <s v="Hangzhou"/>
    <s v="Construction, mining machinery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12"/>
    <x v="205"/>
    <x v="14"/>
    <s v="Christoph Zeller"/>
    <n v="65"/>
    <x v="7"/>
    <x v="65"/>
    <s v="Vaduz"/>
    <s v="Dental materials"/>
    <x v="14"/>
    <s v="Liechtenstein"/>
    <m/>
    <x v="0"/>
    <s v="E"/>
    <x v="0"/>
    <m/>
    <m/>
    <m/>
    <s v="$6,552,858,739 "/>
    <x v="52"/>
    <n v="104.7"/>
    <n v="83"/>
    <m/>
    <n v="21.6"/>
    <x v="56"/>
    <n v="47.141039200000002"/>
    <n v="9.5209349999999997"/>
  </r>
  <r>
    <n v="1312"/>
    <x v="205"/>
    <x v="10"/>
    <s v="Zhang Jingzhang &amp; family"/>
    <n v="87"/>
    <x v="7"/>
    <x v="5"/>
    <s v="Ningbo"/>
    <s v="Precision machinery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11"/>
    <s v="George Argyros &amp; family"/>
    <n v="86"/>
    <x v="4"/>
    <x v="1"/>
    <s v="Newport Beach"/>
    <s v="Real estate, investments"/>
    <x v="11"/>
    <s v="United States"/>
    <s v="Arnel &amp; Affiliates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3"/>
    <s v="Brian Armstrong"/>
    <n v="40"/>
    <x v="7"/>
    <x v="1"/>
    <s v="San Francisco"/>
    <s v="Cryptocurrenc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13"/>
    <s v="Albert Avdolyan"/>
    <n v="52"/>
    <x v="7"/>
    <x v="17"/>
    <s v="Moscow"/>
    <s v="Oil, mining"/>
    <x v="13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368"/>
    <x v="206"/>
    <x v="6"/>
    <s v="Sezai Bacaksiz"/>
    <n v="73"/>
    <x v="7"/>
    <x v="47"/>
    <s v="Ankara"/>
    <s v="Diversified"/>
    <x v="6"/>
    <s v="Turkey"/>
    <m/>
    <x v="1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368"/>
    <x v="206"/>
    <x v="2"/>
    <s v="Aneel Bhusri"/>
    <n v="57"/>
    <x v="1"/>
    <x v="1"/>
    <s v="San Francisco"/>
    <s v="Business software"/>
    <x v="2"/>
    <s v="United States"/>
    <s v="Workday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0"/>
    <s v="Brett Blundy"/>
    <n v="63"/>
    <x v="7"/>
    <x v="43"/>
    <s v="Paradise Island"/>
    <s v="Retail, agribusiness"/>
    <x v="0"/>
    <s v="Australia"/>
    <m/>
    <x v="1"/>
    <s v="E"/>
    <x v="0"/>
    <m/>
    <m/>
    <m/>
    <m/>
    <x v="10"/>
    <m/>
    <m/>
    <m/>
    <m/>
    <x v="10"/>
    <m/>
    <m/>
  </r>
  <r>
    <n v="1368"/>
    <x v="206"/>
    <x v="3"/>
    <s v="J. Hyatt Brown"/>
    <n v="85"/>
    <x v="7"/>
    <x v="1"/>
    <s v="Ormond Beach"/>
    <s v="Insurance"/>
    <x v="3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3"/>
    <s v="Chen Jinxia"/>
    <n v="55"/>
    <x v="7"/>
    <x v="5"/>
    <s v="Shanghai"/>
    <s v="Investments"/>
    <x v="3"/>
    <s v="China"/>
    <m/>
    <x v="0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14"/>
    <s v="Chen Xueli"/>
    <n v="71"/>
    <x v="7"/>
    <x v="5"/>
    <s v="Weihai"/>
    <s v="Pharmaceutical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3"/>
    <s v="Dermot Desmond"/>
    <n v="72"/>
    <x v="7"/>
    <x v="62"/>
    <s v="Dublin"/>
    <s v="Finance"/>
    <x v="3"/>
    <s v="Ireland"/>
    <m/>
    <x v="1"/>
    <s v="U"/>
    <x v="0"/>
    <m/>
    <m/>
    <m/>
    <m/>
    <x v="10"/>
    <m/>
    <m/>
    <m/>
    <m/>
    <x v="10"/>
    <m/>
    <m/>
  </r>
  <r>
    <n v="1368"/>
    <x v="206"/>
    <x v="14"/>
    <s v="Dong Wei"/>
    <n v="52"/>
    <x v="7"/>
    <x v="5"/>
    <s v="Lianyungang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0"/>
    <s v="Tom Ford"/>
    <n v="61"/>
    <x v="7"/>
    <x v="1"/>
    <s v="Los Angeles"/>
    <s v="Fashion"/>
    <x v="0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7"/>
    <s v="Fu Guangming &amp; family"/>
    <n v="69"/>
    <x v="7"/>
    <x v="5"/>
    <s v="Nanping"/>
    <s v="Poultry"/>
    <x v="7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3"/>
    <s v="Noam Gottesman"/>
    <n v="61"/>
    <x v="3"/>
    <x v="1"/>
    <s v="New York"/>
    <s v="Hedge funds"/>
    <x v="3"/>
    <s v="United States"/>
    <s v="TOMS Capital"/>
    <x v="1"/>
    <s v="D"/>
    <x v="0"/>
    <s v="Chief Executive Officer"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3"/>
    <s v="Jeffrey Gundlach"/>
    <n v="64"/>
    <x v="3"/>
    <x v="1"/>
    <s v="Los Angeles"/>
    <s v="Investments"/>
    <x v="3"/>
    <s v="United States"/>
    <s v="DoubleLine Capital"/>
    <x v="1"/>
    <s v="E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14"/>
    <s v="Hao Hong"/>
    <n v="67"/>
    <x v="7"/>
    <x v="5"/>
    <s v="Tianjin"/>
    <s v="Pharmaceuticals"/>
    <x v="14"/>
    <s v="United States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1"/>
    <s v="Shmuel Harlap"/>
    <n v="78"/>
    <x v="7"/>
    <x v="27"/>
    <s v="Tel Aviv"/>
    <s v="Automotive"/>
    <x v="1"/>
    <s v="Israel"/>
    <m/>
    <x v="0"/>
    <s v="U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1368"/>
    <x v="206"/>
    <x v="2"/>
    <s v="Hans-Werner Hector"/>
    <n v="83"/>
    <x v="7"/>
    <x v="7"/>
    <s v="Weinheim"/>
    <s v="SAP"/>
    <x v="2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368"/>
    <x v="206"/>
    <x v="14"/>
    <s v="Lutz Mario Helmig &amp; family"/>
    <n v="76"/>
    <x v="7"/>
    <x v="7"/>
    <s v="Grebenhain"/>
    <s v="Hospitals"/>
    <x v="14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368"/>
    <x v="206"/>
    <x v="11"/>
    <s v="Chulong Huang"/>
    <n v="64"/>
    <x v="7"/>
    <x v="5"/>
    <s v="Shenzhen"/>
    <s v="Real estate"/>
    <x v="11"/>
    <s v="Canad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3"/>
    <s v="Thomas James"/>
    <n v="80"/>
    <x v="7"/>
    <x v="1"/>
    <s v="Saint Petersburg"/>
    <s v="Finance"/>
    <x v="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0"/>
    <s v="James Jannard"/>
    <n v="73"/>
    <x v="7"/>
    <x v="1"/>
    <s v="San Juan Islands"/>
    <s v="Sunglasses"/>
    <x v="0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1"/>
    <s v="Willis Johnson"/>
    <n v="75"/>
    <x v="7"/>
    <x v="1"/>
    <s v="Franklin"/>
    <s v="Damaged cars"/>
    <x v="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0"/>
    <s v="Lai Shixian"/>
    <n v="48"/>
    <x v="7"/>
    <x v="5"/>
    <s v="Quanzhou"/>
    <s v="Sports apparel"/>
    <x v="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3"/>
    <s v="Chris Larsen"/>
    <n v="62"/>
    <x v="7"/>
    <x v="1"/>
    <s v="San Francisco"/>
    <s v="Cryptocurrenc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0"/>
    <s v="Solomon Lew"/>
    <n v="78"/>
    <x v="7"/>
    <x v="14"/>
    <s v="Melbourne"/>
    <s v="Retail"/>
    <x v="0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368"/>
    <x v="206"/>
    <x v="6"/>
    <s v="Liang Xinjun"/>
    <n v="54"/>
    <x v="7"/>
    <x v="25"/>
    <s v="Singapore"/>
    <s v="Conglomerate"/>
    <x v="6"/>
    <s v="Singapore"/>
    <m/>
    <x v="1"/>
    <s v="E"/>
    <x v="0"/>
    <m/>
    <n v="114.41"/>
    <n v="0.6"/>
    <s v="$372,062,527,489 "/>
    <x v="23"/>
    <n v="100.6"/>
    <n v="83.1"/>
    <n v="13.1"/>
    <n v="21"/>
    <x v="24"/>
    <n v="1.3520829999999999"/>
    <n v="103.819836"/>
  </r>
  <r>
    <n v="1368"/>
    <x v="206"/>
    <x v="6"/>
    <s v="Harald Link"/>
    <n v="68"/>
    <x v="7"/>
    <x v="23"/>
    <s v="Bangkok"/>
    <s v="Diversified"/>
    <x v="6"/>
    <s v="Thailand"/>
    <m/>
    <x v="0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368"/>
    <x v="206"/>
    <x v="2"/>
    <s v="Max Lytvyn"/>
    <n v="43"/>
    <x v="7"/>
    <x v="1"/>
    <s v="San Francisco"/>
    <s v="Software"/>
    <x v="2"/>
    <s v="Canada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13"/>
    <s v="Igor Makarov"/>
    <n v="60"/>
    <x v="7"/>
    <x v="1"/>
    <s v="Miami"/>
    <s v="Investments"/>
    <x v="13"/>
    <s v="Cypru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3"/>
    <s v="Howard Marks"/>
    <n v="76"/>
    <x v="0"/>
    <x v="1"/>
    <s v="New York"/>
    <s v="Private equity"/>
    <x v="3"/>
    <s v="United States"/>
    <s v="Oaktree Capital Group LLC"/>
    <x v="1"/>
    <s v="E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3"/>
    <s v="Charles Munger"/>
    <n v="99"/>
    <x v="2"/>
    <x v="1"/>
    <s v="Los Angeles"/>
    <s v="Berkshire Hathaway"/>
    <x v="3"/>
    <s v="United States"/>
    <s v="Berkshire Hathaway Inc. (Cl A)"/>
    <x v="1"/>
    <s v="D"/>
    <x v="0"/>
    <s v="Vice Chairman"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11"/>
    <s v="Adam Neumann"/>
    <n v="44"/>
    <x v="7"/>
    <x v="1"/>
    <s v="Miami"/>
    <s v="WeWork"/>
    <x v="11"/>
    <s v="Israel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6"/>
    <s v="Thi Phuong Thao Nguyen"/>
    <n v="52"/>
    <x v="1"/>
    <x v="53"/>
    <s v="Ho Chi Minh City"/>
    <s v="Airlines"/>
    <x v="6"/>
    <s v="Vietnam"/>
    <s v="Sovico Holdings"/>
    <x v="1"/>
    <s v="D"/>
    <x v="1"/>
    <s v="Cofounder and Chairman"/>
    <n v="163.52000000000001"/>
    <n v="2.8"/>
    <s v="$261,921,244,843 "/>
    <x v="45"/>
    <n v="110.6"/>
    <n v="75.3"/>
    <n v="19.100000000000001"/>
    <n v="37.6"/>
    <x v="48"/>
    <n v="14.058324000000001"/>
    <n v="108.277199"/>
  </r>
  <r>
    <n v="1368"/>
    <x v="206"/>
    <x v="7"/>
    <s v="Ni Yongpei &amp; family"/>
    <n v="71"/>
    <x v="7"/>
    <x v="5"/>
    <s v="Liuan"/>
    <s v="Beverages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10"/>
    <s v="Heloise Pratt"/>
    <n v="60"/>
    <x v="7"/>
    <x v="14"/>
    <s v="Melbourne"/>
    <s v="Manufacturing, investment"/>
    <x v="10"/>
    <s v="Australia"/>
    <m/>
    <x v="0"/>
    <s v="D"/>
    <x v="1"/>
    <m/>
    <n v="119.8"/>
    <n v="1.6"/>
    <s v="$1,392,680,589,329 "/>
    <x v="14"/>
    <n v="100.3"/>
    <n v="82.7"/>
    <n v="23"/>
    <n v="47.4"/>
    <x v="14"/>
    <n v="-25.274398000000001"/>
    <n v="133.775136"/>
  </r>
  <r>
    <n v="1368"/>
    <x v="206"/>
    <x v="2"/>
    <s v="Qi Xiangdong"/>
    <n v="52"/>
    <x v="7"/>
    <x v="5"/>
    <s v="Beijing"/>
    <s v="Software"/>
    <x v="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2"/>
    <s v="Phillip T. (Terry) Ragon"/>
    <n v="73"/>
    <x v="7"/>
    <x v="1"/>
    <s v="Boston"/>
    <s v="Health IT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14"/>
    <s v="Prathap Reddy"/>
    <n v="91"/>
    <x v="7"/>
    <x v="3"/>
    <s v="Chennai"/>
    <s v="Healthcare"/>
    <x v="14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368"/>
    <x v="206"/>
    <x v="17"/>
    <s v="Jerry Reinsdorf"/>
    <n v="87"/>
    <x v="7"/>
    <x v="1"/>
    <s v="Chicago"/>
    <s v="Sports teams"/>
    <x v="1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2"/>
    <s v="Chad Richison"/>
    <n v="52"/>
    <x v="7"/>
    <x v="1"/>
    <s v="Edmond"/>
    <s v="Payroll processing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0"/>
    <s v="Karl Scheufele, III. &amp; family"/>
    <n v="84"/>
    <x v="7"/>
    <x v="8"/>
    <s v="Geneva"/>
    <s v="Jewelry"/>
    <x v="0"/>
    <s v="Switzerland"/>
    <m/>
    <x v="1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368"/>
    <x v="206"/>
    <x v="14"/>
    <s v="Alice Schwartz"/>
    <n v="96"/>
    <x v="7"/>
    <x v="1"/>
    <s v="El Cerrito"/>
    <s v="Biotech"/>
    <x v="14"/>
    <s v="United States"/>
    <m/>
    <x v="1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2"/>
    <s v="Alex Shevchenko"/>
    <n v="43"/>
    <x v="7"/>
    <x v="6"/>
    <m/>
    <s v="Software"/>
    <x v="2"/>
    <s v="Canada"/>
    <m/>
    <x v="1"/>
    <s v="D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368"/>
    <x v="206"/>
    <x v="2"/>
    <s v="Kavitark Ram Shriram"/>
    <n v="66"/>
    <x v="3"/>
    <x v="1"/>
    <s v="Menlo Park"/>
    <s v="Venture capital, Google"/>
    <x v="2"/>
    <s v="United States"/>
    <s v="Sherpalo Ventures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11"/>
    <s v="Jeffrey Soffer"/>
    <n v="55"/>
    <x v="7"/>
    <x v="1"/>
    <s v="Aventura"/>
    <s v="Real estate"/>
    <x v="11"/>
    <s v="United States"/>
    <m/>
    <x v="0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2"/>
    <s v="William Stone"/>
    <n v="67"/>
    <x v="7"/>
    <x v="1"/>
    <s v="East Lyme"/>
    <s v="Software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3"/>
    <s v="Henry Swieca"/>
    <n v="65"/>
    <x v="3"/>
    <x v="1"/>
    <s v="New York"/>
    <s v="Hedge funds"/>
    <x v="3"/>
    <s v="United States"/>
    <s v="Talpion Fund Management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6"/>
    <s v="Harley Sy"/>
    <n v="63"/>
    <x v="7"/>
    <x v="34"/>
    <s v="Manila"/>
    <s v="Diversified"/>
    <x v="6"/>
    <s v="Philippines"/>
    <m/>
    <x v="0"/>
    <s v="D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1368"/>
    <x v="206"/>
    <x v="6"/>
    <s v="Teresita Sy-Coson"/>
    <n v="72"/>
    <x v="7"/>
    <x v="34"/>
    <s v="Manila"/>
    <s v="Diversified"/>
    <x v="6"/>
    <s v="Philippines"/>
    <m/>
    <x v="0"/>
    <s v="D"/>
    <x v="1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1368"/>
    <x v="206"/>
    <x v="11"/>
    <s v="Katsumi Tada"/>
    <n v="77"/>
    <x v="7"/>
    <x v="12"/>
    <s v="Tokyo"/>
    <s v="Real estate"/>
    <x v="11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368"/>
    <x v="206"/>
    <x v="10"/>
    <s v="Tang Jinkui &amp; family"/>
    <n v="67"/>
    <x v="7"/>
    <x v="5"/>
    <s v="Suzhou"/>
    <s v="Textiles, petro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2"/>
    <s v="Tang Xiao'ou"/>
    <n v="55"/>
    <x v="7"/>
    <x v="5"/>
    <s v="Shanghai"/>
    <s v="Software"/>
    <x v="2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0"/>
    <s v="Lottie Tham &amp; family"/>
    <n v="73"/>
    <x v="7"/>
    <x v="21"/>
    <s v="Stockholm"/>
    <s v="H&amp;M"/>
    <x v="0"/>
    <s v="Sweden"/>
    <m/>
    <x v="0"/>
    <s v="D"/>
    <x v="1"/>
    <m/>
    <n v="110.51"/>
    <n v="1.8"/>
    <s v="$530,832,908,738 "/>
    <x v="20"/>
    <n v="126.6"/>
    <n v="82.5"/>
    <n v="27.9"/>
    <n v="49.1"/>
    <x v="21"/>
    <n v="60.128160999999999"/>
    <n v="18.643501000000001"/>
  </r>
  <r>
    <n v="1368"/>
    <x v="206"/>
    <x v="14"/>
    <s v="Shamsheer Vayalil"/>
    <n v="46"/>
    <x v="7"/>
    <x v="16"/>
    <s v="Abu Dhabi"/>
    <s v="Healthcare"/>
    <x v="14"/>
    <s v="India"/>
    <m/>
    <x v="0"/>
    <s v="R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1368"/>
    <x v="206"/>
    <x v="2"/>
    <s v="Radha Vembu"/>
    <n v="50"/>
    <x v="7"/>
    <x v="3"/>
    <s v="Chennai"/>
    <s v="Business software"/>
    <x v="2"/>
    <s v="India"/>
    <m/>
    <x v="0"/>
    <s v="U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1368"/>
    <x v="206"/>
    <x v="0"/>
    <s v="Wang Wenmo"/>
    <n v="66"/>
    <x v="7"/>
    <x v="5"/>
    <s v="Quanzhou"/>
    <s v="Sports apparel"/>
    <x v="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15"/>
    <s v="Wang Zhenghua"/>
    <n v="78"/>
    <x v="7"/>
    <x v="5"/>
    <s v="Shanghai"/>
    <s v="Budget airline"/>
    <x v="15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7"/>
    <s v="David Wertheim"/>
    <n v="65"/>
    <x v="7"/>
    <x v="27"/>
    <m/>
    <s v="Coca-Cola Israel"/>
    <x v="7"/>
    <s v="Israel"/>
    <m/>
    <x v="0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1368"/>
    <x v="206"/>
    <x v="13"/>
    <s v="Kai Wu"/>
    <n v="55"/>
    <x v="7"/>
    <x v="5"/>
    <s v="Ningde"/>
    <s v="Batteries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7"/>
    <s v="Xu Yingzhuo"/>
    <n v="55"/>
    <x v="7"/>
    <x v="5"/>
    <s v="Guangzhou"/>
    <s v="Agribusiness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10"/>
    <s v="Yeung Kin-man"/>
    <n v="59"/>
    <x v="7"/>
    <x v="10"/>
    <s v="Hong Kong"/>
    <s v="Electronics"/>
    <x v="10"/>
    <s v="Hong Kong"/>
    <m/>
    <x v="1"/>
    <s v="D"/>
    <x v="0"/>
    <m/>
    <m/>
    <m/>
    <m/>
    <x v="10"/>
    <m/>
    <m/>
    <m/>
    <m/>
    <x v="10"/>
    <m/>
    <m/>
  </r>
  <r>
    <n v="1368"/>
    <x v="206"/>
    <x v="8"/>
    <s v="Huijiao Yu"/>
    <n v="57"/>
    <x v="1"/>
    <x v="5"/>
    <s v="Shanghai"/>
    <s v="Package delivery"/>
    <x v="8"/>
    <s v="China"/>
    <s v="Shanghai YTO Express (Logistics)"/>
    <x v="1"/>
    <s v="D"/>
    <x v="0"/>
    <s v="Founder and Chairman"/>
    <n v="125.08"/>
    <n v="2.9"/>
    <s v="$19,910,000,000,000 "/>
    <x v="5"/>
    <n v="100.2"/>
    <n v="77"/>
    <n v="9.4"/>
    <n v="59.2"/>
    <x v="5"/>
    <n v="35.861660000000001"/>
    <n v="104.195397"/>
  </r>
  <r>
    <n v="1368"/>
    <x v="206"/>
    <x v="3"/>
    <s v="Oren Zeev"/>
    <n v="58"/>
    <x v="7"/>
    <x v="1"/>
    <s v="Los Altos"/>
    <s v="Investments"/>
    <x v="3"/>
    <s v="Israel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368"/>
    <x v="206"/>
    <x v="10"/>
    <s v="Clayton Zekelman"/>
    <n v="54"/>
    <x v="7"/>
    <x v="6"/>
    <s v="Windsor"/>
    <s v="Steel"/>
    <x v="10"/>
    <s v="Canada"/>
    <m/>
    <x v="0"/>
    <s v="U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368"/>
    <x v="206"/>
    <x v="13"/>
    <s v="Zhao Fenggang"/>
    <n v="57"/>
    <x v="7"/>
    <x v="5"/>
    <s v="Ningde"/>
    <s v="Batteries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12"/>
    <s v="Alex Beard"/>
    <n v="55"/>
    <x v="7"/>
    <x v="13"/>
    <s v="London"/>
    <s v="Mining, commodities"/>
    <x v="12"/>
    <s v="United Kingdom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434"/>
    <x v="207"/>
    <x v="7"/>
    <s v="Travis Boersma"/>
    <n v="52"/>
    <x v="7"/>
    <x v="1"/>
    <s v="Grants Pass"/>
    <s v="Coffee"/>
    <x v="7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16"/>
    <s v="Martin Bouygues"/>
    <m/>
    <x v="7"/>
    <x v="0"/>
    <s v="Paris"/>
    <s v="Construction, media"/>
    <x v="16"/>
    <s v="France"/>
    <m/>
    <x v="0"/>
    <s v="Split Family Fortune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1434"/>
    <x v="207"/>
    <x v="16"/>
    <s v="Olivier Bouygues"/>
    <n v="72"/>
    <x v="7"/>
    <x v="22"/>
    <m/>
    <s v="Construction, media"/>
    <x v="16"/>
    <s v="France"/>
    <m/>
    <x v="0"/>
    <s v="Split Family Fortune"/>
    <x v="0"/>
    <m/>
    <m/>
    <m/>
    <m/>
    <x v="10"/>
    <m/>
    <m/>
    <m/>
    <m/>
    <x v="10"/>
    <m/>
    <m/>
  </r>
  <r>
    <n v="1434"/>
    <x v="207"/>
    <x v="9"/>
    <s v="William Boyd &amp; family"/>
    <n v="91"/>
    <x v="7"/>
    <x v="1"/>
    <s v="Las Vegas"/>
    <s v="Casinos, banking"/>
    <x v="9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7"/>
    <s v="Anand Burman"/>
    <n v="70"/>
    <x v="7"/>
    <x v="3"/>
    <s v="Delhi"/>
    <s v="Consumer goods"/>
    <x v="7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434"/>
    <x v="207"/>
    <x v="10"/>
    <s v="Cao Ji"/>
    <n v="71"/>
    <x v="7"/>
    <x v="5"/>
    <s v="Hangzhou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2"/>
    <s v="Bruce Cheng"/>
    <n v="86"/>
    <x v="7"/>
    <x v="35"/>
    <s v="Taipei"/>
    <s v="Electronics"/>
    <x v="2"/>
    <s v="Taiwan"/>
    <m/>
    <x v="1"/>
    <s v="E"/>
    <x v="0"/>
    <m/>
    <m/>
    <m/>
    <m/>
    <x v="10"/>
    <m/>
    <m/>
    <m/>
    <m/>
    <x v="10"/>
    <m/>
    <m/>
  </r>
  <r>
    <n v="1434"/>
    <x v="207"/>
    <x v="2"/>
    <s v="Chi Yufeng"/>
    <n v="52"/>
    <x v="7"/>
    <x v="5"/>
    <s v="Beijing"/>
    <s v="Software"/>
    <x v="2"/>
    <s v="China"/>
    <m/>
    <x v="0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13"/>
    <s v="Daniel Chiu"/>
    <n v="62"/>
    <x v="7"/>
    <x v="10"/>
    <s v="Hong Kong"/>
    <s v="Oil &amp; gas"/>
    <x v="13"/>
    <s v="Hong Kong"/>
    <m/>
    <x v="1"/>
    <s v="U"/>
    <x v="0"/>
    <m/>
    <m/>
    <m/>
    <m/>
    <x v="10"/>
    <m/>
    <m/>
    <m/>
    <m/>
    <x v="10"/>
    <m/>
    <m/>
  </r>
  <r>
    <n v="1434"/>
    <x v="207"/>
    <x v="14"/>
    <s v="Beda Diethelm"/>
    <n v="82"/>
    <x v="7"/>
    <x v="8"/>
    <s v="Zurich"/>
    <s v="Hearing aids"/>
    <x v="14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434"/>
    <x v="207"/>
    <x v="0"/>
    <s v="Domenico Dolce"/>
    <n v="64"/>
    <x v="7"/>
    <x v="28"/>
    <s v="Milan"/>
    <s v="Luxury goods"/>
    <x v="0"/>
    <s v="Italy"/>
    <m/>
    <x v="1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434"/>
    <x v="207"/>
    <x v="2"/>
    <s v="Ralph Dommermuth"/>
    <n v="59"/>
    <x v="7"/>
    <x v="7"/>
    <s v="Montabaur"/>
    <s v="Internet service provider"/>
    <x v="2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434"/>
    <x v="207"/>
    <x v="6"/>
    <s v="Georgi Domuschiev"/>
    <n v="50"/>
    <x v="7"/>
    <x v="13"/>
    <s v="London"/>
    <s v="Animal health, investments"/>
    <x v="6"/>
    <s v="Bulgaria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434"/>
    <x v="207"/>
    <x v="6"/>
    <s v="Kiril Domuschiev"/>
    <n v="53"/>
    <x v="7"/>
    <x v="13"/>
    <s v="London"/>
    <s v="Animal health, investments"/>
    <x v="6"/>
    <s v="Bulgaria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434"/>
    <x v="207"/>
    <x v="11"/>
    <s v="Bob Ell"/>
    <n v="78"/>
    <x v="7"/>
    <x v="14"/>
    <s v="Surfers Paradise"/>
    <s v="Real estate"/>
    <x v="11"/>
    <s v="Australia"/>
    <m/>
    <x v="1"/>
    <s v="E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434"/>
    <x v="207"/>
    <x v="13"/>
    <s v="Paul Foster"/>
    <n v="65"/>
    <x v="3"/>
    <x v="1"/>
    <s v="El Paso"/>
    <s v="Oil refining"/>
    <x v="13"/>
    <s v="United States"/>
    <s v="Western Refining"/>
    <x v="1"/>
    <s v="U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0"/>
    <s v="Stefano Gabbana"/>
    <n v="60"/>
    <x v="7"/>
    <x v="28"/>
    <s v="Milan"/>
    <s v="Luxury goods"/>
    <x v="0"/>
    <s v="Italy"/>
    <m/>
    <x v="1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434"/>
    <x v="207"/>
    <x v="10"/>
    <s v="Xingjiang Gao"/>
    <n v="59"/>
    <x v="7"/>
    <x v="5"/>
    <s v="Huzhou"/>
    <s v="Steel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13"/>
    <s v="Gordon Getty"/>
    <n v="89"/>
    <x v="4"/>
    <x v="1"/>
    <s v="San Francisco"/>
    <s v="Getty Oil"/>
    <x v="13"/>
    <s v="United States"/>
    <s v="Ann &amp; Gordon Getty Foundation"/>
    <x v="0"/>
    <s v="E"/>
    <x v="0"/>
    <s v="President and Chairman"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13"/>
    <s v="Kamal Ghaffarian"/>
    <n v="64"/>
    <x v="7"/>
    <x v="1"/>
    <s v="Naples"/>
    <s v="Space, energy"/>
    <x v="1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14"/>
    <s v="Dennis Gillings"/>
    <n v="78"/>
    <x v="7"/>
    <x v="1"/>
    <s v="Durham"/>
    <s v="Clinical trials"/>
    <x v="14"/>
    <s v="United Kingdom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6"/>
    <s v="Harsh Goenka"/>
    <n v="65"/>
    <x v="7"/>
    <x v="3"/>
    <s v="Mumbai"/>
    <s v="Diversified"/>
    <x v="6"/>
    <s v="India"/>
    <m/>
    <x v="0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434"/>
    <x v="207"/>
    <x v="6"/>
    <s v="Sanjiv Goenka"/>
    <n v="62"/>
    <x v="7"/>
    <x v="3"/>
    <s v="Kolkata"/>
    <s v="Diversified"/>
    <x v="6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434"/>
    <x v="207"/>
    <x v="11"/>
    <s v="Jane Goldman"/>
    <n v="67"/>
    <x v="7"/>
    <x v="1"/>
    <s v="New York"/>
    <s v="Real estate"/>
    <x v="11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0"/>
    <s v="Stein Erik Hagen"/>
    <n v="66"/>
    <x v="7"/>
    <x v="36"/>
    <s v="Oslo"/>
    <s v="Consumer goods"/>
    <x v="0"/>
    <s v="Norway"/>
    <m/>
    <x v="1"/>
    <s v="D"/>
    <x v="0"/>
    <m/>
    <n v="120.27"/>
    <n v="2.2000000000000002"/>
    <s v="$403,336,363,636 "/>
    <x v="31"/>
    <n v="100.3"/>
    <n v="82.8"/>
    <n v="23.9"/>
    <n v="36.200000000000003"/>
    <x v="34"/>
    <n v="60.472023999999998"/>
    <n v="8.4689460000000008"/>
  </r>
  <r>
    <n v="1434"/>
    <x v="207"/>
    <x v="11"/>
    <s v="Bahaa Hariri"/>
    <n v="56"/>
    <x v="7"/>
    <x v="8"/>
    <s v="Geneva"/>
    <s v="Real estate, investments"/>
    <x v="11"/>
    <s v="Lebanon"/>
    <m/>
    <x v="0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434"/>
    <x v="207"/>
    <x v="0"/>
    <s v="Hortensia Herrero"/>
    <n v="72"/>
    <x v="7"/>
    <x v="4"/>
    <s v="Valencia"/>
    <s v="Supermarkets"/>
    <x v="0"/>
    <s v="Spain"/>
    <m/>
    <x v="0"/>
    <s v="D"/>
    <x v="1"/>
    <m/>
    <n v="110.96"/>
    <n v="0.7"/>
    <s v="$1,394,116,310,769 "/>
    <x v="4"/>
    <n v="102.7"/>
    <n v="83.3"/>
    <n v="14.2"/>
    <n v="47"/>
    <x v="4"/>
    <n v="40.463667000000001"/>
    <n v="-3.7492200000000002"/>
  </r>
  <r>
    <n v="1434"/>
    <x v="207"/>
    <x v="6"/>
    <s v="Douglas Hsu"/>
    <n v="80"/>
    <x v="7"/>
    <x v="35"/>
    <s v="Taipei"/>
    <s v="Diversified"/>
    <x v="6"/>
    <s v="Taiwan"/>
    <m/>
    <x v="0"/>
    <s v="D"/>
    <x v="0"/>
    <m/>
    <m/>
    <m/>
    <m/>
    <x v="10"/>
    <m/>
    <m/>
    <m/>
    <m/>
    <x v="10"/>
    <m/>
    <m/>
  </r>
  <r>
    <n v="1434"/>
    <x v="207"/>
    <x v="10"/>
    <s v="Huang Min"/>
    <n v="49"/>
    <x v="7"/>
    <x v="5"/>
    <s v="Suzhou"/>
    <s v="Machinery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2"/>
    <s v="Jared Isaacman"/>
    <n v="40"/>
    <x v="7"/>
    <x v="1"/>
    <s v="Easton"/>
    <s v="Payment processing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2"/>
    <s v="Eugene Kaspersky"/>
    <n v="57"/>
    <x v="7"/>
    <x v="17"/>
    <s v="Moscow"/>
    <s v="Software"/>
    <x v="2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434"/>
    <x v="207"/>
    <x v="0"/>
    <s v="Artem Khachatryan"/>
    <n v="48"/>
    <x v="7"/>
    <x v="63"/>
    <s v="Limassol"/>
    <s v="Retail"/>
    <x v="0"/>
    <s v="Russia"/>
    <m/>
    <x v="1"/>
    <s v="R"/>
    <x v="0"/>
    <m/>
    <n v="102.51"/>
    <n v="0.3"/>
    <s v="$24,564,647,935 "/>
    <x v="51"/>
    <n v="99.3"/>
    <n v="80.8"/>
    <n v="24.5"/>
    <n v="22.4"/>
    <x v="55"/>
    <n v="35.126412999999999"/>
    <n v="33.429859"/>
  </r>
  <r>
    <n v="1434"/>
    <x v="207"/>
    <x v="7"/>
    <s v="Andrei Krivenko"/>
    <n v="47"/>
    <x v="7"/>
    <x v="17"/>
    <s v="Moscow"/>
    <s v="Retail"/>
    <x v="7"/>
    <s v="Russia"/>
    <m/>
    <x v="1"/>
    <s v="N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434"/>
    <x v="207"/>
    <x v="11"/>
    <s v="Thomas Kwok"/>
    <n v="71"/>
    <x v="7"/>
    <x v="10"/>
    <s v="Hong Kong"/>
    <s v="Real estate"/>
    <x v="11"/>
    <s v="Hong Kong"/>
    <m/>
    <x v="0"/>
    <s v="U"/>
    <x v="0"/>
    <m/>
    <m/>
    <m/>
    <m/>
    <x v="10"/>
    <m/>
    <m/>
    <m/>
    <m/>
    <x v="10"/>
    <m/>
    <m/>
  </r>
  <r>
    <n v="1434"/>
    <x v="207"/>
    <x v="10"/>
    <s v="Lam Wai-ying"/>
    <m/>
    <x v="7"/>
    <x v="10"/>
    <s v="Hong Kong"/>
    <s v="Smartphone screens"/>
    <x v="10"/>
    <s v="Hong Kong"/>
    <s v="Biel Crystal"/>
    <x v="1"/>
    <s v="D"/>
    <x v="1"/>
    <s v="Chairman "/>
    <m/>
    <m/>
    <m/>
    <x v="10"/>
    <m/>
    <m/>
    <m/>
    <m/>
    <x v="10"/>
    <m/>
    <m/>
  </r>
  <r>
    <n v="1434"/>
    <x v="207"/>
    <x v="3"/>
    <s v="Marc Lasry"/>
    <n v="62"/>
    <x v="3"/>
    <x v="1"/>
    <s v="New York"/>
    <s v="Hedge funds"/>
    <x v="3"/>
    <s v="United States"/>
    <s v="Avenue Capital Group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3"/>
    <s v="Christian Latouche &amp; family"/>
    <n v="82"/>
    <x v="7"/>
    <x v="0"/>
    <s v="Lyon"/>
    <s v="Accounting services"/>
    <x v="3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1434"/>
    <x v="207"/>
    <x v="17"/>
    <s v="Theodore Leonsis"/>
    <n v="67"/>
    <x v="7"/>
    <x v="1"/>
    <s v="Bethesda"/>
    <s v="Sports teams"/>
    <x v="1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11"/>
    <s v="Lin Chang Su-O"/>
    <n v="82"/>
    <x v="7"/>
    <x v="35"/>
    <s v="Taipei"/>
    <s v="Real estate"/>
    <x v="11"/>
    <s v="Taiwan"/>
    <m/>
    <x v="0"/>
    <s v="D"/>
    <x v="1"/>
    <m/>
    <m/>
    <m/>
    <m/>
    <x v="10"/>
    <m/>
    <m/>
    <m/>
    <m/>
    <x v="10"/>
    <m/>
    <m/>
  </r>
  <r>
    <n v="1434"/>
    <x v="207"/>
    <x v="10"/>
    <s v="Liu Chengyu &amp; family"/>
    <n v="60"/>
    <x v="7"/>
    <x v="5"/>
    <s v="Shenzhen"/>
    <s v="Power supply equipment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0"/>
    <s v="Sergey Lomakin"/>
    <n v="49"/>
    <x v="7"/>
    <x v="63"/>
    <s v="Paphos"/>
    <s v="Retail"/>
    <x v="0"/>
    <s v="Russia"/>
    <m/>
    <x v="1"/>
    <s v="R"/>
    <x v="0"/>
    <m/>
    <n v="102.51"/>
    <n v="0.3"/>
    <s v="$24,564,647,935 "/>
    <x v="51"/>
    <n v="99.3"/>
    <n v="80.8"/>
    <n v="24.5"/>
    <n v="22.4"/>
    <x v="55"/>
    <n v="35.126412999999999"/>
    <n v="33.429859"/>
  </r>
  <r>
    <n v="1434"/>
    <x v="207"/>
    <x v="7"/>
    <s v="Daniel Lubetzky"/>
    <n v="54"/>
    <x v="7"/>
    <x v="1"/>
    <s v="New York"/>
    <s v="Snack bars"/>
    <x v="7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2"/>
    <s v="Melissa Ma"/>
    <m/>
    <x v="7"/>
    <x v="5"/>
    <s v="Beijing"/>
    <s v="Internet search"/>
    <x v="2"/>
    <s v="China"/>
    <m/>
    <x v="1"/>
    <s v="U"/>
    <x v="1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6"/>
    <s v="Anand Mahindra"/>
    <n v="67"/>
    <x v="7"/>
    <x v="3"/>
    <s v="Mumbai"/>
    <s v="Diversified"/>
    <x v="6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434"/>
    <x v="207"/>
    <x v="0"/>
    <s v="Rafique Malik"/>
    <n v="72"/>
    <x v="7"/>
    <x v="3"/>
    <s v="Mumbai"/>
    <s v="Footwear"/>
    <x v="0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434"/>
    <x v="207"/>
    <x v="6"/>
    <s v="Katarina Martinson"/>
    <n v="41"/>
    <x v="7"/>
    <x v="21"/>
    <s v="Stockholm"/>
    <s v="Investments"/>
    <x v="6"/>
    <s v="Sweden"/>
    <m/>
    <x v="0"/>
    <s v="U"/>
    <x v="1"/>
    <m/>
    <n v="110.51"/>
    <n v="1.8"/>
    <s v="$530,832,908,738 "/>
    <x v="20"/>
    <n v="126.6"/>
    <n v="82.5"/>
    <n v="27.9"/>
    <n v="49.1"/>
    <x v="21"/>
    <n v="60.128160999999999"/>
    <n v="18.643501000000001"/>
  </r>
  <r>
    <n v="1434"/>
    <x v="207"/>
    <x v="14"/>
    <s v="Kiran Mazumdar-Shaw"/>
    <n v="70"/>
    <x v="0"/>
    <x v="3"/>
    <s v="Bangalore"/>
    <s v="Biopharmaceuticals"/>
    <x v="14"/>
    <s v="India"/>
    <s v="Biocon"/>
    <x v="1"/>
    <s v="D"/>
    <x v="1"/>
    <s v="Chair"/>
    <n v="180.44"/>
    <n v="7.7"/>
    <s v="$2,611,000,000,000 "/>
    <x v="3"/>
    <n v="113"/>
    <n v="69.400000000000006"/>
    <n v="11.2"/>
    <n v="49.7"/>
    <x v="3"/>
    <n v="20.593684"/>
    <n v="78.962879999999998"/>
  </r>
  <r>
    <n v="1434"/>
    <x v="207"/>
    <x v="1"/>
    <s v="Nirmal Minda"/>
    <n v="65"/>
    <x v="7"/>
    <x v="3"/>
    <s v="Gurgaon"/>
    <s v="Auto parts"/>
    <x v="1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434"/>
    <x v="207"/>
    <x v="2"/>
    <s v="Mu Rongjun"/>
    <n v="43"/>
    <x v="7"/>
    <x v="5"/>
    <s v="Beijing"/>
    <s v="E-commerce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10"/>
    <s v="Eugene Murtagh"/>
    <n v="80"/>
    <x v="7"/>
    <x v="62"/>
    <s v="Kingscourt"/>
    <s v="Building materials"/>
    <x v="10"/>
    <s v="Ireland"/>
    <m/>
    <x v="1"/>
    <s v="D"/>
    <x v="0"/>
    <m/>
    <m/>
    <m/>
    <m/>
    <x v="10"/>
    <m/>
    <m/>
    <m/>
    <m/>
    <x v="10"/>
    <m/>
    <m/>
  </r>
  <r>
    <n v="1434"/>
    <x v="207"/>
    <x v="3"/>
    <s v="Alexander Nesis"/>
    <n v="60"/>
    <x v="7"/>
    <x v="17"/>
    <s v="Moscow"/>
    <s v="Metals, banking, fertilizers"/>
    <x v="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434"/>
    <x v="207"/>
    <x v="10"/>
    <s v="Zugen Ni"/>
    <n v="66"/>
    <x v="7"/>
    <x v="5"/>
    <s v="Suzhou"/>
    <s v="Appliance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16"/>
    <s v="Florentino Perez"/>
    <n v="76"/>
    <x v="7"/>
    <x v="4"/>
    <s v="Madrid"/>
    <s v="Construction"/>
    <x v="16"/>
    <s v="Spain"/>
    <m/>
    <x v="1"/>
    <s v="U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1434"/>
    <x v="207"/>
    <x v="12"/>
    <s v="Victor Pinchuk"/>
    <n v="62"/>
    <x v="7"/>
    <x v="44"/>
    <s v="Kiev"/>
    <s v="Steel pipes, diversified"/>
    <x v="12"/>
    <s v="Ukraine"/>
    <m/>
    <x v="1"/>
    <s v="U"/>
    <x v="0"/>
    <m/>
    <n v="281.66000000000003"/>
    <n v="7.9"/>
    <s v="$153,781,069,118 "/>
    <x v="38"/>
    <n v="99"/>
    <n v="71.599999999999994"/>
    <n v="20.100000000000001"/>
    <n v="45.2"/>
    <x v="40"/>
    <n v="48.379432999999999"/>
    <n v="31.165579999999999"/>
  </r>
  <r>
    <n v="1434"/>
    <x v="207"/>
    <x v="2"/>
    <s v="Leonid Radvinsky"/>
    <n v="40"/>
    <x v="7"/>
    <x v="1"/>
    <m/>
    <s v="E-commerce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2"/>
    <s v="Raveendran Byju"/>
    <n v="41"/>
    <x v="7"/>
    <x v="3"/>
    <s v="Bangalore"/>
    <s v="Education technology"/>
    <x v="2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434"/>
    <x v="207"/>
    <x v="16"/>
    <s v="P.P. Reddy"/>
    <n v="65"/>
    <x v="7"/>
    <x v="3"/>
    <s v="Hyderabad"/>
    <s v="Infrastructure"/>
    <x v="16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434"/>
    <x v="207"/>
    <x v="0"/>
    <s v="Richard Saghian"/>
    <n v="41"/>
    <x v="7"/>
    <x v="1"/>
    <s v="Los Angeles"/>
    <s v="Fast fashion"/>
    <x v="0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14"/>
    <s v="Shi Yifeng"/>
    <n v="49"/>
    <x v="7"/>
    <x v="5"/>
    <s v="Beijing"/>
    <s v="Medical cosmetic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3"/>
    <s v="Thaksin Shinawatra"/>
    <n v="73"/>
    <x v="7"/>
    <x v="16"/>
    <s v="Dubai"/>
    <s v="Investments"/>
    <x v="3"/>
    <s v="Thailand"/>
    <m/>
    <x v="1"/>
    <s v="U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1434"/>
    <x v="207"/>
    <x v="7"/>
    <s v="Shu Ping"/>
    <n v="53"/>
    <x v="7"/>
    <x v="25"/>
    <s v="Singapore"/>
    <s v="Restaurants"/>
    <x v="7"/>
    <s v="Singapore"/>
    <m/>
    <x v="1"/>
    <s v="U"/>
    <x v="1"/>
    <m/>
    <n v="114.41"/>
    <n v="0.6"/>
    <s v="$372,062,527,489 "/>
    <x v="23"/>
    <n v="100.6"/>
    <n v="83.1"/>
    <n v="13.1"/>
    <n v="21"/>
    <x v="24"/>
    <n v="1.3520829999999999"/>
    <n v="103.819836"/>
  </r>
  <r>
    <n v="1434"/>
    <x v="207"/>
    <x v="14"/>
    <s v="Timothy Springer"/>
    <n v="75"/>
    <x v="7"/>
    <x v="1"/>
    <s v="Chestnut Hill"/>
    <s v="Biotech"/>
    <x v="14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1"/>
    <s v="Venu Srinivasan"/>
    <n v="70"/>
    <x v="7"/>
    <x v="3"/>
    <s v="Chennai"/>
    <s v="Two-wheelers"/>
    <x v="1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434"/>
    <x v="207"/>
    <x v="0"/>
    <s v="Edward Stack"/>
    <n v="68"/>
    <x v="3"/>
    <x v="1"/>
    <s v="Sewickley"/>
    <s v="Dick's Sporting Goods"/>
    <x v="0"/>
    <s v="United States"/>
    <s v="Dick's Sporting Goods"/>
    <x v="1"/>
    <s v="U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7"/>
    <s v="Sun Mengquan &amp; family"/>
    <n v="73"/>
    <x v="7"/>
    <x v="5"/>
    <s v="Yantai"/>
    <s v="Edible oil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3"/>
    <s v="Alexander Svetakov"/>
    <n v="55"/>
    <x v="7"/>
    <x v="17"/>
    <s v="Moscow"/>
    <s v="Real estate"/>
    <x v="3"/>
    <s v="Russia"/>
    <m/>
    <x v="1"/>
    <s v="D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434"/>
    <x v="207"/>
    <x v="0"/>
    <s v="Torsten Toeller"/>
    <n v="56"/>
    <x v="7"/>
    <x v="7"/>
    <s v="Krefeld"/>
    <s v="Pet food"/>
    <x v="0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434"/>
    <x v="207"/>
    <x v="7"/>
    <s v="Barbara Tyson"/>
    <n v="74"/>
    <x v="7"/>
    <x v="1"/>
    <s v="Fayetteville"/>
    <s v="Food processing"/>
    <x v="7"/>
    <s v="United States"/>
    <m/>
    <x v="0"/>
    <s v="N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7"/>
    <s v="Hamdi Ulukaya"/>
    <n v="50"/>
    <x v="1"/>
    <x v="1"/>
    <s v="Norwich"/>
    <s v="Greek yogurt"/>
    <x v="7"/>
    <s v="Turkey"/>
    <s v="Chobani"/>
    <x v="1"/>
    <s v="D"/>
    <x v="0"/>
    <s v="Founder and CEO"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16"/>
    <s v="Wang Linpeng"/>
    <n v="54"/>
    <x v="7"/>
    <x v="5"/>
    <s v="Beijing"/>
    <s v="Furniture retailing"/>
    <x v="1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7"/>
    <s v="Wei Ing-Chou"/>
    <n v="69"/>
    <x v="7"/>
    <x v="5"/>
    <s v="Tianjin"/>
    <s v="Food, beverages"/>
    <x v="7"/>
    <s v="Taiwan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7"/>
    <s v="Wei Yin-Chun"/>
    <n v="66"/>
    <x v="7"/>
    <x v="35"/>
    <s v="Taipei"/>
    <s v="Food, beverages"/>
    <x v="7"/>
    <s v="Taiwan"/>
    <m/>
    <x v="1"/>
    <s v="U"/>
    <x v="0"/>
    <m/>
    <m/>
    <m/>
    <m/>
    <x v="10"/>
    <m/>
    <m/>
    <m/>
    <m/>
    <x v="10"/>
    <m/>
    <m/>
  </r>
  <r>
    <n v="1434"/>
    <x v="207"/>
    <x v="7"/>
    <s v="Wei Yin-Heng"/>
    <n v="64"/>
    <x v="7"/>
    <x v="5"/>
    <s v="Shanghai"/>
    <s v="Food, beverages"/>
    <x v="7"/>
    <s v="Taiwan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7"/>
    <s v="Wei Ying-Chiao"/>
    <n v="68"/>
    <x v="7"/>
    <x v="35"/>
    <s v="Taipei"/>
    <s v="Food, beverages"/>
    <x v="7"/>
    <s v="Taiwan"/>
    <m/>
    <x v="1"/>
    <s v="U"/>
    <x v="0"/>
    <m/>
    <m/>
    <m/>
    <m/>
    <x v="10"/>
    <m/>
    <m/>
    <m/>
    <m/>
    <x v="10"/>
    <m/>
    <m/>
  </r>
  <r>
    <n v="1434"/>
    <x v="207"/>
    <x v="9"/>
    <s v="Elaine Wynn"/>
    <n v="80"/>
    <x v="4"/>
    <x v="1"/>
    <s v="Las Vegas"/>
    <s v="Casinos, hotels"/>
    <x v="9"/>
    <s v="United States"/>
    <s v="Wynn Las Vegas, LLC"/>
    <x v="1"/>
    <s v="U"/>
    <x v="1"/>
    <s v="Board Member"/>
    <n v="117.24"/>
    <n v="7.5"/>
    <s v="$21,427,700,000,000 "/>
    <x v="1"/>
    <n v="101.8"/>
    <n v="78.5"/>
    <n v="9.6"/>
    <n v="36.6"/>
    <x v="1"/>
    <n v="37.090240000000001"/>
    <n v="-95.712890999999999"/>
  </r>
  <r>
    <n v="1434"/>
    <x v="207"/>
    <x v="1"/>
    <s v="Xu Xudong &amp; family"/>
    <n v="53"/>
    <x v="7"/>
    <x v="5"/>
    <s v="Ningbo"/>
    <s v="Auto parts"/>
    <x v="1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0"/>
    <s v="Michael Ying"/>
    <n v="73"/>
    <x v="7"/>
    <x v="10"/>
    <s v="Hong Kong"/>
    <s v="Retail"/>
    <x v="0"/>
    <s v="Hong Kong"/>
    <m/>
    <x v="1"/>
    <s v="U"/>
    <x v="0"/>
    <m/>
    <m/>
    <m/>
    <m/>
    <x v="10"/>
    <m/>
    <m/>
    <m/>
    <m/>
    <x v="10"/>
    <m/>
    <m/>
  </r>
  <r>
    <n v="1434"/>
    <x v="207"/>
    <x v="10"/>
    <s v="Yu Qibing &amp; family"/>
    <n v="57"/>
    <x v="7"/>
    <x v="5"/>
    <s v="Ningbo"/>
    <s v="Glas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10"/>
    <s v="Yuan Fugen &amp; family"/>
    <n v="72"/>
    <x v="7"/>
    <x v="5"/>
    <s v="Suzhou"/>
    <s v="Metal processing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10"/>
    <s v="Zhang Ning &amp; family"/>
    <n v="49"/>
    <x v="7"/>
    <x v="5"/>
    <s v="Shanghai"/>
    <s v="Chemicals"/>
    <x v="10"/>
    <s v="Canad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434"/>
    <x v="207"/>
    <x v="14"/>
    <s v="Zhao Tao"/>
    <n v="57"/>
    <x v="7"/>
    <x v="5"/>
    <s v="Xi'an"/>
    <s v="Pharmaceuticals"/>
    <x v="14"/>
    <s v="Singapore"/>
    <m/>
    <x v="0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16"/>
    <s v="Anu Aga"/>
    <n v="80"/>
    <x v="7"/>
    <x v="3"/>
    <s v="Pune"/>
    <s v="Engineering"/>
    <x v="16"/>
    <s v="India"/>
    <m/>
    <x v="0"/>
    <s v="U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1516"/>
    <x v="208"/>
    <x v="0"/>
    <s v="Mohamed Al Fayed"/>
    <n v="94"/>
    <x v="7"/>
    <x v="13"/>
    <s v="London"/>
    <s v="Retail, investments"/>
    <x v="0"/>
    <s v="Egypt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516"/>
    <x v="208"/>
    <x v="2"/>
    <s v="Andrey Andreev"/>
    <n v="49"/>
    <x v="7"/>
    <x v="13"/>
    <s v="London"/>
    <s v="Online dating"/>
    <x v="2"/>
    <s v="United Kingdom"/>
    <m/>
    <x v="1"/>
    <s v="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516"/>
    <x v="208"/>
    <x v="3"/>
    <s v="Michael Ashcroft"/>
    <n v="77"/>
    <x v="7"/>
    <x v="66"/>
    <s v="Turks and Caicos Islands"/>
    <s v="Security"/>
    <x v="3"/>
    <s v="United Kingdom"/>
    <m/>
    <x v="1"/>
    <s v="D"/>
    <x v="0"/>
    <m/>
    <m/>
    <m/>
    <m/>
    <x v="10"/>
    <m/>
    <m/>
    <m/>
    <m/>
    <x v="10"/>
    <m/>
    <m/>
  </r>
  <r>
    <n v="1516"/>
    <x v="208"/>
    <x v="2"/>
    <s v="Pavel Baudis"/>
    <n v="62"/>
    <x v="7"/>
    <x v="20"/>
    <s v="Prague"/>
    <s v="Software"/>
    <x v="2"/>
    <s v="Czech Republic"/>
    <m/>
    <x v="1"/>
    <s v="D"/>
    <x v="0"/>
    <m/>
    <n v="116.48"/>
    <n v="2.8"/>
    <s v="$246,489,245,495 "/>
    <x v="19"/>
    <n v="100.7"/>
    <n v="79"/>
    <n v="14.9"/>
    <n v="46.1"/>
    <x v="20"/>
    <n v="49.817492000000001"/>
    <n v="15.472962000000001"/>
  </r>
  <r>
    <n v="1516"/>
    <x v="208"/>
    <x v="14"/>
    <s v="Wilhelm Beier &amp; family"/>
    <n v="66"/>
    <x v="7"/>
    <x v="7"/>
    <m/>
    <s v="Pharmaceuticals"/>
    <x v="14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516"/>
    <x v="208"/>
    <x v="10"/>
    <s v="Cao Jianwei"/>
    <n v="44"/>
    <x v="7"/>
    <x v="5"/>
    <s v="Shangyu"/>
    <s v="Semiconductors"/>
    <x v="10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10"/>
    <s v="Huwen Chen"/>
    <n v="52"/>
    <x v="7"/>
    <x v="5"/>
    <s v="Shanghai"/>
    <s v="Stationery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6"/>
    <s v="Phongthep Chiaravanont"/>
    <n v="71"/>
    <x v="7"/>
    <x v="23"/>
    <s v="Bangkok"/>
    <s v="Diversified"/>
    <x v="6"/>
    <s v="Thailand"/>
    <m/>
    <x v="0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516"/>
    <x v="208"/>
    <x v="6"/>
    <s v="Dou Zhenggang"/>
    <n v="69"/>
    <x v="7"/>
    <x v="5"/>
    <s v="Hangzhou"/>
    <s v="Energy, chemicals"/>
    <x v="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7"/>
    <s v="Maria Franca Fissolo"/>
    <n v="88"/>
    <x v="7"/>
    <x v="19"/>
    <s v="Monaco"/>
    <s v="Nutella, chocolates"/>
    <x v="7"/>
    <s v="Italy"/>
    <m/>
    <x v="0"/>
    <s v="E"/>
    <x v="1"/>
    <m/>
    <m/>
    <m/>
    <s v="$7,184,844,193 "/>
    <x v="10"/>
    <m/>
    <m/>
    <m/>
    <m/>
    <x v="19"/>
    <n v="43.738417599999998"/>
    <n v="7.4246157999999998"/>
  </r>
  <r>
    <n v="1516"/>
    <x v="208"/>
    <x v="6"/>
    <s v="William Franke"/>
    <n v="85"/>
    <x v="7"/>
    <x v="1"/>
    <s v="Houston"/>
    <s v="Low-cost airlines"/>
    <x v="6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14"/>
    <s v="Mario Germano Giuliani"/>
    <n v="51"/>
    <x v="7"/>
    <x v="19"/>
    <s v="Monaco"/>
    <s v="Pharmaceuticals"/>
    <x v="14"/>
    <s v="Switzerland"/>
    <m/>
    <x v="0"/>
    <s v="D"/>
    <x v="0"/>
    <m/>
    <m/>
    <m/>
    <s v="$7,184,844,193 "/>
    <x v="10"/>
    <m/>
    <m/>
    <m/>
    <m/>
    <x v="19"/>
    <n v="43.738417599999998"/>
    <n v="7.4246157999999998"/>
  </r>
  <r>
    <n v="1516"/>
    <x v="208"/>
    <x v="11"/>
    <s v="Amy Goldman Fowler"/>
    <n v="68"/>
    <x v="7"/>
    <x v="1"/>
    <s v="Rhinebeck"/>
    <s v="Real estate"/>
    <x v="11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12"/>
    <s v="John Hancock"/>
    <n v="47"/>
    <x v="7"/>
    <x v="13"/>
    <s v="London"/>
    <s v="Mining"/>
    <x v="12"/>
    <s v="Australia"/>
    <m/>
    <x v="0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516"/>
    <x v="208"/>
    <x v="2"/>
    <s v="Hu Yangzhong"/>
    <n v="58"/>
    <x v="7"/>
    <x v="5"/>
    <s v="Hangzhou"/>
    <s v="Technology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10"/>
    <s v="Huang Dawen"/>
    <n v="62"/>
    <x v="7"/>
    <x v="10"/>
    <s v="Hong Kong"/>
    <s v="Silicon"/>
    <x v="10"/>
    <s v="Hong Kong"/>
    <m/>
    <x v="1"/>
    <s v="D"/>
    <x v="0"/>
    <m/>
    <m/>
    <m/>
    <m/>
    <x v="10"/>
    <m/>
    <m/>
    <m/>
    <m/>
    <x v="10"/>
    <m/>
    <m/>
  </r>
  <r>
    <n v="1516"/>
    <x v="208"/>
    <x v="4"/>
    <s v="Huang Qiaoling"/>
    <n v="64"/>
    <x v="7"/>
    <x v="5"/>
    <s v="Hangzhou"/>
    <s v="Amusement parks"/>
    <x v="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3"/>
    <s v="Rajiv Jain"/>
    <n v="55"/>
    <x v="7"/>
    <x v="1"/>
    <s v="Fort Lauderdale"/>
    <s v="Finance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17"/>
    <s v="Michael Jordan"/>
    <n v="60"/>
    <x v="7"/>
    <x v="1"/>
    <s v="Jupiter"/>
    <s v="Charlotte Hornets, endorsements"/>
    <x v="17"/>
    <s v="United States"/>
    <m/>
    <x v="1"/>
    <s v="U"/>
    <x v="0"/>
    <s v="Athlete"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11"/>
    <s v="Diane Kemper"/>
    <n v="77"/>
    <x v="7"/>
    <x v="1"/>
    <s v="New York"/>
    <s v="Real estate"/>
    <x v="11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2"/>
    <s v="Shlomo Kramer"/>
    <n v="57"/>
    <x v="7"/>
    <x v="27"/>
    <s v="Tel Aviv"/>
    <s v="Software, investments"/>
    <x v="2"/>
    <s v="Israel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1516"/>
    <x v="208"/>
    <x v="14"/>
    <s v="Heikki Kyostila"/>
    <n v="77"/>
    <x v="7"/>
    <x v="55"/>
    <s v="Helsinki"/>
    <s v="Dental products"/>
    <x v="14"/>
    <s v="Finland"/>
    <m/>
    <x v="1"/>
    <s v="U"/>
    <x v="0"/>
    <m/>
    <n v="112.33"/>
    <n v="1"/>
    <s v="$268,761,201,365 "/>
    <x v="1"/>
    <n v="100.2"/>
    <n v="81.7"/>
    <n v="20.8"/>
    <n v="36.6"/>
    <x v="50"/>
    <n v="61.924109999999999"/>
    <n v="25.748151"/>
  </r>
  <r>
    <n v="1516"/>
    <x v="208"/>
    <x v="2"/>
    <s v="Martin Lau"/>
    <n v="50"/>
    <x v="7"/>
    <x v="10"/>
    <s v="Hong Kong"/>
    <s v="E-commerce"/>
    <x v="2"/>
    <s v="Hong Kong"/>
    <m/>
    <x v="1"/>
    <s v="D"/>
    <x v="0"/>
    <m/>
    <m/>
    <m/>
    <m/>
    <x v="10"/>
    <m/>
    <m/>
    <m/>
    <m/>
    <x v="10"/>
    <m/>
    <m/>
  </r>
  <r>
    <n v="1516"/>
    <x v="208"/>
    <x v="2"/>
    <s v="Li Min"/>
    <n v="57"/>
    <x v="7"/>
    <x v="5"/>
    <s v="Fuzhou"/>
    <s v="Semiconductor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2"/>
    <s v="Liang Rubo"/>
    <n v="40"/>
    <x v="7"/>
    <x v="5"/>
    <s v="Beijing"/>
    <s v="TikTok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10"/>
    <s v="Liang Zhaoxian"/>
    <n v="58"/>
    <x v="7"/>
    <x v="5"/>
    <s v="Foshan"/>
    <s v="Appliances"/>
    <x v="10"/>
    <s v="China"/>
    <m/>
    <x v="0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13"/>
    <s v="Lin Fanlian"/>
    <n v="61"/>
    <x v="7"/>
    <x v="5"/>
    <s v="Linyi"/>
    <s v="Energy, real estate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10"/>
    <s v="Aloke Lohia"/>
    <n v="64"/>
    <x v="7"/>
    <x v="23"/>
    <s v="Bangkok"/>
    <s v="Petrochemicals"/>
    <x v="10"/>
    <s v="India"/>
    <m/>
    <x v="0"/>
    <s v="D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516"/>
    <x v="208"/>
    <x v="11"/>
    <s v="Bill Malhotra"/>
    <n v="73"/>
    <x v="7"/>
    <x v="6"/>
    <s v="Ottawa"/>
    <s v="Real estate"/>
    <x v="11"/>
    <s v="Canada"/>
    <m/>
    <x v="1"/>
    <s v="U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516"/>
    <x v="208"/>
    <x v="3"/>
    <s v="Alexander Mamut"/>
    <n v="63"/>
    <x v="7"/>
    <x v="27"/>
    <s v="Tel Aviv"/>
    <s v="Investments"/>
    <x v="3"/>
    <s v="Russia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1516"/>
    <x v="208"/>
    <x v="5"/>
    <s v="Craig McCaw"/>
    <n v="73"/>
    <x v="7"/>
    <x v="1"/>
    <s v="Hunts Point"/>
    <s v="Telecom"/>
    <x v="5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10"/>
    <s v="Cunhui Nan"/>
    <n v="59"/>
    <x v="7"/>
    <x v="5"/>
    <s v="Wenzhou"/>
    <s v="Power equipment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15"/>
    <s v="Tengyun Nie &amp; family"/>
    <n v="47"/>
    <x v="7"/>
    <x v="5"/>
    <s v="Shanghai"/>
    <s v="Logistics"/>
    <x v="15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3"/>
    <s v="Oei Hong Leong"/>
    <n v="75"/>
    <x v="7"/>
    <x v="25"/>
    <s v="Singapore"/>
    <s v="Investments"/>
    <x v="3"/>
    <s v="Singapore"/>
    <m/>
    <x v="0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1516"/>
    <x v="208"/>
    <x v="12"/>
    <s v="Clive Palmer"/>
    <n v="69"/>
    <x v="7"/>
    <x v="14"/>
    <s v="Brisbane"/>
    <s v="Mining"/>
    <x v="12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516"/>
    <x v="208"/>
    <x v="2"/>
    <s v="Matthew Prince"/>
    <n v="48"/>
    <x v="7"/>
    <x v="1"/>
    <s v="Park City"/>
    <s v="Cybersecurity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15"/>
    <s v="Linda Pritzker"/>
    <n v="69"/>
    <x v="7"/>
    <x v="1"/>
    <s v="Missoula"/>
    <s v="Hotels, investments"/>
    <x v="15"/>
    <s v="United States"/>
    <m/>
    <x v="0"/>
    <s v="E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16"/>
    <s v="P.V. Krishna Reddy"/>
    <n v="53"/>
    <x v="7"/>
    <x v="3"/>
    <s v="Hyderabad"/>
    <s v="Infrastructure"/>
    <x v="16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516"/>
    <x v="208"/>
    <x v="12"/>
    <s v="Bianca Rinehart"/>
    <n v="46"/>
    <x v="7"/>
    <x v="14"/>
    <s v="Brisbane"/>
    <s v="Mining"/>
    <x v="12"/>
    <s v="Australia"/>
    <m/>
    <x v="0"/>
    <s v="D"/>
    <x v="1"/>
    <m/>
    <n v="119.8"/>
    <n v="1.6"/>
    <s v="$1,392,680,589,329 "/>
    <x v="14"/>
    <n v="100.3"/>
    <n v="82.7"/>
    <n v="23"/>
    <n v="47.4"/>
    <x v="14"/>
    <n v="-25.274398000000001"/>
    <n v="133.775136"/>
  </r>
  <r>
    <n v="1516"/>
    <x v="208"/>
    <x v="12"/>
    <s v="Ginia Rinehart"/>
    <n v="36"/>
    <x v="7"/>
    <x v="14"/>
    <s v="Sydney"/>
    <s v="Mining"/>
    <x v="12"/>
    <s v="Australia"/>
    <m/>
    <x v="0"/>
    <s v="D"/>
    <x v="1"/>
    <m/>
    <n v="119.8"/>
    <n v="1.6"/>
    <s v="$1,392,680,589,329 "/>
    <x v="14"/>
    <n v="100.3"/>
    <n v="82.7"/>
    <n v="23"/>
    <n v="47.4"/>
    <x v="14"/>
    <n v="-25.274398000000001"/>
    <n v="133.775136"/>
  </r>
  <r>
    <n v="1516"/>
    <x v="208"/>
    <x v="3"/>
    <s v="T. Denny Sanford"/>
    <n v="87"/>
    <x v="7"/>
    <x v="1"/>
    <s v="Sioux Falls"/>
    <s v="Banking, credit cards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10"/>
    <s v="Bhadresh Shah"/>
    <n v="71"/>
    <x v="7"/>
    <x v="3"/>
    <s v="Ahmedabad"/>
    <s v="Engineering"/>
    <x v="10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516"/>
    <x v="208"/>
    <x v="4"/>
    <s v="Zygmunt Solorz-Zak"/>
    <n v="66"/>
    <x v="7"/>
    <x v="42"/>
    <s v="Warsaw"/>
    <s v="TV broadcasting"/>
    <x v="4"/>
    <s v="Poland"/>
    <m/>
    <x v="1"/>
    <s v="D"/>
    <x v="0"/>
    <m/>
    <n v="114.11"/>
    <n v="2.2000000000000002"/>
    <s v="$592,164,400,688 "/>
    <x v="37"/>
    <n v="100"/>
    <n v="77.599999999999994"/>
    <n v="17.399999999999999"/>
    <n v="40.799999999999997"/>
    <x v="39"/>
    <n v="51.919438"/>
    <n v="19.145136000000001"/>
  </r>
  <r>
    <n v="1516"/>
    <x v="208"/>
    <x v="10"/>
    <s v="Michal Strnad"/>
    <n v="30"/>
    <x v="7"/>
    <x v="22"/>
    <m/>
    <s v="Defense Contracting"/>
    <x v="10"/>
    <s v="Czech Republic"/>
    <m/>
    <x v="0"/>
    <s v="N"/>
    <x v="0"/>
    <m/>
    <m/>
    <m/>
    <m/>
    <x v="10"/>
    <m/>
    <m/>
    <m/>
    <m/>
    <x v="10"/>
    <m/>
    <m/>
  </r>
  <r>
    <n v="1516"/>
    <x v="208"/>
    <x v="0"/>
    <s v="Sylvia Stroeher"/>
    <n v="67"/>
    <x v="7"/>
    <x v="7"/>
    <s v="Darmstadt"/>
    <s v="Cosmetics"/>
    <x v="0"/>
    <s v="Germany"/>
    <m/>
    <x v="0"/>
    <s v="E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516"/>
    <x v="208"/>
    <x v="2"/>
    <s v="Otto Toto Sugiri"/>
    <n v="69"/>
    <x v="7"/>
    <x v="15"/>
    <s v="Jakarta"/>
    <s v="Data centers"/>
    <x v="2"/>
    <s v="Indonesia"/>
    <m/>
    <x v="1"/>
    <s v="D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1516"/>
    <x v="208"/>
    <x v="17"/>
    <s v="Larry Tanenbaum"/>
    <n v="77"/>
    <x v="7"/>
    <x v="6"/>
    <s v="Toronto"/>
    <s v="Sports"/>
    <x v="17"/>
    <s v="Canada"/>
    <m/>
    <x v="1"/>
    <s v="N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516"/>
    <x v="208"/>
    <x v="3"/>
    <s v="Wichai Thongtang"/>
    <n v="76"/>
    <x v="7"/>
    <x v="23"/>
    <s v="Bangkok"/>
    <s v="Investments"/>
    <x v="3"/>
    <s v="Thailand"/>
    <m/>
    <x v="1"/>
    <s v="E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516"/>
    <x v="208"/>
    <x v="3"/>
    <s v="Ion Tiriac"/>
    <n v="83"/>
    <x v="7"/>
    <x v="67"/>
    <s v="Bucharest"/>
    <s v="Banking, insurance"/>
    <x v="3"/>
    <s v="Romania"/>
    <m/>
    <x v="1"/>
    <s v="U"/>
    <x v="0"/>
    <m/>
    <n v="123.78"/>
    <n v="3.8"/>
    <s v="$250,077,444,017 "/>
    <x v="53"/>
    <n v="85.2"/>
    <n v="75.400000000000006"/>
    <n v="14.6"/>
    <n v="20"/>
    <x v="57"/>
    <n v="45.943161000000003"/>
    <n v="24.966760000000001"/>
  </r>
  <r>
    <n v="1516"/>
    <x v="208"/>
    <x v="12"/>
    <s v="Hope Welker"/>
    <n v="37"/>
    <x v="7"/>
    <x v="1"/>
    <s v="New York"/>
    <s v="Mining"/>
    <x v="12"/>
    <s v="Australia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10"/>
    <s v="William Young"/>
    <n v="82"/>
    <x v="7"/>
    <x v="1"/>
    <s v="Ypsilanti"/>
    <s v="Plastics"/>
    <x v="10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16"/>
    <x v="208"/>
    <x v="0"/>
    <s v="Ales Zavoral"/>
    <n v="46"/>
    <x v="7"/>
    <x v="22"/>
    <m/>
    <s v="E-commerce"/>
    <x v="0"/>
    <s v="Czech Republic"/>
    <m/>
    <x v="1"/>
    <s v="N"/>
    <x v="0"/>
    <m/>
    <m/>
    <m/>
    <m/>
    <x v="10"/>
    <m/>
    <m/>
    <m/>
    <m/>
    <x v="10"/>
    <m/>
    <m/>
  </r>
  <r>
    <n v="1516"/>
    <x v="208"/>
    <x v="2"/>
    <s v="Zhang Fan"/>
    <n v="57"/>
    <x v="7"/>
    <x v="5"/>
    <s v="Shenzhen"/>
    <s v="Touch screen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2"/>
    <s v="Shilong Zhang &amp; family"/>
    <n v="57"/>
    <x v="7"/>
    <x v="5"/>
    <s v="Beijing"/>
    <s v="Semiconductor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10"/>
    <s v="Zhang Wanzhen"/>
    <n v="73"/>
    <x v="7"/>
    <x v="5"/>
    <s v="Chaozhou"/>
    <s v="Electronics component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2"/>
    <s v="Hongfei Zhao"/>
    <n v="48"/>
    <x v="7"/>
    <x v="5"/>
    <s v="Beijing"/>
    <s v="Software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13"/>
    <s v="Zhou Jian"/>
    <n v="46"/>
    <x v="7"/>
    <x v="5"/>
    <s v="Shenzhen"/>
    <s v="Solar energy equipment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16"/>
    <x v="208"/>
    <x v="14"/>
    <s v="Zhu Yiwen &amp; family"/>
    <n v="59"/>
    <x v="7"/>
    <x v="5"/>
    <s v="Shanghai"/>
    <s v="Healthcare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6"/>
    <s v="Roberto Angelini Rossi"/>
    <n v="74"/>
    <x v="7"/>
    <x v="18"/>
    <s v="Santiago"/>
    <s v="Forestry, mining"/>
    <x v="6"/>
    <s v="Chile"/>
    <m/>
    <x v="0"/>
    <s v="U"/>
    <x v="0"/>
    <m/>
    <n v="131.91"/>
    <n v="2.6"/>
    <s v="$282,318,159,745 "/>
    <x v="18"/>
    <n v="101.4"/>
    <n v="80"/>
    <n v="18.2"/>
    <n v="34"/>
    <x v="18"/>
    <n v="-35.675147000000003"/>
    <n v="-71.542968999999999"/>
  </r>
  <r>
    <n v="1575"/>
    <x v="209"/>
    <x v="13"/>
    <s v="Mika Anttonen"/>
    <n v="56"/>
    <x v="7"/>
    <x v="55"/>
    <s v="Helsinki"/>
    <s v="Oil &amp; gas"/>
    <x v="13"/>
    <s v="Finland"/>
    <m/>
    <x v="1"/>
    <s v="U"/>
    <x v="0"/>
    <m/>
    <n v="112.33"/>
    <n v="1"/>
    <s v="$268,761,201,365 "/>
    <x v="1"/>
    <n v="100.2"/>
    <n v="81.7"/>
    <n v="20.8"/>
    <n v="36.6"/>
    <x v="50"/>
    <n v="61.924109999999999"/>
    <n v="25.748151"/>
  </r>
  <r>
    <n v="1575"/>
    <x v="209"/>
    <x v="17"/>
    <s v="David Blitzer"/>
    <n v="53"/>
    <x v="7"/>
    <x v="1"/>
    <s v="New York"/>
    <s v="Sports"/>
    <x v="17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3"/>
    <s v="Julio Bozano"/>
    <n v="87"/>
    <x v="7"/>
    <x v="30"/>
    <s v="Rio de Janeiro"/>
    <s v="Banking"/>
    <x v="3"/>
    <s v="Brazil"/>
    <m/>
    <x v="1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575"/>
    <x v="209"/>
    <x v="13"/>
    <s v="Nikolai Buinov"/>
    <n v="55"/>
    <x v="7"/>
    <x v="17"/>
    <s v="Irkutsk"/>
    <s v="Oil, gas"/>
    <x v="1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575"/>
    <x v="209"/>
    <x v="0"/>
    <s v="Nicola Bulgari"/>
    <n v="82"/>
    <x v="7"/>
    <x v="28"/>
    <s v="Rome"/>
    <s v="Luxury goods"/>
    <x v="0"/>
    <s v="Italy"/>
    <m/>
    <x v="0"/>
    <s v="E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575"/>
    <x v="209"/>
    <x v="0"/>
    <s v="Howard Butt, III. &amp; family"/>
    <n v="71"/>
    <x v="7"/>
    <x v="1"/>
    <s v="San Antonio"/>
    <s v="Supermarkets"/>
    <x v="0"/>
    <s v="United States"/>
    <m/>
    <x v="0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0"/>
    <s v="Stephen Butt &amp; family"/>
    <n v="67"/>
    <x v="7"/>
    <x v="22"/>
    <m/>
    <s v="Supermarkets"/>
    <x v="0"/>
    <s v="United States"/>
    <m/>
    <x v="0"/>
    <s v="N"/>
    <x v="0"/>
    <m/>
    <m/>
    <m/>
    <m/>
    <x v="10"/>
    <m/>
    <m/>
    <m/>
    <m/>
    <x v="10"/>
    <m/>
    <m/>
  </r>
  <r>
    <n v="1575"/>
    <x v="209"/>
    <x v="0"/>
    <s v="Jianxing Che"/>
    <n v="56"/>
    <x v="7"/>
    <x v="5"/>
    <s v="Shanghai"/>
    <s v="Furniture retailing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10"/>
    <s v="Huxiong Chen"/>
    <n v="52"/>
    <x v="7"/>
    <x v="5"/>
    <s v="Shanghai"/>
    <s v="Stationery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13"/>
    <s v="Chen Qiongxiang"/>
    <m/>
    <x v="7"/>
    <x v="5"/>
    <s v="Ningde"/>
    <s v="Batteries"/>
    <x v="13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2"/>
    <s v="Chen Zhisong"/>
    <n v="57"/>
    <x v="7"/>
    <x v="5"/>
    <s v="Xiamen"/>
    <s v="Communication equipment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6"/>
    <s v="Manas Chiaravanond"/>
    <m/>
    <x v="7"/>
    <x v="23"/>
    <s v="Bangkok"/>
    <s v="Diversified"/>
    <x v="6"/>
    <s v="Thailand"/>
    <m/>
    <x v="0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575"/>
    <x v="209"/>
    <x v="6"/>
    <s v="Prathip Chiravanond"/>
    <n v="74"/>
    <x v="7"/>
    <x v="23"/>
    <s v="Bangkok"/>
    <s v="Diversified"/>
    <x v="6"/>
    <s v="Thailand"/>
    <m/>
    <x v="0"/>
    <s v="R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575"/>
    <x v="209"/>
    <x v="7"/>
    <s v="Alexandra Daitch"/>
    <n v="60"/>
    <x v="7"/>
    <x v="1"/>
    <s v="Old Lyme"/>
    <s v="Cargill"/>
    <x v="7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7"/>
    <s v="Sol Daurella"/>
    <n v="57"/>
    <x v="7"/>
    <x v="4"/>
    <s v="Madrid"/>
    <s v="Coca-Cola bottler"/>
    <x v="7"/>
    <s v="Spain"/>
    <m/>
    <x v="0"/>
    <s v="U"/>
    <x v="1"/>
    <m/>
    <n v="110.96"/>
    <n v="0.7"/>
    <s v="$1,394,116,310,769 "/>
    <x v="4"/>
    <n v="102.7"/>
    <n v="83.3"/>
    <n v="14.2"/>
    <n v="47"/>
    <x v="4"/>
    <n v="40.463667000000001"/>
    <n v="-3.7492200000000002"/>
  </r>
  <r>
    <n v="1575"/>
    <x v="209"/>
    <x v="17"/>
    <s v="Mark Davis"/>
    <n v="67"/>
    <x v="7"/>
    <x v="1"/>
    <s v="Henderson"/>
    <s v="Las Vegas Raiders"/>
    <x v="17"/>
    <s v="United States"/>
    <m/>
    <x v="0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3"/>
    <s v="James Dinan"/>
    <n v="63"/>
    <x v="3"/>
    <x v="1"/>
    <s v="North Salem"/>
    <s v="Hedge funds"/>
    <x v="3"/>
    <s v="United States"/>
    <s v="York Capital Management"/>
    <x v="1"/>
    <s v="E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14"/>
    <s v="Dong Fan"/>
    <n v="53"/>
    <x v="7"/>
    <x v="5"/>
    <s v="Zhuhai"/>
    <s v="Medical device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1"/>
    <s v="Fritz Draexlmaier"/>
    <m/>
    <x v="7"/>
    <x v="7"/>
    <s v="Landshut"/>
    <s v="Auto parts"/>
    <x v="1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575"/>
    <x v="209"/>
    <x v="6"/>
    <s v="Bulent Eczacibasi"/>
    <n v="73"/>
    <x v="7"/>
    <x v="47"/>
    <s v="Istanbul"/>
    <s v="Pharmaceuticals, diversified"/>
    <x v="6"/>
    <s v="Turkey"/>
    <m/>
    <x v="0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575"/>
    <x v="209"/>
    <x v="6"/>
    <s v="Faruk Eczacibasi"/>
    <n v="68"/>
    <x v="7"/>
    <x v="47"/>
    <s v="Istanbul"/>
    <s v="Pharmaceuticals, diversified"/>
    <x v="6"/>
    <s v="Turkey"/>
    <m/>
    <x v="0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575"/>
    <x v="209"/>
    <x v="6"/>
    <s v="Eduardo Eurnekian"/>
    <n v="90"/>
    <x v="7"/>
    <x v="48"/>
    <s v="Buenos Aires"/>
    <s v="Airports, investments"/>
    <x v="6"/>
    <s v="Argentina"/>
    <m/>
    <x v="1"/>
    <s v="U"/>
    <x v="0"/>
    <m/>
    <n v="232.75"/>
    <n v="53.5"/>
    <s v="$449,663,446,954 "/>
    <x v="41"/>
    <n v="109.7"/>
    <n v="76.5"/>
    <n v="10.1"/>
    <n v="106.3"/>
    <x v="43"/>
    <n v="-38.416097000000001"/>
    <n v="-63.616672000000001"/>
  </r>
  <r>
    <n v="1575"/>
    <x v="209"/>
    <x v="11"/>
    <s v="David Fong"/>
    <n v="65"/>
    <x v="7"/>
    <x v="10"/>
    <s v="Hong Kong"/>
    <s v="Real estate"/>
    <x v="11"/>
    <s v="Hong Kong"/>
    <m/>
    <x v="0"/>
    <s v="N"/>
    <x v="0"/>
    <m/>
    <m/>
    <m/>
    <m/>
    <x v="10"/>
    <m/>
    <m/>
    <m/>
    <m/>
    <x v="10"/>
    <m/>
    <m/>
  </r>
  <r>
    <n v="1575"/>
    <x v="209"/>
    <x v="0"/>
    <s v="Guo Zhenyu &amp; family"/>
    <n v="59"/>
    <x v="7"/>
    <x v="5"/>
    <s v="Kunming"/>
    <s v="Cosmetics"/>
    <x v="0"/>
    <s v="Canad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10"/>
    <s v="Surjit Kumar Gupta"/>
    <n v="81"/>
    <x v="7"/>
    <x v="3"/>
    <s v="Delhi"/>
    <s v="Electrical equipment"/>
    <x v="10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575"/>
    <x v="209"/>
    <x v="6"/>
    <s v="Caroline Hagen Kjos"/>
    <n v="39"/>
    <x v="7"/>
    <x v="8"/>
    <s v="Wollerau"/>
    <s v="Conglomerate"/>
    <x v="6"/>
    <s v="Norway"/>
    <m/>
    <x v="0"/>
    <s v="D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1575"/>
    <x v="209"/>
    <x v="3"/>
    <s v="Roberto Hernandez Ramirez"/>
    <n v="81"/>
    <x v="7"/>
    <x v="2"/>
    <s v="Mexico City"/>
    <s v="Banking, investments"/>
    <x v="3"/>
    <s v="Mexico"/>
    <m/>
    <x v="1"/>
    <s v="E"/>
    <x v="0"/>
    <m/>
    <n v="141.54"/>
    <n v="3.6"/>
    <s v="$1,258,286,717,125 "/>
    <x v="2"/>
    <n v="105.8"/>
    <n v="75"/>
    <n v="13.1"/>
    <n v="55.1"/>
    <x v="2"/>
    <n v="23.634501"/>
    <n v="-102.552784"/>
  </r>
  <r>
    <n v="1575"/>
    <x v="209"/>
    <x v="2"/>
    <s v="Reid Hoffman"/>
    <n v="55"/>
    <x v="1"/>
    <x v="1"/>
    <s v="Palo Alto"/>
    <s v="LinkedIn"/>
    <x v="2"/>
    <s v="United States"/>
    <s v="Greylock"/>
    <x v="1"/>
    <s v="D"/>
    <x v="0"/>
    <s v="Partner"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10"/>
    <s v="Hu Rongda &amp; family"/>
    <n v="64"/>
    <x v="7"/>
    <x v="5"/>
    <s v="Jinhua"/>
    <s v="Chemical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11"/>
    <s v="B. Wayne Hughes, Jr."/>
    <n v="63"/>
    <x v="7"/>
    <x v="1"/>
    <s v="Jackson"/>
    <s v="Storage facilities"/>
    <x v="11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11"/>
    <s v="Hui Wing Mau"/>
    <n v="72"/>
    <x v="7"/>
    <x v="10"/>
    <s v="Hong Kong"/>
    <s v="Real estate"/>
    <x v="11"/>
    <s v="Hong Kong"/>
    <m/>
    <x v="1"/>
    <s v="D"/>
    <x v="0"/>
    <m/>
    <m/>
    <m/>
    <m/>
    <x v="10"/>
    <m/>
    <m/>
    <m/>
    <m/>
    <x v="10"/>
    <m/>
    <m/>
  </r>
  <r>
    <n v="1575"/>
    <x v="209"/>
    <x v="3"/>
    <s v="Scott Kapnick"/>
    <n v="64"/>
    <x v="7"/>
    <x v="1"/>
    <s v="Naples"/>
    <s v="Private equity"/>
    <x v="3"/>
    <s v="United States"/>
    <m/>
    <x v="1"/>
    <s v="U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3"/>
    <s v="Richard Kayne"/>
    <n v="77"/>
    <x v="7"/>
    <x v="1"/>
    <s v="Santa Monica"/>
    <s v="Investments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3"/>
    <s v="Dominika Kulczyk"/>
    <n v="45"/>
    <x v="7"/>
    <x v="13"/>
    <s v="London"/>
    <s v="Diversified"/>
    <x v="3"/>
    <s v="Poland"/>
    <m/>
    <x v="0"/>
    <s v="U"/>
    <x v="1"/>
    <m/>
    <n v="119.62"/>
    <n v="1.7"/>
    <s v="$2,827,113,184,696 "/>
    <x v="13"/>
    <n v="101.2"/>
    <n v="81.3"/>
    <n v="25.5"/>
    <n v="30.6"/>
    <x v="13"/>
    <n v="55.378050999999999"/>
    <n v="-3.4359730000000002"/>
  </r>
  <r>
    <n v="1575"/>
    <x v="209"/>
    <x v="3"/>
    <s v="Edward Lampert"/>
    <n v="60"/>
    <x v="3"/>
    <x v="1"/>
    <s v="Miami Beach"/>
    <s v="Sears"/>
    <x v="3"/>
    <s v="United States"/>
    <s v="ESL Investments Inc."/>
    <x v="1"/>
    <s v="U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6"/>
    <s v="Somsri Lamsam"/>
    <m/>
    <x v="7"/>
    <x v="23"/>
    <s v="Bangkok"/>
    <s v="Diversified"/>
    <x v="6"/>
    <s v="Thailand"/>
    <m/>
    <x v="0"/>
    <s v="N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575"/>
    <x v="209"/>
    <x v="7"/>
    <s v="James Leprino"/>
    <n v="85"/>
    <x v="4"/>
    <x v="1"/>
    <s v="Indian Hills"/>
    <s v="Cheese"/>
    <x v="7"/>
    <s v="United States"/>
    <s v="Leprino Foods"/>
    <x v="0"/>
    <s v="D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11"/>
    <s v="David Lichtenstein"/>
    <n v="61"/>
    <x v="7"/>
    <x v="1"/>
    <s v="Monsey"/>
    <s v="Real estate"/>
    <x v="11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11"/>
    <s v="Lin Dingqiang &amp; family"/>
    <n v="56"/>
    <x v="7"/>
    <x v="5"/>
    <s v="Beijing"/>
    <s v="Real estate"/>
    <x v="11"/>
    <s v="Hong Kong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7"/>
    <s v="Sarah MacMillan"/>
    <n v="69"/>
    <x v="7"/>
    <x v="1"/>
    <s v="Los Angeles"/>
    <s v="Cargill"/>
    <x v="7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5"/>
    <s v="Strive Masiyiwa"/>
    <n v="62"/>
    <x v="7"/>
    <x v="13"/>
    <s v="London"/>
    <s v="Telecom"/>
    <x v="5"/>
    <s v="Zimbabwe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575"/>
    <x v="209"/>
    <x v="0"/>
    <s v="Robert Miller"/>
    <n v="89"/>
    <x v="7"/>
    <x v="10"/>
    <s v="Hong Kong"/>
    <s v="Retail"/>
    <x v="0"/>
    <s v="United Kingdom"/>
    <m/>
    <x v="1"/>
    <s v="D"/>
    <x v="0"/>
    <m/>
    <m/>
    <m/>
    <m/>
    <x v="10"/>
    <m/>
    <m/>
    <m/>
    <m/>
    <x v="10"/>
    <m/>
    <m/>
  </r>
  <r>
    <n v="1575"/>
    <x v="209"/>
    <x v="2"/>
    <s v="Simon Nixon"/>
    <n v="55"/>
    <x v="7"/>
    <x v="13"/>
    <s v="St. Brelade, Jersey"/>
    <s v="Price comparison website"/>
    <x v="2"/>
    <s v="United Kingdom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575"/>
    <x v="209"/>
    <x v="7"/>
    <s v="Kentaro Ogawa"/>
    <n v="74"/>
    <x v="7"/>
    <x v="12"/>
    <s v="Tokyo"/>
    <s v="Restaurants"/>
    <x v="7"/>
    <s v="Japan"/>
    <m/>
    <x v="1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575"/>
    <x v="209"/>
    <x v="10"/>
    <s v="Ajay Parekh"/>
    <n v="65"/>
    <x v="7"/>
    <x v="3"/>
    <s v="Mumbai"/>
    <s v="Adhesives"/>
    <x v="10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575"/>
    <x v="209"/>
    <x v="10"/>
    <s v="Narendrakumar Parekh"/>
    <n v="84"/>
    <x v="7"/>
    <x v="3"/>
    <s v="Mumbai"/>
    <s v="Adhesives"/>
    <x v="10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575"/>
    <x v="209"/>
    <x v="3"/>
    <s v="Jennifer Pritzker"/>
    <n v="72"/>
    <x v="0"/>
    <x v="1"/>
    <s v="Chicago"/>
    <s v="Hotels, investments"/>
    <x v="3"/>
    <s v="United States"/>
    <s v="Tawani Enterprises"/>
    <x v="0"/>
    <s v="D"/>
    <x v="1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0"/>
    <s v="G. Rajendran"/>
    <n v="80"/>
    <x v="7"/>
    <x v="3"/>
    <s v="Chennai"/>
    <s v="Jewellery"/>
    <x v="0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575"/>
    <x v="209"/>
    <x v="10"/>
    <s v="Ren Jianhua"/>
    <n v="66"/>
    <x v="7"/>
    <x v="5"/>
    <s v="Hangzhou"/>
    <s v="Kitchen appliance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3"/>
    <s v="Larry Robbins"/>
    <n v="53"/>
    <x v="1"/>
    <x v="1"/>
    <s v="Alpine"/>
    <s v="Hedge funds"/>
    <x v="3"/>
    <s v="United States"/>
    <s v="Glenview Capital Management"/>
    <x v="1"/>
    <s v="E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16"/>
    <s v="Dwight Schar"/>
    <n v="81"/>
    <x v="7"/>
    <x v="1"/>
    <s v="Palm Beach"/>
    <s v="Homebuilding, NFL team"/>
    <x v="16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13"/>
    <s v="Shao Jianxiong"/>
    <m/>
    <x v="7"/>
    <x v="5"/>
    <s v="Hangzhou"/>
    <s v="Photovoltaics"/>
    <x v="13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10"/>
    <s v="Qinxiang Shao"/>
    <n v="68"/>
    <x v="7"/>
    <x v="5"/>
    <s v="Hangzhou"/>
    <s v="Diversified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2"/>
    <s v="Hua Shen"/>
    <n v="60"/>
    <x v="7"/>
    <x v="5"/>
    <s v="Jiaxing"/>
    <s v="Semiconductors"/>
    <x v="2"/>
    <s v="United States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10"/>
    <s v="Shi Wen-long"/>
    <n v="95"/>
    <x v="7"/>
    <x v="35"/>
    <s v="Tainan"/>
    <s v="Plastics"/>
    <x v="10"/>
    <s v="Taiwan"/>
    <m/>
    <x v="1"/>
    <s v="D"/>
    <x v="0"/>
    <m/>
    <m/>
    <m/>
    <m/>
    <x v="10"/>
    <m/>
    <m/>
    <m/>
    <m/>
    <x v="10"/>
    <m/>
    <m/>
  </r>
  <r>
    <n v="1575"/>
    <x v="209"/>
    <x v="3"/>
    <s v="Peter Sondakh"/>
    <n v="73"/>
    <x v="7"/>
    <x v="15"/>
    <s v="Surabaya"/>
    <s v="Investments"/>
    <x v="3"/>
    <s v="Indonesia"/>
    <m/>
    <x v="1"/>
    <s v="D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1575"/>
    <x v="209"/>
    <x v="7"/>
    <s v="Lucy Stitzer"/>
    <n v="63"/>
    <x v="7"/>
    <x v="1"/>
    <s v="Greenwich"/>
    <s v="Cargill"/>
    <x v="7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6"/>
    <s v="Elizabeth Sy"/>
    <n v="70"/>
    <x v="7"/>
    <x v="34"/>
    <s v="Manila"/>
    <s v="Diversified"/>
    <x v="6"/>
    <s v="Philippines"/>
    <m/>
    <x v="0"/>
    <s v="D"/>
    <x v="1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1575"/>
    <x v="209"/>
    <x v="10"/>
    <s v="Hermanto Tanoko"/>
    <n v="60"/>
    <x v="7"/>
    <x v="15"/>
    <s v="Surabaya"/>
    <s v="Paints"/>
    <x v="10"/>
    <s v="Indonesia"/>
    <m/>
    <x v="0"/>
    <s v="Split Family Fortune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1575"/>
    <x v="209"/>
    <x v="16"/>
    <s v="Mehmet Sinan Tara"/>
    <n v="64"/>
    <x v="7"/>
    <x v="47"/>
    <s v="Istanbul"/>
    <s v="Construction"/>
    <x v="16"/>
    <s v="Turkey"/>
    <m/>
    <x v="0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575"/>
    <x v="209"/>
    <x v="0"/>
    <s v="Masateru Uno &amp; family"/>
    <n v="76"/>
    <x v="7"/>
    <x v="12"/>
    <s v="Fukuoka"/>
    <s v="Drugstores"/>
    <x v="0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575"/>
    <x v="209"/>
    <x v="13"/>
    <s v="Vardis Vardinoyannis &amp; family"/>
    <n v="90"/>
    <x v="7"/>
    <x v="46"/>
    <s v="Athens"/>
    <s v="Oil and gas"/>
    <x v="13"/>
    <s v="Greece"/>
    <m/>
    <x v="1"/>
    <s v="U"/>
    <x v="0"/>
    <m/>
    <n v="101.87"/>
    <n v="0.2"/>
    <s v="$209,852,761,469 "/>
    <x v="39"/>
    <n v="99.6"/>
    <n v="81.3"/>
    <n v="26.2"/>
    <n v="51.9"/>
    <x v="41"/>
    <n v="39.074207999999999"/>
    <n v="21.824311999999999"/>
  </r>
  <r>
    <n v="1575"/>
    <x v="209"/>
    <x v="11"/>
    <s v="Jitendra Virwani"/>
    <n v="57"/>
    <x v="7"/>
    <x v="3"/>
    <s v="Bangalore"/>
    <s v="Real estate"/>
    <x v="11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575"/>
    <x v="209"/>
    <x v="11"/>
    <s v="Wang Chaobin"/>
    <n v="67"/>
    <x v="7"/>
    <x v="5"/>
    <s v="Zhengzhou"/>
    <s v="Real estate"/>
    <x v="11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0"/>
    <s v="Wang Ren-sheng"/>
    <n v="91"/>
    <x v="7"/>
    <x v="5"/>
    <s v="Zhengzhou"/>
    <s v="Retail"/>
    <x v="0"/>
    <s v="Taiwan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7"/>
    <s v="Charlotte Colket Weber"/>
    <n v="80"/>
    <x v="4"/>
    <x v="1"/>
    <s v="Hobe Sound"/>
    <s v="Campbell Soup"/>
    <x v="7"/>
    <s v="United States"/>
    <s v="Campbell Soup"/>
    <x v="0"/>
    <s v="U"/>
    <x v="1"/>
    <s v="Director"/>
    <n v="117.24"/>
    <n v="7.5"/>
    <s v="$21,427,700,000,000 "/>
    <x v="1"/>
    <n v="101.8"/>
    <n v="78.5"/>
    <n v="9.6"/>
    <n v="36.6"/>
    <x v="1"/>
    <n v="37.090240000000001"/>
    <n v="-95.712890999999999"/>
  </r>
  <r>
    <n v="1575"/>
    <x v="209"/>
    <x v="14"/>
    <s v="Xie Juhua &amp; family"/>
    <n v="72"/>
    <x v="7"/>
    <x v="5"/>
    <s v="Nanjing"/>
    <s v="Pharmaceuticals"/>
    <x v="14"/>
    <s v="China"/>
    <m/>
    <x v="0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10"/>
    <s v="Chuanhua Xu &amp; family"/>
    <n v="88"/>
    <x v="4"/>
    <x v="5"/>
    <s v="Hangzhou"/>
    <s v="Chemicals, logistics"/>
    <x v="10"/>
    <s v="China"/>
    <s v="Transfar Group"/>
    <x v="1"/>
    <s v="D"/>
    <x v="0"/>
    <s v="Founder"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3"/>
    <s v="Gavril Yushvaev &amp; family"/>
    <n v="65"/>
    <x v="7"/>
    <x v="27"/>
    <m/>
    <s v="Precious metals, real estate"/>
    <x v="3"/>
    <s v="Russia"/>
    <m/>
    <x v="1"/>
    <s v="U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1575"/>
    <x v="209"/>
    <x v="6"/>
    <s v="Zhang Hongwei"/>
    <n v="68"/>
    <x v="7"/>
    <x v="5"/>
    <s v="Beijing"/>
    <s v="Oil, banking"/>
    <x v="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575"/>
    <x v="209"/>
    <x v="10"/>
    <s v="Anita Zucker"/>
    <n v="71"/>
    <x v="7"/>
    <x v="1"/>
    <s v="Charleston"/>
    <s v="Chemicals"/>
    <x v="10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2"/>
    <s v="Cameron Adams"/>
    <n v="43"/>
    <x v="7"/>
    <x v="14"/>
    <s v="Sydney"/>
    <s v="Software"/>
    <x v="2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647"/>
    <x v="210"/>
    <x v="0"/>
    <s v="Will Adderley"/>
    <n v="51"/>
    <x v="7"/>
    <x v="13"/>
    <m/>
    <s v="Home furnishings"/>
    <x v="0"/>
    <s v="United Kingdom"/>
    <m/>
    <x v="0"/>
    <s v="Split Family Fortun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647"/>
    <x v="210"/>
    <x v="6"/>
    <s v="Faisal Bin Qassim Al Thani"/>
    <n v="75"/>
    <x v="7"/>
    <x v="68"/>
    <s v="Doha"/>
    <s v="Hotels, diversified"/>
    <x v="6"/>
    <s v="Qatar"/>
    <m/>
    <x v="1"/>
    <s v="D"/>
    <x v="0"/>
    <m/>
    <n v="115.38"/>
    <n v="-0.7"/>
    <s v="$183,466,208,791 "/>
    <x v="54"/>
    <n v="103.8"/>
    <n v="80.099999999999994"/>
    <n v="14.7"/>
    <n v="11.3"/>
    <x v="58"/>
    <n v="25.354825999999999"/>
    <n v="51.183883999999999"/>
  </r>
  <r>
    <n v="1647"/>
    <x v="210"/>
    <x v="17"/>
    <s v="Leslie Alexander"/>
    <n v="79"/>
    <x v="7"/>
    <x v="1"/>
    <s v="Houston"/>
    <s v="Sports team"/>
    <x v="17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11"/>
    <s v="Masaaki Arai"/>
    <n v="57"/>
    <x v="7"/>
    <x v="12"/>
    <s v="Tokyo"/>
    <s v="Home sales"/>
    <x v="11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647"/>
    <x v="210"/>
    <x v="0"/>
    <s v="Sabrina Benetton"/>
    <n v="49"/>
    <x v="7"/>
    <x v="28"/>
    <s v="Treviso"/>
    <s v="Fashion retail, investments"/>
    <x v="0"/>
    <s v="Italy"/>
    <m/>
    <x v="0"/>
    <s v="U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1647"/>
    <x v="210"/>
    <x v="2"/>
    <s v="Sanjeev Bikhchandani"/>
    <n v="59"/>
    <x v="7"/>
    <x v="3"/>
    <s v="Delhi"/>
    <s v="Internet"/>
    <x v="2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647"/>
    <x v="210"/>
    <x v="3"/>
    <s v="O. Francis Biondi"/>
    <n v="58"/>
    <x v="7"/>
    <x v="1"/>
    <s v="New York"/>
    <s v="Hedge funds"/>
    <x v="3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13"/>
    <s v="Alejandro Bulgheroni"/>
    <n v="78"/>
    <x v="7"/>
    <x v="69"/>
    <s v="Manantiales"/>
    <s v="Oil &amp; gas"/>
    <x v="13"/>
    <s v="Argentina"/>
    <m/>
    <x v="0"/>
    <s v="D"/>
    <x v="0"/>
    <m/>
    <n v="202.92"/>
    <n v="7.9"/>
    <s v="$56,045,912,952 "/>
    <x v="55"/>
    <n v="108.5"/>
    <n v="77.8"/>
    <n v="20.100000000000001"/>
    <n v="41.8"/>
    <x v="59"/>
    <n v="-32.522779"/>
    <n v="-55.765835000000003"/>
  </r>
  <r>
    <n v="1647"/>
    <x v="210"/>
    <x v="7"/>
    <s v="R.G. Chandramogan"/>
    <n v="74"/>
    <x v="7"/>
    <x v="3"/>
    <s v="Chennai"/>
    <s v="Dairy"/>
    <x v="7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647"/>
    <x v="210"/>
    <x v="6"/>
    <s v="Binod Chaudhary"/>
    <n v="67"/>
    <x v="7"/>
    <x v="70"/>
    <s v="Kathmandu"/>
    <s v="Diversified"/>
    <x v="6"/>
    <s v="Nepal"/>
    <m/>
    <x v="0"/>
    <s v="U"/>
    <x v="0"/>
    <m/>
    <n v="188.73"/>
    <n v="5.6"/>
    <s v="$30,641,380,604 "/>
    <x v="56"/>
    <n v="142.1"/>
    <n v="70.5"/>
    <n v="20.7"/>
    <n v="41.8"/>
    <x v="60"/>
    <n v="28.394856999999998"/>
    <n v="84.124008000000003"/>
  </r>
  <r>
    <n v="1647"/>
    <x v="210"/>
    <x v="2"/>
    <s v="Parker Conrad"/>
    <n v="42"/>
    <x v="7"/>
    <x v="1"/>
    <s v="San Francisco"/>
    <s v="Software"/>
    <x v="2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2"/>
    <s v="Tim Cook"/>
    <n v="62"/>
    <x v="3"/>
    <x v="1"/>
    <s v="Cupertino"/>
    <s v="Apple"/>
    <x v="2"/>
    <s v="United States"/>
    <s v="Apple"/>
    <x v="1"/>
    <s v="D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3"/>
    <s v="Mark Coombs"/>
    <n v="62"/>
    <x v="7"/>
    <x v="13"/>
    <s v="London"/>
    <s v="Finance"/>
    <x v="3"/>
    <s v="United Kingdom"/>
    <m/>
    <x v="1"/>
    <s v="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647"/>
    <x v="210"/>
    <x v="4"/>
    <s v="John de Mol"/>
    <n v="68"/>
    <x v="7"/>
    <x v="41"/>
    <s v="Blaricum"/>
    <s v="TV programs"/>
    <x v="4"/>
    <s v="Netherlands"/>
    <m/>
    <x v="1"/>
    <s v="E"/>
    <x v="0"/>
    <m/>
    <n v="115.91"/>
    <n v="2.6"/>
    <s v="$909,070,395,161 "/>
    <x v="36"/>
    <n v="104.2"/>
    <n v="81.8"/>
    <n v="23"/>
    <n v="41.2"/>
    <x v="38"/>
    <n v="52.132632999999998"/>
    <n v="5.2912660000000002"/>
  </r>
  <r>
    <n v="1647"/>
    <x v="210"/>
    <x v="16"/>
    <s v="D. Leopoldo Del Pino"/>
    <n v="60"/>
    <x v="7"/>
    <x v="4"/>
    <s v="Madrid"/>
    <s v="Construction"/>
    <x v="16"/>
    <s v="Spain"/>
    <m/>
    <x v="0"/>
    <s v="D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1647"/>
    <x v="210"/>
    <x v="2"/>
    <s v="Diao Zhizhong"/>
    <n v="59"/>
    <x v="7"/>
    <x v="5"/>
    <s v="Beijing"/>
    <s v="Software"/>
    <x v="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14"/>
    <s v="Robert Duggan"/>
    <n v="78"/>
    <x v="7"/>
    <x v="1"/>
    <s v="Clearwater"/>
    <s v="Pharmaceuticals"/>
    <x v="1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17"/>
    <s v="James France"/>
    <n v="78"/>
    <x v="7"/>
    <x v="1"/>
    <s v="Daytona Beach"/>
    <s v="Nascar, racing"/>
    <x v="17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14"/>
    <s v="Phillip Frost"/>
    <n v="86"/>
    <x v="7"/>
    <x v="1"/>
    <s v="Miami Beach"/>
    <s v="Pharmaceuticals"/>
    <x v="1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3"/>
    <s v="Jayme Garfinkel &amp; family"/>
    <n v="77"/>
    <x v="7"/>
    <x v="30"/>
    <s v="Sao Paulo"/>
    <s v="Insurance"/>
    <x v="3"/>
    <s v="Brazil"/>
    <m/>
    <x v="0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647"/>
    <x v="210"/>
    <x v="7"/>
    <s v="Christopher Goldsbury"/>
    <n v="80"/>
    <x v="4"/>
    <x v="1"/>
    <s v="San Antonio"/>
    <s v="Salsa"/>
    <x v="7"/>
    <s v="United States"/>
    <s v="Silver Ventures"/>
    <x v="0"/>
    <s v="E"/>
    <x v="0"/>
    <s v="Chief Executive Officer"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14"/>
    <s v="Yusuf Hamied"/>
    <n v="86"/>
    <x v="7"/>
    <x v="3"/>
    <s v="Mumbai"/>
    <s v="Pharmaceuticals"/>
    <x v="14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647"/>
    <x v="210"/>
    <x v="3"/>
    <s v="Brian Higgins"/>
    <n v="58"/>
    <x v="1"/>
    <x v="1"/>
    <s v="New York"/>
    <s v="Hedge funds"/>
    <x v="3"/>
    <s v="United States"/>
    <s v="King Street Capital Management"/>
    <x v="1"/>
    <s v="E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11"/>
    <s v="Wei Huang"/>
    <n v="63"/>
    <x v="7"/>
    <x v="5"/>
    <s v="Hangzhou"/>
    <s v="Real estate"/>
    <x v="11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1"/>
    <s v="Yintai Jiang &amp; family"/>
    <n v="72"/>
    <x v="7"/>
    <x v="5"/>
    <s v="Shanghai"/>
    <s v="Auto parts"/>
    <x v="1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14"/>
    <s v="Lei Jin"/>
    <n v="57"/>
    <x v="7"/>
    <x v="5"/>
    <s v="Changchun"/>
    <s v="Pharmaceutical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14"/>
    <s v="Jin Lei &amp; family"/>
    <n v="68"/>
    <x v="7"/>
    <x v="5"/>
    <s v="Beijing"/>
    <s v="Medical equipment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2"/>
    <s v="Valentin Kipyatkov"/>
    <n v="46"/>
    <x v="7"/>
    <x v="63"/>
    <s v="Peyia"/>
    <s v="Software"/>
    <x v="2"/>
    <s v="Cyprus"/>
    <m/>
    <x v="1"/>
    <s v="D"/>
    <x v="0"/>
    <m/>
    <n v="102.51"/>
    <n v="0.3"/>
    <s v="$24,564,647,935 "/>
    <x v="51"/>
    <n v="99.3"/>
    <n v="80.8"/>
    <n v="24.5"/>
    <n v="22.4"/>
    <x v="55"/>
    <n v="35.126412999999999"/>
    <n v="33.429859"/>
  </r>
  <r>
    <n v="1647"/>
    <x v="210"/>
    <x v="6"/>
    <s v="Koo Kwang-mo"/>
    <n v="45"/>
    <x v="7"/>
    <x v="32"/>
    <s v="Seoul"/>
    <s v="LG"/>
    <x v="6"/>
    <s v="South Korea"/>
    <m/>
    <x v="0"/>
    <s v="U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1647"/>
    <x v="210"/>
    <x v="2"/>
    <s v="George Kurtz"/>
    <n v="52"/>
    <x v="7"/>
    <x v="1"/>
    <s v="Paradise Valley"/>
    <s v="Security software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17"/>
    <s v="Joe Lacob"/>
    <n v="67"/>
    <x v="7"/>
    <x v="1"/>
    <s v="Atherton"/>
    <s v="Golden State Warriors"/>
    <x v="1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2"/>
    <s v="Joe Lau"/>
    <n v="33"/>
    <x v="7"/>
    <x v="1"/>
    <s v="Stanford"/>
    <s v="Blockchain, technology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6"/>
    <s v="Louise Lindh"/>
    <n v="43"/>
    <x v="7"/>
    <x v="21"/>
    <s v="Stockholm"/>
    <s v="Investments"/>
    <x v="6"/>
    <s v="Sweden"/>
    <m/>
    <x v="0"/>
    <s v="U"/>
    <x v="1"/>
    <m/>
    <n v="110.51"/>
    <n v="1.8"/>
    <s v="$530,832,908,738 "/>
    <x v="20"/>
    <n v="126.6"/>
    <n v="82.5"/>
    <n v="27.9"/>
    <n v="49.1"/>
    <x v="21"/>
    <n v="60.128160999999999"/>
    <n v="18.643501000000001"/>
  </r>
  <r>
    <n v="1647"/>
    <x v="210"/>
    <x v="12"/>
    <s v="Luo Yangyong &amp; family"/>
    <n v="47"/>
    <x v="7"/>
    <x v="5"/>
    <s v="Panzhihua"/>
    <s v="Mining"/>
    <x v="1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4"/>
    <s v="Joao Roberto Marinho"/>
    <n v="69"/>
    <x v="7"/>
    <x v="30"/>
    <s v="Rio de Janeiro"/>
    <s v="Media"/>
    <x v="4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647"/>
    <x v="210"/>
    <x v="4"/>
    <s v="Jose Roberto Marinho"/>
    <n v="67"/>
    <x v="7"/>
    <x v="30"/>
    <s v="Rio de Janeiro"/>
    <s v="Media"/>
    <x v="4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647"/>
    <x v="210"/>
    <x v="4"/>
    <s v="Roberto Irineu Marinho"/>
    <n v="75"/>
    <x v="7"/>
    <x v="30"/>
    <s v="Rio de Janeiro"/>
    <s v="Media"/>
    <x v="4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647"/>
    <x v="210"/>
    <x v="14"/>
    <s v="Gary Michelson"/>
    <n v="74"/>
    <x v="7"/>
    <x v="1"/>
    <s v="Los Angeles"/>
    <s v="Medical patents"/>
    <x v="14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2"/>
    <s v="Robert G. Miller"/>
    <n v="77"/>
    <x v="0"/>
    <x v="6"/>
    <s v="Montreal"/>
    <s v="Electronics components"/>
    <x v="2"/>
    <s v="Canada"/>
    <s v="Future Electronics"/>
    <x v="1"/>
    <s v="E"/>
    <x v="0"/>
    <s v="Founder"/>
    <n v="116.76"/>
    <n v="1.9"/>
    <s v="$1,736,425,629,520 "/>
    <x v="6"/>
    <n v="100.9"/>
    <n v="81.900000000000006"/>
    <n v="12.8"/>
    <n v="24.5"/>
    <x v="6"/>
    <n v="56.130366000000002"/>
    <n v="-106.346771"/>
  </r>
  <r>
    <n v="1647"/>
    <x v="210"/>
    <x v="11"/>
    <s v="David Mindus"/>
    <n v="51"/>
    <x v="7"/>
    <x v="21"/>
    <s v="Stockholm"/>
    <s v="Real estate"/>
    <x v="11"/>
    <s v="Sweden"/>
    <m/>
    <x v="1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1647"/>
    <x v="210"/>
    <x v="2"/>
    <s v="Adriaan Mol"/>
    <n v="39"/>
    <x v="7"/>
    <x v="41"/>
    <s v="Amsterdam"/>
    <s v="Fintech"/>
    <x v="2"/>
    <s v="Netherlands"/>
    <m/>
    <x v="1"/>
    <s v="N"/>
    <x v="0"/>
    <m/>
    <n v="115.91"/>
    <n v="2.6"/>
    <s v="$909,070,395,161 "/>
    <x v="36"/>
    <n v="104.2"/>
    <n v="81.8"/>
    <n v="23"/>
    <n v="41.2"/>
    <x v="38"/>
    <n v="52.132632999999998"/>
    <n v="5.2912660000000002"/>
  </r>
  <r>
    <n v="1647"/>
    <x v="210"/>
    <x v="11"/>
    <s v="Mofatraj Munot"/>
    <n v="78"/>
    <x v="7"/>
    <x v="3"/>
    <s v="Mumbai"/>
    <s v="Real estate"/>
    <x v="11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647"/>
    <x v="210"/>
    <x v="3"/>
    <s v="Ezra Nahmad"/>
    <n v="77"/>
    <x v="7"/>
    <x v="19"/>
    <s v="Monte Carlo"/>
    <s v="Art"/>
    <x v="3"/>
    <s v="Monaco"/>
    <m/>
    <x v="0"/>
    <s v="U"/>
    <x v="0"/>
    <s v="Investor"/>
    <m/>
    <m/>
    <s v="$7,184,844,193 "/>
    <x v="10"/>
    <m/>
    <m/>
    <m/>
    <m/>
    <x v="19"/>
    <n v="43.738417599999998"/>
    <n v="7.4246157999999998"/>
  </r>
  <r>
    <n v="1647"/>
    <x v="210"/>
    <x v="10"/>
    <s v="Satyanarayan Nuwal"/>
    <n v="70"/>
    <x v="7"/>
    <x v="3"/>
    <s v="Nagpur"/>
    <s v="Industrial explosives"/>
    <x v="10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647"/>
    <x v="210"/>
    <x v="7"/>
    <s v="Maike Oberwelland-Height"/>
    <m/>
    <x v="7"/>
    <x v="22"/>
    <m/>
    <s v="Candy"/>
    <x v="7"/>
    <s v="Germany"/>
    <m/>
    <x v="0"/>
    <s v="Split Family Fortune"/>
    <x v="1"/>
    <m/>
    <m/>
    <m/>
    <m/>
    <x v="10"/>
    <m/>
    <m/>
    <m/>
    <m/>
    <x v="10"/>
    <m/>
    <m/>
  </r>
  <r>
    <n v="1647"/>
    <x v="210"/>
    <x v="6"/>
    <s v="Nihat Ozdemir"/>
    <n v="72"/>
    <x v="7"/>
    <x v="47"/>
    <s v="Ankara"/>
    <s v="Diversified"/>
    <x v="6"/>
    <s v="Turkey"/>
    <m/>
    <x v="1"/>
    <s v="D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647"/>
    <x v="210"/>
    <x v="2"/>
    <s v="Benjamin Zhengmin Pan &amp; family"/>
    <n v="53"/>
    <x v="7"/>
    <x v="5"/>
    <s v="Shenzhen"/>
    <s v="Electronic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4"/>
    <s v="Pierre Karl PÃ©ladeau"/>
    <n v="61"/>
    <x v="7"/>
    <x v="6"/>
    <s v="Montreal"/>
    <s v="Media"/>
    <x v="4"/>
    <s v="Canada"/>
    <m/>
    <x v="0"/>
    <s v="E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647"/>
    <x v="210"/>
    <x v="3"/>
    <s v="Ronald Perelman"/>
    <n v="80"/>
    <x v="7"/>
    <x v="1"/>
    <s v="New York"/>
    <s v="Leveraged buyouts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2"/>
    <s v="Olivier Pomel"/>
    <n v="46"/>
    <x v="5"/>
    <x v="1"/>
    <s v="New York"/>
    <s v="Cloud computing"/>
    <x v="2"/>
    <s v="France"/>
    <s v="Datadog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4"/>
    <s v="Krit Ratanarak"/>
    <n v="76"/>
    <x v="7"/>
    <x v="23"/>
    <s v="Bangkok"/>
    <s v="Media, real estate"/>
    <x v="4"/>
    <s v="Thailand"/>
    <m/>
    <x v="0"/>
    <s v="E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647"/>
    <x v="210"/>
    <x v="10"/>
    <s v="Vinod Saraf"/>
    <n v="70"/>
    <x v="7"/>
    <x v="3"/>
    <s v="Mumbai"/>
    <s v="Chemicals"/>
    <x v="1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647"/>
    <x v="210"/>
    <x v="2"/>
    <s v="Karin Schick"/>
    <m/>
    <x v="7"/>
    <x v="7"/>
    <s v="Gaildorf"/>
    <s v="Information technology"/>
    <x v="2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647"/>
    <x v="210"/>
    <x v="12"/>
    <s v="Anatoly Sedykh"/>
    <n v="58"/>
    <x v="7"/>
    <x v="17"/>
    <s v="Moscow"/>
    <s v="Steel pipes"/>
    <x v="12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647"/>
    <x v="210"/>
    <x v="7"/>
    <s v="Genhuo Shao"/>
    <n v="57"/>
    <x v="7"/>
    <x v="5"/>
    <s v="Beijing"/>
    <s v="Agribusiness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13"/>
    <s v="Shen Xiqiang &amp; family"/>
    <n v="75"/>
    <x v="7"/>
    <x v="5"/>
    <s v="Yixing"/>
    <s v="Chemical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2"/>
    <s v="S.D. Shibulal"/>
    <n v="68"/>
    <x v="7"/>
    <x v="3"/>
    <s v="Bangalore"/>
    <s v="Software services"/>
    <x v="2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647"/>
    <x v="210"/>
    <x v="0"/>
    <s v="Suh Kyung-bae"/>
    <n v="60"/>
    <x v="3"/>
    <x v="32"/>
    <s v="Seoul"/>
    <s v="Cosmetics"/>
    <x v="0"/>
    <s v="South Korea"/>
    <s v="Amorepacific Corp. (New)"/>
    <x v="0"/>
    <s v="D"/>
    <x v="0"/>
    <s v="Chairman"/>
    <n v="115.16"/>
    <n v="0.4"/>
    <s v="$2,029,000,000,000 "/>
    <x v="30"/>
    <n v="98.1"/>
    <n v="82.6"/>
    <n v="15.6"/>
    <n v="33.200000000000003"/>
    <x v="31"/>
    <n v="35.907756999999997"/>
    <n v="127.76692199999999"/>
  </r>
  <r>
    <n v="1647"/>
    <x v="210"/>
    <x v="7"/>
    <s v="Bambang Sutantio"/>
    <n v="64"/>
    <x v="7"/>
    <x v="15"/>
    <m/>
    <s v="Dairy &amp; consumer products"/>
    <x v="7"/>
    <s v="Indonesia"/>
    <m/>
    <x v="1"/>
    <s v="U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1647"/>
    <x v="210"/>
    <x v="10"/>
    <s v="Sze Man Bok"/>
    <n v="73"/>
    <x v="7"/>
    <x v="5"/>
    <s v="Jinjiang"/>
    <s v="Hygiene product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8"/>
    <s v="Jim Thompson"/>
    <n v="83"/>
    <x v="7"/>
    <x v="10"/>
    <s v="Hong Kong"/>
    <s v="Logistics"/>
    <x v="8"/>
    <s v="United States"/>
    <m/>
    <x v="1"/>
    <s v="U"/>
    <x v="0"/>
    <m/>
    <m/>
    <m/>
    <m/>
    <x v="10"/>
    <m/>
    <m/>
    <m/>
    <m/>
    <x v="10"/>
    <m/>
    <m/>
  </r>
  <r>
    <n v="1647"/>
    <x v="210"/>
    <x v="10"/>
    <s v="Tran Dinh Long"/>
    <n v="62"/>
    <x v="7"/>
    <x v="53"/>
    <s v="Hanoi"/>
    <s v="Steel"/>
    <x v="10"/>
    <s v="Vietnam"/>
    <m/>
    <x v="1"/>
    <s v="D"/>
    <x v="0"/>
    <m/>
    <n v="163.52000000000001"/>
    <n v="2.8"/>
    <s v="$261,921,244,843 "/>
    <x v="45"/>
    <n v="110.6"/>
    <n v="75.3"/>
    <n v="19.100000000000001"/>
    <n v="37.6"/>
    <x v="48"/>
    <n v="14.058324000000001"/>
    <n v="108.277199"/>
  </r>
  <r>
    <n v="1647"/>
    <x v="210"/>
    <x v="2"/>
    <s v="Alan Trefler"/>
    <n v="67"/>
    <x v="7"/>
    <x v="1"/>
    <s v="Brookline"/>
    <s v="Software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3"/>
    <s v="Riaz Valani"/>
    <n v="46"/>
    <x v="7"/>
    <x v="1"/>
    <s v="Malibu"/>
    <s v="E-cigarettes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2"/>
    <s v="Pieter van der Does"/>
    <n v="53"/>
    <x v="7"/>
    <x v="41"/>
    <s v="Amsterdam"/>
    <s v="Payments software"/>
    <x v="2"/>
    <s v="Netherlands"/>
    <m/>
    <x v="1"/>
    <s v="D"/>
    <x v="0"/>
    <m/>
    <n v="115.91"/>
    <n v="2.6"/>
    <s v="$909,070,395,161 "/>
    <x v="36"/>
    <n v="104.2"/>
    <n v="81.8"/>
    <n v="23"/>
    <n v="41.2"/>
    <x v="38"/>
    <n v="52.132632999999998"/>
    <n v="5.2912660000000002"/>
  </r>
  <r>
    <n v="1647"/>
    <x v="210"/>
    <x v="10"/>
    <s v="Martin Viessmann"/>
    <n v="69"/>
    <x v="7"/>
    <x v="7"/>
    <s v="Allendorf"/>
    <s v="Heating and cooling equipment"/>
    <x v="1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647"/>
    <x v="210"/>
    <x v="2"/>
    <s v="Nikil Viswanathan"/>
    <n v="35"/>
    <x v="7"/>
    <x v="1"/>
    <s v="San Francisco"/>
    <s v="Blockchain technology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4"/>
    <s v="Todd Wagner"/>
    <n v="62"/>
    <x v="7"/>
    <x v="1"/>
    <s v="Dallas"/>
    <s v="Online media"/>
    <x v="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2"/>
    <s v="Evan Williams"/>
    <n v="51"/>
    <x v="1"/>
    <x v="1"/>
    <s v="San Francisco"/>
    <s v="Twitter"/>
    <x v="2"/>
    <s v="United States"/>
    <s v="Twitter"/>
    <x v="1"/>
    <s v="D"/>
    <x v="0"/>
    <s v="Cofounder and Director"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12"/>
    <s v="Kie Chie Wong"/>
    <n v="75"/>
    <x v="7"/>
    <x v="14"/>
    <s v="Sydney"/>
    <s v="Investments"/>
    <x v="12"/>
    <s v="Malaysia"/>
    <m/>
    <x v="0"/>
    <s v="U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647"/>
    <x v="210"/>
    <x v="3"/>
    <s v="Thomas Wu"/>
    <n v="72"/>
    <x v="7"/>
    <x v="35"/>
    <s v="Taipei"/>
    <s v="Finance"/>
    <x v="3"/>
    <s v="Taiwan"/>
    <m/>
    <x v="0"/>
    <s v="D"/>
    <x v="0"/>
    <m/>
    <m/>
    <m/>
    <m/>
    <x v="10"/>
    <m/>
    <m/>
    <m/>
    <m/>
    <x v="10"/>
    <m/>
    <m/>
  </r>
  <r>
    <n v="1647"/>
    <x v="210"/>
    <x v="13"/>
    <s v="Wu Yingming"/>
    <n v="56"/>
    <x v="7"/>
    <x v="5"/>
    <s v="Ningde"/>
    <s v="Batteries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14"/>
    <s v="Amy Wyss"/>
    <n v="52"/>
    <x v="7"/>
    <x v="1"/>
    <s v="Wilson"/>
    <s v="Medical equipment"/>
    <x v="14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11"/>
    <s v="Yan Zhi"/>
    <n v="50"/>
    <x v="7"/>
    <x v="5"/>
    <s v="Wuhan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647"/>
    <x v="210"/>
    <x v="0"/>
    <s v="Yoshiaki Yoshida"/>
    <n v="82"/>
    <x v="7"/>
    <x v="12"/>
    <m/>
    <s v="cosmetics"/>
    <x v="0"/>
    <s v="Japan"/>
    <m/>
    <x v="1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647"/>
    <x v="210"/>
    <x v="10"/>
    <s v="Alan Zekelman"/>
    <n v="60"/>
    <x v="7"/>
    <x v="1"/>
    <s v="Bloomfield Hills"/>
    <s v="Steel"/>
    <x v="10"/>
    <s v="Canada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647"/>
    <x v="210"/>
    <x v="11"/>
    <s v="Zhang Li"/>
    <n v="70"/>
    <x v="7"/>
    <x v="5"/>
    <s v="Guangzhou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17"/>
    <s v="Amy Adams Strunk"/>
    <n v="67"/>
    <x v="3"/>
    <x v="1"/>
    <s v="Nashville"/>
    <s v="Tennessee Titans"/>
    <x v="17"/>
    <s v="United States"/>
    <s v="Tennessee Titans"/>
    <x v="0"/>
    <s v="N"/>
    <x v="1"/>
    <s v="Owner"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3"/>
    <s v="Marc Andreessen"/>
    <n v="51"/>
    <x v="1"/>
    <x v="1"/>
    <s v="Atherton"/>
    <s v="Venture capital investing"/>
    <x v="3"/>
    <s v="United States"/>
    <s v="Andreessen Horowitz"/>
    <x v="1"/>
    <s v="E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12"/>
    <s v="Giovanni Arvedi"/>
    <n v="85"/>
    <x v="7"/>
    <x v="28"/>
    <s v="Cremona"/>
    <s v="Steel"/>
    <x v="12"/>
    <s v="Italy"/>
    <m/>
    <x v="1"/>
    <s v="N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725"/>
    <x v="211"/>
    <x v="11"/>
    <s v="Lesley Bamberger"/>
    <n v="57"/>
    <x v="7"/>
    <x v="41"/>
    <s v="Amsterdam"/>
    <s v="Real estate"/>
    <x v="11"/>
    <s v="Netherlands"/>
    <m/>
    <x v="0"/>
    <s v="U"/>
    <x v="0"/>
    <m/>
    <n v="115.91"/>
    <n v="2.6"/>
    <s v="$909,070,395,161 "/>
    <x v="36"/>
    <n v="104.2"/>
    <n v="81.8"/>
    <n v="23"/>
    <n v="41.2"/>
    <x v="38"/>
    <n v="52.132632999999998"/>
    <n v="5.2912660000000002"/>
  </r>
  <r>
    <n v="1725"/>
    <x v="211"/>
    <x v="4"/>
    <s v="Bang Si-hyuk"/>
    <n v="50"/>
    <x v="7"/>
    <x v="32"/>
    <s v="Seoul"/>
    <s v="Entertainment"/>
    <x v="4"/>
    <s v="South Korea"/>
    <m/>
    <x v="1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1725"/>
    <x v="211"/>
    <x v="3"/>
    <s v="David Booth"/>
    <n v="77"/>
    <x v="0"/>
    <x v="1"/>
    <s v="Austin"/>
    <s v="Mutual funds"/>
    <x v="3"/>
    <s v="United States"/>
    <s v="Dimensional Fund Advisors"/>
    <x v="1"/>
    <s v="E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2"/>
    <s v="Jim Breyer"/>
    <n v="61"/>
    <x v="3"/>
    <x v="1"/>
    <s v="Austin"/>
    <s v="Venture capital"/>
    <x v="2"/>
    <s v="United States"/>
    <s v="Breyer Capital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10"/>
    <s v="Chen Kaichen"/>
    <m/>
    <x v="7"/>
    <x v="5"/>
    <s v="Guangzhou"/>
    <s v="Household 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10"/>
    <s v="Kommer Damen"/>
    <n v="79"/>
    <x v="7"/>
    <x v="41"/>
    <s v="Gorinchem"/>
    <s v="Shipbuilding"/>
    <x v="10"/>
    <s v="Netherlands"/>
    <m/>
    <x v="0"/>
    <s v="D"/>
    <x v="0"/>
    <m/>
    <n v="115.91"/>
    <n v="2.6"/>
    <s v="$909,070,395,161 "/>
    <x v="36"/>
    <n v="104.2"/>
    <n v="81.8"/>
    <n v="23"/>
    <n v="41.2"/>
    <x v="38"/>
    <n v="52.132632999999998"/>
    <n v="5.2912660000000002"/>
  </r>
  <r>
    <n v="1725"/>
    <x v="211"/>
    <x v="7"/>
    <s v="Carl DeSantis"/>
    <n v="83"/>
    <x v="7"/>
    <x v="1"/>
    <s v="Delray Beach"/>
    <s v="Energy drink"/>
    <x v="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3"/>
    <s v="Marek Dospiva"/>
    <n v="53"/>
    <x v="7"/>
    <x v="20"/>
    <s v="Prague"/>
    <s v="Investments"/>
    <x v="3"/>
    <s v="Czech Republic"/>
    <m/>
    <x v="1"/>
    <s v="U"/>
    <x v="0"/>
    <m/>
    <n v="116.48"/>
    <n v="2.8"/>
    <s v="$246,489,245,495 "/>
    <x v="19"/>
    <n v="100.7"/>
    <n v="79"/>
    <n v="14.9"/>
    <n v="46.1"/>
    <x v="20"/>
    <n v="49.817492000000001"/>
    <n v="15.472962000000001"/>
  </r>
  <r>
    <n v="1725"/>
    <x v="211"/>
    <x v="14"/>
    <s v="Keith Dunleavy &amp; family"/>
    <n v="53"/>
    <x v="7"/>
    <x v="1"/>
    <s v="Annapolis"/>
    <s v="Health IT"/>
    <x v="14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3"/>
    <s v="John Elkann"/>
    <n v="47"/>
    <x v="7"/>
    <x v="28"/>
    <s v="Turin"/>
    <s v="FIAT, investments"/>
    <x v="3"/>
    <s v="Italy"/>
    <m/>
    <x v="0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725"/>
    <x v="211"/>
    <x v="1"/>
    <s v="Francois Feuillet &amp; family"/>
    <n v="74"/>
    <x v="7"/>
    <x v="0"/>
    <s v="Paris"/>
    <s v="Motorhomes, RVs"/>
    <x v="1"/>
    <s v="France"/>
    <m/>
    <x v="0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1725"/>
    <x v="211"/>
    <x v="4"/>
    <s v="Yasuhiro Fukushima"/>
    <n v="75"/>
    <x v="7"/>
    <x v="12"/>
    <s v="Tokyo"/>
    <s v="Video games"/>
    <x v="4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725"/>
    <x v="211"/>
    <x v="3"/>
    <s v="Mario Gabelli"/>
    <n v="81"/>
    <x v="7"/>
    <x v="1"/>
    <s v="Greenwich"/>
    <s v="Money management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3"/>
    <s v="Rolf Gerling"/>
    <n v="68"/>
    <x v="7"/>
    <x v="8"/>
    <s v="Zurich"/>
    <s v="Insurance"/>
    <x v="3"/>
    <s v="Germany"/>
    <m/>
    <x v="0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725"/>
    <x v="211"/>
    <x v="11"/>
    <s v="John Goff"/>
    <n v="67"/>
    <x v="7"/>
    <x v="1"/>
    <s v="Fort Worth"/>
    <s v="Real estate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0"/>
    <s v="Alexandre Grendene Bartelle"/>
    <n v="73"/>
    <x v="7"/>
    <x v="30"/>
    <s v="Porto Alegre"/>
    <s v="Shoes"/>
    <x v="0"/>
    <s v="Brazil"/>
    <m/>
    <x v="1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725"/>
    <x v="211"/>
    <x v="0"/>
    <s v="Gerry Harvey"/>
    <n v="83"/>
    <x v="7"/>
    <x v="14"/>
    <s v="Sydney"/>
    <s v="Retail"/>
    <x v="0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725"/>
    <x v="211"/>
    <x v="2"/>
    <s v="He Zhaoxi"/>
    <n v="49"/>
    <x v="7"/>
    <x v="5"/>
    <s v="Shenzhen"/>
    <s v="Software"/>
    <x v="2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11"/>
    <s v="William Heinecke"/>
    <n v="73"/>
    <x v="7"/>
    <x v="23"/>
    <s v="Bangkok"/>
    <s v="Hotels"/>
    <x v="11"/>
    <s v="Thailand"/>
    <m/>
    <x v="1"/>
    <s v="E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725"/>
    <x v="211"/>
    <x v="3"/>
    <s v="Jay Hennick"/>
    <n v="66"/>
    <x v="7"/>
    <x v="6"/>
    <s v="Toronto"/>
    <s v="Real estate finance"/>
    <x v="3"/>
    <s v="Canada"/>
    <m/>
    <x v="1"/>
    <s v="D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725"/>
    <x v="211"/>
    <x v="10"/>
    <s v="Ilkka Herlin"/>
    <n v="64"/>
    <x v="7"/>
    <x v="55"/>
    <s v="Helsinki"/>
    <s v="Elevators, escalators"/>
    <x v="10"/>
    <s v="Finland"/>
    <m/>
    <x v="0"/>
    <s v="U"/>
    <x v="0"/>
    <m/>
    <n v="112.33"/>
    <n v="1"/>
    <s v="$268,761,201,365 "/>
    <x v="1"/>
    <n v="100.2"/>
    <n v="81.7"/>
    <n v="20.8"/>
    <n v="36.6"/>
    <x v="50"/>
    <n v="61.924109999999999"/>
    <n v="25.748151"/>
  </r>
  <r>
    <n v="1725"/>
    <x v="211"/>
    <x v="11"/>
    <s v="Asok Kumar Hiranandani"/>
    <n v="68"/>
    <x v="7"/>
    <x v="25"/>
    <s v="Singapore"/>
    <s v="Real estate"/>
    <x v="11"/>
    <s v="Singapore"/>
    <m/>
    <x v="0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1725"/>
    <x v="211"/>
    <x v="3"/>
    <s v="Hal Jackman"/>
    <n v="90"/>
    <x v="7"/>
    <x v="6"/>
    <s v="Toronto"/>
    <s v="Insurance, investments"/>
    <x v="3"/>
    <s v="Canada"/>
    <m/>
    <x v="1"/>
    <s v="D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725"/>
    <x v="211"/>
    <x v="10"/>
    <s v="Pavan Jain"/>
    <n v="71"/>
    <x v="7"/>
    <x v="3"/>
    <s v="Delhi"/>
    <s v="Chemicals"/>
    <x v="10"/>
    <s v="India"/>
    <m/>
    <x v="0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725"/>
    <x v="211"/>
    <x v="11"/>
    <s v="Keeree Kanjanapas"/>
    <n v="72"/>
    <x v="7"/>
    <x v="23"/>
    <s v="Bangkok"/>
    <s v="Transportation"/>
    <x v="11"/>
    <s v="Thailand"/>
    <m/>
    <x v="1"/>
    <s v="D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725"/>
    <x v="211"/>
    <x v="14"/>
    <s v="Osman Kibar"/>
    <n v="52"/>
    <x v="1"/>
    <x v="1"/>
    <s v="La Jolla"/>
    <s v="Biotech"/>
    <x v="14"/>
    <s v="United States"/>
    <s v="Samumed"/>
    <x v="1"/>
    <s v="D"/>
    <x v="0"/>
    <s v="Founder, CEO"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0"/>
    <s v="Kim Chang-soo"/>
    <n v="62"/>
    <x v="7"/>
    <x v="32"/>
    <s v="Seoul"/>
    <s v="Apparel"/>
    <x v="0"/>
    <s v="South Korea"/>
    <m/>
    <x v="1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1725"/>
    <x v="211"/>
    <x v="4"/>
    <s v="Kim Jung-min"/>
    <n v="21"/>
    <x v="7"/>
    <x v="22"/>
    <m/>
    <s v="Online gaming"/>
    <x v="4"/>
    <s v="South Korea"/>
    <m/>
    <x v="0"/>
    <s v="N"/>
    <x v="1"/>
    <m/>
    <m/>
    <m/>
    <m/>
    <x v="10"/>
    <m/>
    <m/>
    <m/>
    <m/>
    <x v="10"/>
    <m/>
    <m/>
  </r>
  <r>
    <n v="1725"/>
    <x v="211"/>
    <x v="4"/>
    <s v="Kim Jung-youn"/>
    <n v="19"/>
    <x v="7"/>
    <x v="22"/>
    <m/>
    <s v="Online gaming"/>
    <x v="4"/>
    <s v="South Korea"/>
    <m/>
    <x v="0"/>
    <s v="N"/>
    <x v="1"/>
    <m/>
    <m/>
    <m/>
    <m/>
    <x v="10"/>
    <m/>
    <m/>
    <m/>
    <m/>
    <x v="10"/>
    <m/>
    <m/>
  </r>
  <r>
    <n v="1725"/>
    <x v="211"/>
    <x v="0"/>
    <s v="Mustafa Kucuk"/>
    <n v="59"/>
    <x v="7"/>
    <x v="47"/>
    <s v="Istanbul"/>
    <s v="Fashion retail"/>
    <x v="0"/>
    <s v="Turkey"/>
    <m/>
    <x v="1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725"/>
    <x v="211"/>
    <x v="11"/>
    <s v="Christopher Kwok"/>
    <n v="37"/>
    <x v="7"/>
    <x v="10"/>
    <s v="Hong Kong"/>
    <s v="Real estate"/>
    <x v="11"/>
    <s v="Hong Kong"/>
    <m/>
    <x v="0"/>
    <s v="U"/>
    <x v="0"/>
    <m/>
    <m/>
    <m/>
    <m/>
    <x v="10"/>
    <m/>
    <m/>
    <m/>
    <m/>
    <x v="10"/>
    <m/>
    <m/>
  </r>
  <r>
    <n v="1725"/>
    <x v="211"/>
    <x v="11"/>
    <s v="Edward Kwok"/>
    <n v="42"/>
    <x v="7"/>
    <x v="10"/>
    <s v="Hong Kong"/>
    <s v="Real estate"/>
    <x v="11"/>
    <s v="Hong Kong"/>
    <m/>
    <x v="0"/>
    <s v="U"/>
    <x v="0"/>
    <m/>
    <m/>
    <m/>
    <m/>
    <x v="10"/>
    <m/>
    <m/>
    <m/>
    <m/>
    <x v="10"/>
    <m/>
    <m/>
  </r>
  <r>
    <n v="1725"/>
    <x v="211"/>
    <x v="8"/>
    <s v="Lai Jianfa"/>
    <n v="53"/>
    <x v="7"/>
    <x v="5"/>
    <s v="Shanghai"/>
    <s v="Express delivery"/>
    <x v="8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6"/>
    <s v="Lau Cho Kun"/>
    <n v="87"/>
    <x v="7"/>
    <x v="31"/>
    <s v="Tawau, Sabah"/>
    <s v="Palm oil, property"/>
    <x v="6"/>
    <s v="Malaysia"/>
    <m/>
    <x v="0"/>
    <s v="D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1725"/>
    <x v="211"/>
    <x v="2"/>
    <s v="Alexis LÃª-QuÃ´c"/>
    <n v="48"/>
    <x v="5"/>
    <x v="1"/>
    <s v="New York"/>
    <s v="Cloud computing"/>
    <x v="2"/>
    <s v="United States"/>
    <s v="Datadog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14"/>
    <s v="Lei Jufang"/>
    <n v="70"/>
    <x v="7"/>
    <x v="5"/>
    <s v="Lanzhou"/>
    <s v="Pharmaceuticals"/>
    <x v="14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14"/>
    <s v="James Leininger"/>
    <n v="78"/>
    <x v="7"/>
    <x v="1"/>
    <s v="San Antonio"/>
    <s v="Medical products"/>
    <x v="14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7"/>
    <s v="Xuhui Li"/>
    <n v="54"/>
    <x v="7"/>
    <x v="5"/>
    <s v="Foshan"/>
    <s v="Soy sauce"/>
    <x v="7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7"/>
    <s v="Jimmy John Liautaud"/>
    <n v="59"/>
    <x v="7"/>
    <x v="1"/>
    <s v="Key Largo"/>
    <s v="Sandwich chain"/>
    <x v="7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12"/>
    <s v="Lin Lairong &amp; family"/>
    <n v="54"/>
    <x v="7"/>
    <x v="5"/>
    <s v="Bayannur"/>
    <s v="Iron ore mining"/>
    <x v="1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2"/>
    <s v="Lu Di"/>
    <m/>
    <x v="7"/>
    <x v="5"/>
    <s v="Shenzhen"/>
    <s v="Drones"/>
    <x v="2"/>
    <s v="China"/>
    <m/>
    <x v="1"/>
    <s v="E"/>
    <x v="0"/>
    <s v="Investor"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2"/>
    <s v="Palmer Luckey"/>
    <n v="30"/>
    <x v="6"/>
    <x v="1"/>
    <s v="Newport Beach"/>
    <s v="Virtual reality"/>
    <x v="2"/>
    <s v="United States"/>
    <s v="Oculus VR"/>
    <x v="1"/>
    <s v="N"/>
    <x v="0"/>
    <s v="Entrepreneur"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3"/>
    <s v="Duncan MacMillan"/>
    <n v="85"/>
    <x v="7"/>
    <x v="1"/>
    <s v="Princeton"/>
    <s v="Bloomberg LP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2"/>
    <s v="Yusaku Maezawa"/>
    <n v="47"/>
    <x v="7"/>
    <x v="12"/>
    <s v="Chiba"/>
    <s v="Online retail"/>
    <x v="2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725"/>
    <x v="211"/>
    <x v="0"/>
    <s v="Ilson Mateus &amp; family"/>
    <n v="60"/>
    <x v="7"/>
    <x v="30"/>
    <s v="Sao Luis"/>
    <s v="Supermarkets"/>
    <x v="0"/>
    <s v="Brazil"/>
    <m/>
    <x v="1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725"/>
    <x v="211"/>
    <x v="10"/>
    <s v="Meng Qingshan &amp; family"/>
    <n v="74"/>
    <x v="7"/>
    <x v="5"/>
    <s v="Langfang"/>
    <s v="Chemical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0"/>
    <s v="Alberto Palatchi"/>
    <n v="73"/>
    <x v="7"/>
    <x v="4"/>
    <s v="Madrid"/>
    <s v="Wedding dresses"/>
    <x v="0"/>
    <s v="Spain"/>
    <m/>
    <x v="1"/>
    <s v="E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1725"/>
    <x v="211"/>
    <x v="10"/>
    <s v="Mrudula Parekh"/>
    <n v="75"/>
    <x v="7"/>
    <x v="3"/>
    <s v="Mumbai"/>
    <s v="Adhesives"/>
    <x v="10"/>
    <s v="India"/>
    <m/>
    <x v="0"/>
    <s v="D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1725"/>
    <x v="211"/>
    <x v="0"/>
    <s v="Dragos Paval"/>
    <n v="56"/>
    <x v="7"/>
    <x v="67"/>
    <s v="Bacau"/>
    <s v="Retail"/>
    <x v="0"/>
    <s v="Romania"/>
    <m/>
    <x v="1"/>
    <s v="U"/>
    <x v="0"/>
    <m/>
    <n v="123.78"/>
    <n v="3.8"/>
    <s v="$250,077,444,017 "/>
    <x v="53"/>
    <n v="85.2"/>
    <n v="75.400000000000006"/>
    <n v="14.6"/>
    <n v="20"/>
    <x v="57"/>
    <n v="45.943161000000003"/>
    <n v="24.966760000000001"/>
  </r>
  <r>
    <n v="1725"/>
    <x v="211"/>
    <x v="11"/>
    <s v="Jorge Perez"/>
    <n v="73"/>
    <x v="7"/>
    <x v="1"/>
    <s v="Miami"/>
    <s v="Real estate"/>
    <x v="11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12"/>
    <s v="Dmitry Pumpyansky"/>
    <n v="59"/>
    <x v="7"/>
    <x v="17"/>
    <s v="Moscow"/>
    <s v="Steel pipes"/>
    <x v="12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725"/>
    <x v="211"/>
    <x v="14"/>
    <s v="Jinsheng Ren &amp; family"/>
    <n v="60"/>
    <x v="7"/>
    <x v="5"/>
    <s v="Nanjing"/>
    <s v="Pharmaceutical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4"/>
    <s v="Brian Roberts"/>
    <n v="63"/>
    <x v="3"/>
    <x v="1"/>
    <s v="Philadelphia"/>
    <s v="Comcast"/>
    <x v="4"/>
    <s v="United States"/>
    <s v="Comcast"/>
    <x v="0"/>
    <s v="U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7"/>
    <s v="Joe Rogers, Jr."/>
    <n v="76"/>
    <x v="7"/>
    <x v="1"/>
    <s v="Atlanta"/>
    <s v="Waffle House"/>
    <x v="7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10"/>
    <s v="Ruan Shuilong &amp; family"/>
    <n v="87"/>
    <x v="7"/>
    <x v="5"/>
    <s v="Shangyu"/>
    <s v="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11"/>
    <s v="Paul Saville"/>
    <n v="67"/>
    <x v="7"/>
    <x v="1"/>
    <s v="Palm Beach"/>
    <s v="Homebuilder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6"/>
    <s v="Ivan Savvidis &amp; family"/>
    <n v="64"/>
    <x v="7"/>
    <x v="17"/>
    <s v="Rostov-on-Don"/>
    <s v="Agribusiness"/>
    <x v="6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725"/>
    <x v="211"/>
    <x v="14"/>
    <s v="Keiichi Shibahara"/>
    <n v="58"/>
    <x v="7"/>
    <x v="12"/>
    <s v="Tokyo"/>
    <s v="Healthcare"/>
    <x v="14"/>
    <s v="Japan"/>
    <m/>
    <x v="1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725"/>
    <x v="211"/>
    <x v="10"/>
    <s v="Rajju Shroff"/>
    <n v="89"/>
    <x v="7"/>
    <x v="3"/>
    <s v="Mumbai"/>
    <s v="Agrochemicals"/>
    <x v="1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725"/>
    <x v="211"/>
    <x v="0"/>
    <s v="Sun Huaiqing &amp; family"/>
    <n v="53"/>
    <x v="7"/>
    <x v="5"/>
    <s v="Guangzhou"/>
    <s v="Cosmetics"/>
    <x v="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11"/>
    <s v="Alain Taravella"/>
    <n v="75"/>
    <x v="7"/>
    <x v="0"/>
    <s v="Paris"/>
    <s v="Real estate development"/>
    <x v="11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1725"/>
    <x v="211"/>
    <x v="6"/>
    <s v="Jonathan Tisch"/>
    <n v="69"/>
    <x v="7"/>
    <x v="1"/>
    <s v="New York"/>
    <s v="Insurance, NFL team"/>
    <x v="6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15"/>
    <s v="Kenneth Tuchman"/>
    <n v="63"/>
    <x v="7"/>
    <x v="1"/>
    <s v="Denver"/>
    <s v="Call centers"/>
    <x v="15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10"/>
    <s v="Wang Chou-hsiong"/>
    <n v="82"/>
    <x v="7"/>
    <x v="35"/>
    <s v="Yunlin"/>
    <s v="Footwear"/>
    <x v="10"/>
    <s v="Taiwan"/>
    <m/>
    <x v="1"/>
    <s v="D"/>
    <x v="0"/>
    <m/>
    <m/>
    <m/>
    <m/>
    <x v="10"/>
    <m/>
    <m/>
    <m/>
    <m/>
    <x v="10"/>
    <m/>
    <m/>
  </r>
  <r>
    <n v="1725"/>
    <x v="211"/>
    <x v="2"/>
    <s v="Wang Minwen"/>
    <n v="59"/>
    <x v="7"/>
    <x v="5"/>
    <s v="Beijing"/>
    <s v="Semiconductor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17"/>
    <s v="Tom Werner"/>
    <n v="72"/>
    <x v="7"/>
    <x v="1"/>
    <s v="Los Angeles"/>
    <s v="Sports teams"/>
    <x v="1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11"/>
    <s v="Stephen Winn"/>
    <n v="76"/>
    <x v="7"/>
    <x v="1"/>
    <s v="Dallas"/>
    <s v="Real estate services"/>
    <x v="11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13"/>
    <s v="Ian Wood &amp; family"/>
    <n v="80"/>
    <x v="7"/>
    <x v="13"/>
    <s v="Aberdeen"/>
    <s v="Energy services"/>
    <x v="13"/>
    <s v="United Kingdom"/>
    <m/>
    <x v="0"/>
    <s v="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725"/>
    <x v="211"/>
    <x v="10"/>
    <s v="Wu Lanlan &amp; family"/>
    <n v="49"/>
    <x v="7"/>
    <x v="5"/>
    <s v="Shenzhen"/>
    <s v="Packaging"/>
    <x v="10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7"/>
    <s v="Xu Bingzhong"/>
    <n v="49"/>
    <x v="7"/>
    <x v="5"/>
    <s v="Shenzhen"/>
    <s v="Bars"/>
    <x v="7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10"/>
    <s v="Yang Xuegang"/>
    <n v="58"/>
    <x v="7"/>
    <x v="5"/>
    <s v="Beijing"/>
    <s v="Cok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5"/>
    <s v="Vladimir Yevtushenkov"/>
    <n v="74"/>
    <x v="7"/>
    <x v="17"/>
    <s v="Moscow"/>
    <s v="Telecom, investments"/>
    <x v="5"/>
    <s v="Russia"/>
    <m/>
    <x v="1"/>
    <s v="E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725"/>
    <x v="211"/>
    <x v="2"/>
    <s v="David Zalik"/>
    <n v="49"/>
    <x v="5"/>
    <x v="1"/>
    <s v="Atlanta"/>
    <s v="Financial technology"/>
    <x v="2"/>
    <s v="United States"/>
    <s v="GreenSky"/>
    <x v="1"/>
    <s v="D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725"/>
    <x v="211"/>
    <x v="8"/>
    <s v="Zhang Xiaojuan"/>
    <n v="53"/>
    <x v="7"/>
    <x v="5"/>
    <s v="Shanghai"/>
    <s v="Logistics"/>
    <x v="8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10"/>
    <s v="Zheng Xiaodong"/>
    <n v="59"/>
    <x v="7"/>
    <x v="5"/>
    <s v="Shanghai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725"/>
    <x v="211"/>
    <x v="10"/>
    <s v="Zhong Ruonong &amp; family"/>
    <n v="60"/>
    <x v="7"/>
    <x v="5"/>
    <s v="Zhuzhou"/>
    <s v="Electronics"/>
    <x v="10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4"/>
    <s v="Noubar Afeyan"/>
    <n v="60"/>
    <x v="7"/>
    <x v="1"/>
    <s v="Lexington"/>
    <s v="Biotech"/>
    <x v="1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6"/>
    <s v="Syed Mokhtar AlBukhary"/>
    <n v="71"/>
    <x v="7"/>
    <x v="31"/>
    <s v="Kuala Lumpur"/>
    <s v="Engineering, automotive"/>
    <x v="16"/>
    <s v="Malaysia"/>
    <m/>
    <x v="1"/>
    <s v="U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1804"/>
    <x v="212"/>
    <x v="3"/>
    <s v="Herbert Allen, Jr. &amp; family"/>
    <n v="83"/>
    <x v="7"/>
    <x v="1"/>
    <s v="New York"/>
    <s v="Investment banking"/>
    <x v="3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2"/>
    <s v="Vasily Anisimov"/>
    <n v="71"/>
    <x v="7"/>
    <x v="8"/>
    <m/>
    <s v="Real estate"/>
    <x v="12"/>
    <s v="Russia"/>
    <m/>
    <x v="1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804"/>
    <x v="212"/>
    <x v="3"/>
    <s v="Clifford Asness"/>
    <n v="56"/>
    <x v="7"/>
    <x v="1"/>
    <s v="Greenwich"/>
    <s v="Money management"/>
    <x v="3"/>
    <s v="United States"/>
    <s v="AQR Capital Management"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3"/>
    <s v="Louis Bacon"/>
    <n v="66"/>
    <x v="3"/>
    <x v="1"/>
    <s v="Oyster Bay"/>
    <s v="Hedge funds"/>
    <x v="3"/>
    <s v="United States"/>
    <s v="Moore Capital Management, LP"/>
    <x v="1"/>
    <s v="E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0"/>
    <s v="Bai Baokun"/>
    <n v="53"/>
    <x v="7"/>
    <x v="5"/>
    <s v="Dongguan"/>
    <s v="Hardware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0"/>
    <s v="Alex Birkenstock"/>
    <n v="54"/>
    <x v="7"/>
    <x v="22"/>
    <m/>
    <s v="Shoes"/>
    <x v="0"/>
    <s v="Germany"/>
    <m/>
    <x v="0"/>
    <s v="D"/>
    <x v="0"/>
    <m/>
    <m/>
    <m/>
    <m/>
    <x v="10"/>
    <m/>
    <m/>
    <m/>
    <m/>
    <x v="10"/>
    <m/>
    <m/>
  </r>
  <r>
    <n v="1804"/>
    <x v="212"/>
    <x v="0"/>
    <s v="Christian Birkenstock"/>
    <n v="50"/>
    <x v="7"/>
    <x v="11"/>
    <s v="Kitzbuhel"/>
    <s v="Shoes"/>
    <x v="0"/>
    <s v="Germany"/>
    <m/>
    <x v="0"/>
    <s v="D"/>
    <x v="0"/>
    <m/>
    <n v="118.06"/>
    <n v="1.5"/>
    <s v="$446,314,739,528 "/>
    <x v="11"/>
    <n v="103.1"/>
    <n v="81.599999999999994"/>
    <n v="25.4"/>
    <n v="51.4"/>
    <x v="11"/>
    <n v="47.516230999999998"/>
    <n v="14.550072"/>
  </r>
  <r>
    <n v="1804"/>
    <x v="212"/>
    <x v="7"/>
    <s v="Josef Boquoi &amp; family"/>
    <n v="89"/>
    <x v="7"/>
    <x v="7"/>
    <s v="Straelen"/>
    <s v="Frozen foods"/>
    <x v="7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804"/>
    <x v="212"/>
    <x v="2"/>
    <s v="Cai Huabo"/>
    <n v="47"/>
    <x v="7"/>
    <x v="5"/>
    <s v="Jiujiang"/>
    <s v="Electronics"/>
    <x v="2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2"/>
    <s v="Chen Tianshi"/>
    <n v="38"/>
    <x v="7"/>
    <x v="5"/>
    <s v="Beijing"/>
    <s v="Semiconductors"/>
    <x v="2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1"/>
    <s v="Chen Yung-tai"/>
    <n v="87"/>
    <x v="7"/>
    <x v="35"/>
    <s v="Taipei"/>
    <s v="Real estate"/>
    <x v="11"/>
    <s v="Taiwan"/>
    <m/>
    <x v="1"/>
    <s v="D"/>
    <x v="0"/>
    <m/>
    <m/>
    <m/>
    <m/>
    <x v="10"/>
    <m/>
    <m/>
    <m/>
    <m/>
    <x v="10"/>
    <m/>
    <m/>
  </r>
  <r>
    <n v="1804"/>
    <x v="212"/>
    <x v="2"/>
    <s v="Chey Tae-won"/>
    <n v="62"/>
    <x v="7"/>
    <x v="32"/>
    <s v="Seoul"/>
    <s v="Oil, semiconductor"/>
    <x v="2"/>
    <s v="South Korea"/>
    <s v="SK Holdings"/>
    <x v="0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1804"/>
    <x v="212"/>
    <x v="11"/>
    <s v="Ivan Chrenko"/>
    <n v="55"/>
    <x v="7"/>
    <x v="71"/>
    <s v="Bratislava"/>
    <s v="Real estate"/>
    <x v="11"/>
    <s v="Slovakia"/>
    <m/>
    <x v="1"/>
    <s v="D"/>
    <x v="0"/>
    <m/>
    <n v="115.34"/>
    <n v="2.7"/>
    <s v="$105,422,304,976 "/>
    <x v="57"/>
    <n v="98.7"/>
    <n v="77.2"/>
    <n v="18.7"/>
    <n v="49.7"/>
    <x v="61"/>
    <n v="48.669026000000002"/>
    <n v="19.699024000000001"/>
  </r>
  <r>
    <n v="1804"/>
    <x v="212"/>
    <x v="16"/>
    <s v="Robert Clark"/>
    <n v="64"/>
    <x v="7"/>
    <x v="1"/>
    <s v="St. Louis"/>
    <s v="Construction"/>
    <x v="16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3"/>
    <s v="Jack Cockwell"/>
    <n v="82"/>
    <x v="7"/>
    <x v="6"/>
    <s v="Toronto"/>
    <s v="Real estate, private equity"/>
    <x v="3"/>
    <s v="Canada"/>
    <m/>
    <x v="1"/>
    <s v="D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804"/>
    <x v="212"/>
    <x v="3"/>
    <s v="Tench Coxe"/>
    <n v="65"/>
    <x v="7"/>
    <x v="1"/>
    <s v="Palo Alto"/>
    <s v="Venture capital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7"/>
    <s v="Jim Crane"/>
    <n v="69"/>
    <x v="7"/>
    <x v="1"/>
    <s v="Houston"/>
    <s v="Logistics, baseball"/>
    <x v="17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8"/>
    <s v="Norbert Dentressangle"/>
    <n v="68"/>
    <x v="7"/>
    <x v="0"/>
    <s v="Lyon"/>
    <s v="Transport, logistics"/>
    <x v="8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1804"/>
    <x v="212"/>
    <x v="3"/>
    <s v="Jamie Dimon"/>
    <n v="67"/>
    <x v="3"/>
    <x v="1"/>
    <s v="New York"/>
    <s v="Banking"/>
    <x v="3"/>
    <s v="United States"/>
    <s v="JPMorgan Chase &amp; Co."/>
    <x v="1"/>
    <s v="E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2"/>
    <s v="Daniel Dines"/>
    <n v="51"/>
    <x v="7"/>
    <x v="1"/>
    <s v="New York"/>
    <s v="Software"/>
    <x v="2"/>
    <s v="Romania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3"/>
    <s v="Alfredo Egydio Arruda Villela Filho"/>
    <n v="53"/>
    <x v="7"/>
    <x v="30"/>
    <s v="Sao Paulo"/>
    <s v="Banking"/>
    <x v="3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804"/>
    <x v="212"/>
    <x v="12"/>
    <s v="Gary Fegel"/>
    <n v="49"/>
    <x v="7"/>
    <x v="8"/>
    <s v="Gstaad"/>
    <s v="Commodities, investments"/>
    <x v="12"/>
    <s v="Switzerland"/>
    <m/>
    <x v="1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804"/>
    <x v="212"/>
    <x v="3"/>
    <s v="William Foley, II."/>
    <n v="78"/>
    <x v="7"/>
    <x v="1"/>
    <s v="Las Vegas"/>
    <s v="Financial services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0"/>
    <s v="Richard Fortin"/>
    <n v="74"/>
    <x v="7"/>
    <x v="6"/>
    <s v="Boucherville"/>
    <s v="Convinience stores"/>
    <x v="0"/>
    <s v="Canada"/>
    <m/>
    <x v="1"/>
    <s v="U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804"/>
    <x v="212"/>
    <x v="14"/>
    <s v="Gao Yi &amp; family"/>
    <n v="54"/>
    <x v="7"/>
    <x v="5"/>
    <s v="Changsha"/>
    <s v="Pharmaceutical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4"/>
    <s v="Giammaria Giuliani"/>
    <n v="45"/>
    <x v="7"/>
    <x v="8"/>
    <s v="Montagnola"/>
    <s v="Pharmaceuticals"/>
    <x v="14"/>
    <s v="Switzerland"/>
    <m/>
    <x v="0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804"/>
    <x v="212"/>
    <x v="3"/>
    <s v="Bill Gross"/>
    <n v="78"/>
    <x v="0"/>
    <x v="1"/>
    <s v="Laguna Beach"/>
    <s v="Investments"/>
    <x v="3"/>
    <s v="United States"/>
    <s v="Pacific Investment Management Company LLC"/>
    <x v="1"/>
    <s v="E"/>
    <x v="0"/>
    <s v="Cofounder and Co-Chief Investment Officer"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3"/>
    <s v="Sue Gross"/>
    <n v="73"/>
    <x v="7"/>
    <x v="1"/>
    <s v="Laguna Beach"/>
    <s v="Investments"/>
    <x v="3"/>
    <s v="United States"/>
    <m/>
    <x v="0"/>
    <s v="E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7"/>
    <s v="Irving Grousbeck &amp; family"/>
    <n v="88"/>
    <x v="7"/>
    <x v="1"/>
    <s v="Portola Valley"/>
    <s v="Telecommunication, sports"/>
    <x v="17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3"/>
    <s v="Timothy Headington"/>
    <n v="72"/>
    <x v="7"/>
    <x v="1"/>
    <s v="Dallas"/>
    <s v="Oil &amp; gas, investments"/>
    <x v="13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0"/>
    <s v="Ilona Herlin"/>
    <n v="58"/>
    <x v="7"/>
    <x v="55"/>
    <s v="Helsinki"/>
    <s v="Elevators, escalators"/>
    <x v="10"/>
    <s v="Finland"/>
    <m/>
    <x v="0"/>
    <s v="U"/>
    <x v="1"/>
    <m/>
    <n v="112.33"/>
    <n v="1"/>
    <s v="$268,761,201,365 "/>
    <x v="1"/>
    <n v="100.2"/>
    <n v="81.7"/>
    <n v="20.8"/>
    <n v="36.6"/>
    <x v="50"/>
    <n v="61.924109999999999"/>
    <n v="25.748151"/>
  </r>
  <r>
    <n v="1804"/>
    <x v="212"/>
    <x v="6"/>
    <s v="David Hoffmann"/>
    <n v="70"/>
    <x v="7"/>
    <x v="1"/>
    <s v="Naples"/>
    <s v="Executive search, investments"/>
    <x v="6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4"/>
    <s v="Stanley Hubbard"/>
    <n v="89"/>
    <x v="4"/>
    <x v="1"/>
    <s v="St. Paul"/>
    <s v="DirecTV"/>
    <x v="4"/>
    <s v="United States"/>
    <s v="Hubbard Broadcasting, Inc."/>
    <x v="0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0"/>
    <s v="Hui Lin Chit"/>
    <n v="69"/>
    <x v="7"/>
    <x v="5"/>
    <s v="Jinjiang"/>
    <s v="Hygiene product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2"/>
    <s v="Tianjiang Jia &amp; family"/>
    <n v="60"/>
    <x v="7"/>
    <x v="5"/>
    <s v="Yinchuan"/>
    <s v="Non-ferrous metals"/>
    <x v="1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1"/>
    <s v="Zhaobai Jiang"/>
    <n v="59"/>
    <x v="7"/>
    <x v="5"/>
    <s v="Shanghai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0"/>
    <s v="Sergei Katsiev"/>
    <n v="65"/>
    <x v="7"/>
    <x v="17"/>
    <s v="Moscow"/>
    <s v="Retail, wholesale"/>
    <x v="0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804"/>
    <x v="212"/>
    <x v="4"/>
    <s v="Kim Jae-young"/>
    <m/>
    <x v="7"/>
    <x v="22"/>
    <m/>
    <s v="Online games"/>
    <x v="4"/>
    <s v="South Korea"/>
    <m/>
    <x v="1"/>
    <s v="N"/>
    <x v="0"/>
    <m/>
    <m/>
    <m/>
    <m/>
    <x v="10"/>
    <m/>
    <m/>
    <m/>
    <m/>
    <x v="10"/>
    <m/>
    <m/>
  </r>
  <r>
    <n v="1804"/>
    <x v="212"/>
    <x v="14"/>
    <s v="Randal J. Kirk"/>
    <n v="69"/>
    <x v="7"/>
    <x v="1"/>
    <s v="Manalapan"/>
    <s v="Pharmaceuticals"/>
    <x v="14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3"/>
    <s v="William Koch"/>
    <n v="82"/>
    <x v="7"/>
    <x v="1"/>
    <s v="Palm Beach"/>
    <s v="Oil, investments"/>
    <x v="13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0"/>
    <s v="Pyotr Kondrashev"/>
    <n v="73"/>
    <x v="7"/>
    <x v="11"/>
    <s v="Wien"/>
    <s v="Investments"/>
    <x v="10"/>
    <s v="Russia"/>
    <m/>
    <x v="1"/>
    <s v="U"/>
    <x v="0"/>
    <m/>
    <n v="118.06"/>
    <n v="1.5"/>
    <s v="$446,314,739,528 "/>
    <x v="11"/>
    <n v="103.1"/>
    <n v="81.599999999999994"/>
    <n v="25.4"/>
    <n v="51.4"/>
    <x v="11"/>
    <n v="47.516230999999998"/>
    <n v="14.550072"/>
  </r>
  <r>
    <n v="1804"/>
    <x v="212"/>
    <x v="8"/>
    <s v="Eiichi Kuriwada"/>
    <n v="76"/>
    <x v="7"/>
    <x v="12"/>
    <s v="Osaka"/>
    <s v="Package delivery"/>
    <x v="8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1804"/>
    <x v="212"/>
    <x v="14"/>
    <s v="Robert Langer"/>
    <n v="74"/>
    <x v="7"/>
    <x v="1"/>
    <s v="Boston"/>
    <s v="Biotech"/>
    <x v="14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6"/>
    <s v="Anthony Langley"/>
    <n v="68"/>
    <x v="7"/>
    <x v="13"/>
    <s v="Nottinghamshire"/>
    <s v="Manufacturing"/>
    <x v="6"/>
    <s v="United Kingdom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804"/>
    <x v="212"/>
    <x v="6"/>
    <s v="Marianna Latsis &amp; family"/>
    <n v="70"/>
    <x v="7"/>
    <x v="46"/>
    <s v="Athens"/>
    <s v="Banking, shipping"/>
    <x v="6"/>
    <s v="Greece"/>
    <m/>
    <x v="0"/>
    <s v="N"/>
    <x v="1"/>
    <m/>
    <n v="101.87"/>
    <n v="0.2"/>
    <s v="$209,852,761,469 "/>
    <x v="39"/>
    <n v="99.6"/>
    <n v="81.3"/>
    <n v="26.2"/>
    <n v="51.9"/>
    <x v="41"/>
    <n v="39.074207999999999"/>
    <n v="21.824311999999999"/>
  </r>
  <r>
    <n v="1804"/>
    <x v="212"/>
    <x v="11"/>
    <s v="Lee Yeow Seng"/>
    <n v="45"/>
    <x v="7"/>
    <x v="31"/>
    <m/>
    <s v="Palm oil, property"/>
    <x v="11"/>
    <s v="Malaysia"/>
    <m/>
    <x v="0"/>
    <s v="Split Family Fortune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1804"/>
    <x v="212"/>
    <x v="11"/>
    <s v="Li Sze Lim"/>
    <n v="66"/>
    <x v="7"/>
    <x v="5"/>
    <s v="Guangzhou"/>
    <s v="Real estate"/>
    <x v="11"/>
    <s v="Hong Kong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1"/>
    <s v="Li Wa"/>
    <n v="57"/>
    <x v="7"/>
    <x v="5"/>
    <s v="Shenzhen"/>
    <s v="Real estate"/>
    <x v="11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2"/>
    <s v="Li Weiwei"/>
    <n v="46"/>
    <x v="7"/>
    <x v="5"/>
    <s v="Shanghai"/>
    <s v="Online game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2"/>
    <s v="Liang Qin &amp; family"/>
    <n v="51"/>
    <x v="7"/>
    <x v="5"/>
    <s v="Yangzhou"/>
    <s v="Semiconductor devices"/>
    <x v="2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1"/>
    <s v="Vincent Lo"/>
    <n v="75"/>
    <x v="7"/>
    <x v="10"/>
    <s v="Hong Kong"/>
    <s v="Real estate"/>
    <x v="11"/>
    <s v="Hong Kong"/>
    <m/>
    <x v="0"/>
    <s v="E"/>
    <x v="0"/>
    <m/>
    <m/>
    <m/>
    <m/>
    <x v="10"/>
    <m/>
    <m/>
    <m/>
    <m/>
    <x v="10"/>
    <m/>
    <m/>
  </r>
  <r>
    <n v="1804"/>
    <x v="212"/>
    <x v="5"/>
    <s v="Terence (Terry) Matthews"/>
    <n v="80"/>
    <x v="7"/>
    <x v="6"/>
    <s v="Ottawa"/>
    <s v="Telecom"/>
    <x v="5"/>
    <s v="Canada"/>
    <m/>
    <x v="1"/>
    <s v="E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1804"/>
    <x v="212"/>
    <x v="2"/>
    <s v="Jim McKelvey"/>
    <n v="57"/>
    <x v="7"/>
    <x v="1"/>
    <s v="St. Louis"/>
    <s v="Mobile payments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1"/>
    <s v="P.N.C. Menon"/>
    <n v="74"/>
    <x v="7"/>
    <x v="16"/>
    <s v="Dubai"/>
    <s v="Real estate"/>
    <x v="11"/>
    <s v="Oman"/>
    <m/>
    <x v="1"/>
    <s v="R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1804"/>
    <x v="212"/>
    <x v="13"/>
    <s v="Massimo Moratti"/>
    <n v="77"/>
    <x v="7"/>
    <x v="28"/>
    <s v="Milan"/>
    <s v="Oil refinery"/>
    <x v="13"/>
    <s v="Italy"/>
    <m/>
    <x v="0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804"/>
    <x v="212"/>
    <x v="3"/>
    <s v="Liora Ofer"/>
    <n v="69"/>
    <x v="7"/>
    <x v="27"/>
    <s v="Tel Aviv"/>
    <s v="Investments"/>
    <x v="3"/>
    <s v="Israel"/>
    <m/>
    <x v="0"/>
    <s v="D"/>
    <x v="1"/>
    <m/>
    <n v="108.15"/>
    <n v="0.8"/>
    <s v="$395,098,666,122 "/>
    <x v="25"/>
    <n v="104.9"/>
    <n v="82.8"/>
    <n v="23.1"/>
    <n v="25.3"/>
    <x v="26"/>
    <n v="31.046050999999999"/>
    <n v="34.851612000000003"/>
  </r>
  <r>
    <n v="1804"/>
    <x v="212"/>
    <x v="1"/>
    <s v="Stefan Pierer"/>
    <n v="66"/>
    <x v="7"/>
    <x v="11"/>
    <s v="Wels"/>
    <s v="Automotive"/>
    <x v="1"/>
    <s v="Austria"/>
    <m/>
    <x v="1"/>
    <s v="U"/>
    <x v="0"/>
    <m/>
    <n v="118.06"/>
    <n v="1.5"/>
    <s v="$446,314,739,528 "/>
    <x v="11"/>
    <n v="103.1"/>
    <n v="81.599999999999994"/>
    <n v="25.4"/>
    <n v="51.4"/>
    <x v="11"/>
    <n v="47.516230999999998"/>
    <n v="14.550072"/>
  </r>
  <r>
    <n v="1804"/>
    <x v="212"/>
    <x v="3"/>
    <s v="Andreas Pohl"/>
    <n v="58"/>
    <x v="7"/>
    <x v="7"/>
    <s v="Marburg"/>
    <s v="Mutual funds"/>
    <x v="3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804"/>
    <x v="212"/>
    <x v="3"/>
    <s v="Reinfried Pohl, Jr."/>
    <n v="63"/>
    <x v="7"/>
    <x v="7"/>
    <s v="Marburg"/>
    <s v="Mutual funds"/>
    <x v="3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804"/>
    <x v="212"/>
    <x v="13"/>
    <s v="Michael Polsky"/>
    <n v="74"/>
    <x v="7"/>
    <x v="1"/>
    <s v="Chicago"/>
    <s v="Electric power"/>
    <x v="1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0"/>
    <s v="Francisco Jose Riberas Mera"/>
    <n v="58"/>
    <x v="7"/>
    <x v="4"/>
    <s v="Madrid"/>
    <s v="Steel, autoparts"/>
    <x v="10"/>
    <s v="Spain"/>
    <m/>
    <x v="0"/>
    <s v="U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1804"/>
    <x v="212"/>
    <x v="12"/>
    <s v="Juan Maria Riberas Mera"/>
    <n v="54"/>
    <x v="7"/>
    <x v="4"/>
    <s v="Madrid"/>
    <s v="Steel, investments"/>
    <x v="12"/>
    <s v="Spain"/>
    <m/>
    <x v="0"/>
    <s v="R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1804"/>
    <x v="212"/>
    <x v="7"/>
    <s v="Andres Santo Domingo"/>
    <n v="44"/>
    <x v="7"/>
    <x v="1"/>
    <s v="New York"/>
    <s v="Beer"/>
    <x v="7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7"/>
    <s v="Sathien Sathientham"/>
    <n v="68"/>
    <x v="7"/>
    <x v="23"/>
    <s v="Bangkok"/>
    <s v="energy drinks"/>
    <x v="7"/>
    <s v="Thailand"/>
    <m/>
    <x v="1"/>
    <s v="E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804"/>
    <x v="212"/>
    <x v="10"/>
    <s v="Shang Xiaobo &amp; family"/>
    <n v="49"/>
    <x v="7"/>
    <x v="5"/>
    <s v="Hefei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7"/>
    <s v="Yuri Shefler"/>
    <n v="55"/>
    <x v="7"/>
    <x v="8"/>
    <s v="Geneva"/>
    <s v="Alcohol"/>
    <x v="7"/>
    <s v="Russia"/>
    <m/>
    <x v="1"/>
    <s v="U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804"/>
    <x v="212"/>
    <x v="12"/>
    <s v="Evgeny (Eugene) Shvidler"/>
    <n v="59"/>
    <x v="7"/>
    <x v="13"/>
    <s v="London"/>
    <s v="Metals, investments"/>
    <x v="12"/>
    <s v="United States"/>
    <m/>
    <x v="1"/>
    <s v="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804"/>
    <x v="212"/>
    <x v="2"/>
    <s v="Ryan Smith"/>
    <n v="44"/>
    <x v="5"/>
    <x v="1"/>
    <s v="Provo"/>
    <s v="Cloud computing"/>
    <x v="2"/>
    <s v="United States"/>
    <s v="Qualtrics"/>
    <x v="1"/>
    <s v="E"/>
    <x v="0"/>
    <s v="Co-Founder &amp; CEO"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6"/>
    <s v="Zakhar Smushkin"/>
    <n v="61"/>
    <x v="7"/>
    <x v="17"/>
    <s v="Saint Petersburg"/>
    <s v="Pulp and paper, diversified"/>
    <x v="6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804"/>
    <x v="212"/>
    <x v="15"/>
    <s v="Peter Sperling"/>
    <n v="63"/>
    <x v="7"/>
    <x v="1"/>
    <s v="Phoenix"/>
    <s v="Education"/>
    <x v="15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6"/>
    <s v="Laurie Tisch"/>
    <n v="72"/>
    <x v="7"/>
    <x v="1"/>
    <s v="New York"/>
    <s v="Insurance, NFL team"/>
    <x v="6"/>
    <s v="United States"/>
    <m/>
    <x v="0"/>
    <s v="U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6"/>
    <s v="Steven Tisch"/>
    <n v="74"/>
    <x v="7"/>
    <x v="1"/>
    <s v="Beverly Hills"/>
    <s v="Insurance"/>
    <x v="6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0"/>
    <s v="Michael Tojner"/>
    <n v="57"/>
    <x v="7"/>
    <x v="11"/>
    <s v="Vienna"/>
    <s v="Batteries, investments"/>
    <x v="10"/>
    <s v="Austria"/>
    <m/>
    <x v="1"/>
    <s v="D"/>
    <x v="0"/>
    <m/>
    <n v="118.06"/>
    <n v="1.5"/>
    <s v="$446,314,739,528 "/>
    <x v="11"/>
    <n v="103.1"/>
    <n v="81.599999999999994"/>
    <n v="25.4"/>
    <n v="51.4"/>
    <x v="11"/>
    <n v="47.516230999999998"/>
    <n v="14.550072"/>
  </r>
  <r>
    <n v="1804"/>
    <x v="212"/>
    <x v="14"/>
    <s v="August Troendle"/>
    <n v="67"/>
    <x v="7"/>
    <x v="1"/>
    <s v="Cincinnati"/>
    <s v="Pharmaceutical services"/>
    <x v="1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0"/>
    <s v="Tseng Sing-ai"/>
    <m/>
    <x v="7"/>
    <x v="35"/>
    <m/>
    <s v="Petrochemicals"/>
    <x v="10"/>
    <s v="Taiwan"/>
    <m/>
    <x v="0"/>
    <s v="E"/>
    <x v="1"/>
    <m/>
    <m/>
    <m/>
    <m/>
    <x v="10"/>
    <m/>
    <m/>
    <m/>
    <m/>
    <x v="10"/>
    <m/>
    <m/>
  </r>
  <r>
    <n v="1804"/>
    <x v="212"/>
    <x v="2"/>
    <s v="Sekar Vembu"/>
    <n v="51"/>
    <x v="7"/>
    <x v="3"/>
    <s v="Chennai"/>
    <s v="Business software"/>
    <x v="2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804"/>
    <x v="212"/>
    <x v="13"/>
    <s v="Chris Wallin"/>
    <n v="70"/>
    <x v="7"/>
    <x v="14"/>
    <s v="Brisbane"/>
    <s v="Mining"/>
    <x v="13"/>
    <s v="Australia"/>
    <m/>
    <x v="1"/>
    <s v="R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804"/>
    <x v="212"/>
    <x v="4"/>
    <s v="Wang Changtian"/>
    <n v="57"/>
    <x v="7"/>
    <x v="5"/>
    <s v="Beijing"/>
    <s v="TV, movie production"/>
    <x v="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4"/>
    <s v="Ning Wang &amp; family"/>
    <n v="36"/>
    <x v="7"/>
    <x v="5"/>
    <s v="Beijing"/>
    <s v="Toys"/>
    <x v="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2"/>
    <s v="Scott Watterson"/>
    <n v="67"/>
    <x v="7"/>
    <x v="1"/>
    <s v="Logan"/>
    <s v="Fitness equipment"/>
    <x v="2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3"/>
    <s v="Dan Wilks"/>
    <n v="66"/>
    <x v="7"/>
    <x v="1"/>
    <s v="Cisco"/>
    <s v="Natural gas"/>
    <x v="1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0"/>
    <s v="Alan Wilson"/>
    <n v="82"/>
    <x v="7"/>
    <x v="14"/>
    <s v="Melbourne"/>
    <s v="Retailing"/>
    <x v="0"/>
    <s v="Australia"/>
    <m/>
    <x v="0"/>
    <s v="Split Family Fortune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804"/>
    <x v="212"/>
    <x v="0"/>
    <s v="Bruce Wilson"/>
    <n v="76"/>
    <x v="7"/>
    <x v="14"/>
    <s v="Melbourne"/>
    <s v="Retailing"/>
    <x v="0"/>
    <s v="Australia"/>
    <m/>
    <x v="0"/>
    <s v="Split Family Fortune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804"/>
    <x v="212"/>
    <x v="0"/>
    <s v="John Wilson"/>
    <n v="85"/>
    <x v="7"/>
    <x v="14"/>
    <s v="Melbourne"/>
    <s v="Retailing"/>
    <x v="0"/>
    <s v="Australia"/>
    <m/>
    <x v="0"/>
    <s v="Split Family Fortune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804"/>
    <x v="212"/>
    <x v="2"/>
    <s v="Anthony Wood"/>
    <n v="57"/>
    <x v="7"/>
    <x v="1"/>
    <s v="Palo Alto"/>
    <s v="Roku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10"/>
    <s v="Wu Ying"/>
    <n v="58"/>
    <x v="7"/>
    <x v="5"/>
    <s v="Xianyang"/>
    <s v="Materi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4"/>
    <s v="Wu Yulan"/>
    <n v="53"/>
    <x v="7"/>
    <x v="5"/>
    <s v="Lianyungang"/>
    <s v="Pharmaceuticals"/>
    <x v="14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2"/>
    <s v="Zhongyi Wu"/>
    <n v="49"/>
    <x v="7"/>
    <x v="5"/>
    <s v="Xiamen"/>
    <s v="electronic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0"/>
    <s v="Xiang Guangming &amp; family"/>
    <n v="59"/>
    <x v="7"/>
    <x v="5"/>
    <s v="Wenzhou"/>
    <s v="Waste disposal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2"/>
    <s v="Xue Xiangdong &amp; family"/>
    <n v="64"/>
    <x v="7"/>
    <x v="5"/>
    <s v="Beijing"/>
    <s v="Software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4"/>
    <s v="George Yancopoulos"/>
    <n v="63"/>
    <x v="7"/>
    <x v="1"/>
    <s v="Yorktown Heights"/>
    <s v="Pharmaceuticals"/>
    <x v="1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804"/>
    <x v="212"/>
    <x v="2"/>
    <s v="Steven Meng Yang &amp; family"/>
    <n v="40"/>
    <x v="7"/>
    <x v="5"/>
    <s v="Changsha"/>
    <s v="Electronic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"/>
    <s v="Ye Fan &amp; family"/>
    <n v="52"/>
    <x v="7"/>
    <x v="5"/>
    <s v="Dongguan"/>
    <s v="Auto dealership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6"/>
    <s v="Yi Dasheng"/>
    <n v="62"/>
    <x v="7"/>
    <x v="5"/>
    <s v="Changsha"/>
    <s v="Conglomerate"/>
    <x v="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0"/>
    <s v="Yu Lili"/>
    <n v="55"/>
    <x v="7"/>
    <x v="5"/>
    <s v="Changsha"/>
    <s v="Electronic components"/>
    <x v="10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2"/>
    <s v="Zeng Kaitian"/>
    <n v="48"/>
    <x v="7"/>
    <x v="5"/>
    <s v="Shanghai"/>
    <s v="Online game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12"/>
    <s v="Zhang Xuexin &amp; family"/>
    <n v="75"/>
    <x v="7"/>
    <x v="5"/>
    <s v="Liaocheng"/>
    <s v="Aluminum"/>
    <x v="1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7"/>
    <s v="Yubai Zhang"/>
    <n v="58"/>
    <x v="7"/>
    <x v="5"/>
    <s v="Suqian"/>
    <s v="Wine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804"/>
    <x v="212"/>
    <x v="9"/>
    <s v="Fredrik Ã–sterberg"/>
    <n v="52"/>
    <x v="7"/>
    <x v="21"/>
    <s v="Stockholm"/>
    <s v="Gambling products"/>
    <x v="9"/>
    <s v="Sweden"/>
    <m/>
    <x v="1"/>
    <s v="U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1905"/>
    <x v="213"/>
    <x v="7"/>
    <s v="Shiv Kishan Agrawal"/>
    <n v="82"/>
    <x v="7"/>
    <x v="3"/>
    <s v="Nagpur"/>
    <s v="Snacks"/>
    <x v="7"/>
    <s v="India"/>
    <m/>
    <x v="0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905"/>
    <x v="213"/>
    <x v="6"/>
    <s v="Aziz Akhannouch &amp; family"/>
    <n v="62"/>
    <x v="7"/>
    <x v="72"/>
    <s v="Casablanca"/>
    <s v="Petroleum, diversified"/>
    <x v="6"/>
    <s v="Morocco"/>
    <m/>
    <x v="0"/>
    <s v="D"/>
    <x v="0"/>
    <m/>
    <n v="111.07"/>
    <n v="0.2"/>
    <s v="$118,725,279,596 "/>
    <x v="58"/>
    <n v="113.9"/>
    <n v="76.5"/>
    <n v="21.9"/>
    <n v="45.8"/>
    <x v="62"/>
    <n v="31.791702000000001"/>
    <n v="-7.0926200000000001"/>
  </r>
  <r>
    <n v="1905"/>
    <x v="213"/>
    <x v="6"/>
    <s v="Hamdi Akin &amp; family"/>
    <n v="68"/>
    <x v="7"/>
    <x v="47"/>
    <s v="Istanbul"/>
    <s v="Diversified"/>
    <x v="6"/>
    <s v="Turkey"/>
    <m/>
    <x v="1"/>
    <s v="E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905"/>
    <x v="213"/>
    <x v="10"/>
    <s v="Nerio Alessandri"/>
    <n v="61"/>
    <x v="7"/>
    <x v="28"/>
    <s v="Cesena"/>
    <s v="Gym equipment"/>
    <x v="10"/>
    <s v="Italy"/>
    <m/>
    <x v="1"/>
    <s v="U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905"/>
    <x v="213"/>
    <x v="6"/>
    <s v="Alexandra Andresen"/>
    <n v="26"/>
    <x v="7"/>
    <x v="36"/>
    <s v="Oslo"/>
    <s v="Investments"/>
    <x v="6"/>
    <s v="Norway"/>
    <m/>
    <x v="0"/>
    <s v="U"/>
    <x v="1"/>
    <m/>
    <n v="120.27"/>
    <n v="2.2000000000000002"/>
    <s v="$403,336,363,636 "/>
    <x v="31"/>
    <n v="100.3"/>
    <n v="82.8"/>
    <n v="23.9"/>
    <n v="36.200000000000003"/>
    <x v="34"/>
    <n v="60.472023999999998"/>
    <n v="8.4689460000000008"/>
  </r>
  <r>
    <n v="1905"/>
    <x v="213"/>
    <x v="6"/>
    <s v="Katharina Andresen"/>
    <n v="27"/>
    <x v="7"/>
    <x v="36"/>
    <s v="Oslo"/>
    <s v="Investments"/>
    <x v="6"/>
    <s v="Norway"/>
    <m/>
    <x v="0"/>
    <s v="U"/>
    <x v="1"/>
    <m/>
    <n v="120.27"/>
    <n v="2.2000000000000002"/>
    <s v="$403,336,363,636 "/>
    <x v="31"/>
    <n v="100.3"/>
    <n v="82.8"/>
    <n v="23.9"/>
    <n v="36.200000000000003"/>
    <x v="34"/>
    <n v="60.472023999999998"/>
    <n v="8.4689460000000008"/>
  </r>
  <r>
    <n v="1905"/>
    <x v="213"/>
    <x v="6"/>
    <s v="Patricia Angelini Rossi"/>
    <n v="68"/>
    <x v="7"/>
    <x v="18"/>
    <s v="Santiago"/>
    <s v="Forestry, mining"/>
    <x v="6"/>
    <s v="Chile"/>
    <m/>
    <x v="0"/>
    <s v="U"/>
    <x v="1"/>
    <m/>
    <n v="131.91"/>
    <n v="2.6"/>
    <s v="$282,318,159,745 "/>
    <x v="18"/>
    <n v="101.4"/>
    <n v="80"/>
    <n v="18.2"/>
    <n v="34"/>
    <x v="18"/>
    <n v="-35.675147000000003"/>
    <n v="-71.542968999999999"/>
  </r>
  <r>
    <n v="1905"/>
    <x v="213"/>
    <x v="14"/>
    <s v="Mori Arkin"/>
    <n v="70"/>
    <x v="7"/>
    <x v="27"/>
    <s v="Herzliya Pituach"/>
    <s v="Pharmaceuticals"/>
    <x v="14"/>
    <s v="Israel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1905"/>
    <x v="213"/>
    <x v="0"/>
    <s v="Barbara Benetton"/>
    <n v="53"/>
    <x v="7"/>
    <x v="28"/>
    <s v="Campodoro"/>
    <s v="Fashion retail, investments"/>
    <x v="0"/>
    <s v="Italy"/>
    <m/>
    <x v="0"/>
    <s v="U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1905"/>
    <x v="213"/>
    <x v="12"/>
    <s v="Angela Bennett"/>
    <n v="79"/>
    <x v="7"/>
    <x v="14"/>
    <s v="Perth"/>
    <s v="Mining"/>
    <x v="12"/>
    <s v="Australia"/>
    <m/>
    <x v="0"/>
    <s v="U"/>
    <x v="1"/>
    <m/>
    <n v="119.8"/>
    <n v="1.6"/>
    <s v="$1,392,680,589,329 "/>
    <x v="14"/>
    <n v="100.3"/>
    <n v="82.7"/>
    <n v="23"/>
    <n v="47.4"/>
    <x v="14"/>
    <n v="-25.274398000000001"/>
    <n v="133.775136"/>
  </r>
  <r>
    <n v="1905"/>
    <x v="213"/>
    <x v="6"/>
    <s v="Zadik Bino &amp; family"/>
    <n v="79"/>
    <x v="7"/>
    <x v="27"/>
    <s v="Tel Aviv"/>
    <s v="Banking, oil"/>
    <x v="6"/>
    <s v="Israel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1905"/>
    <x v="213"/>
    <x v="0"/>
    <s v="Paolo Bulgari"/>
    <n v="85"/>
    <x v="7"/>
    <x v="28"/>
    <s v="Rome"/>
    <s v="Luxury goods"/>
    <x v="0"/>
    <s v="Italy"/>
    <m/>
    <x v="0"/>
    <s v="E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905"/>
    <x v="213"/>
    <x v="7"/>
    <s v="Saket Burman"/>
    <n v="46"/>
    <x v="7"/>
    <x v="16"/>
    <s v="Dubai"/>
    <s v="Consumer goods"/>
    <x v="7"/>
    <s v="United Kingdom"/>
    <m/>
    <x v="0"/>
    <s v="D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1905"/>
    <x v="213"/>
    <x v="6"/>
    <s v="Ahmet Calik"/>
    <n v="65"/>
    <x v="7"/>
    <x v="47"/>
    <s v="Istanbul"/>
    <s v="Energy, banking, construction"/>
    <x v="6"/>
    <s v="Turkey"/>
    <m/>
    <x v="1"/>
    <s v="E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1905"/>
    <x v="213"/>
    <x v="2"/>
    <s v="Safra Catz"/>
    <n v="61"/>
    <x v="3"/>
    <x v="1"/>
    <s v="Redwood City"/>
    <s v="Software"/>
    <x v="2"/>
    <s v="United States"/>
    <s v="Oracle"/>
    <x v="1"/>
    <s v="E"/>
    <x v="1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8"/>
    <s v="Chang Kuo-Hua"/>
    <n v="68"/>
    <x v="7"/>
    <x v="35"/>
    <s v="Taipei"/>
    <s v="Shipping, airlines"/>
    <x v="8"/>
    <s v="Taiwan"/>
    <m/>
    <x v="0"/>
    <s v="D"/>
    <x v="0"/>
    <m/>
    <m/>
    <m/>
    <m/>
    <x v="10"/>
    <m/>
    <m/>
    <m/>
    <m/>
    <x v="10"/>
    <m/>
    <m/>
  </r>
  <r>
    <n v="1905"/>
    <x v="213"/>
    <x v="10"/>
    <s v="Chu Jian"/>
    <n v="60"/>
    <x v="7"/>
    <x v="5"/>
    <s v="Hangzhou"/>
    <s v="Manufacturing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6"/>
    <s v="Sandor Csanyi"/>
    <n v="70"/>
    <x v="7"/>
    <x v="73"/>
    <s v="Budapest"/>
    <s v="Finance, real estate"/>
    <x v="6"/>
    <s v="Hungary"/>
    <m/>
    <x v="1"/>
    <s v="U"/>
    <x v="0"/>
    <m/>
    <n v="121.64"/>
    <n v="3.3"/>
    <s v="$160,967,157,504 "/>
    <x v="59"/>
    <n v="100.8"/>
    <n v="75.8"/>
    <n v="23"/>
    <n v="37.9"/>
    <x v="63"/>
    <n v="47.162494000000002"/>
    <n v="19.503304"/>
  </r>
  <r>
    <n v="1905"/>
    <x v="213"/>
    <x v="3"/>
    <s v="Ana Lucia de Mattos Barretto Villela"/>
    <n v="49"/>
    <x v="7"/>
    <x v="30"/>
    <s v="Sao Paulo"/>
    <s v="Banking"/>
    <x v="3"/>
    <s v="Brazil"/>
    <m/>
    <x v="0"/>
    <s v="D"/>
    <x v="1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905"/>
    <x v="213"/>
    <x v="10"/>
    <s v="Federico De Nora"/>
    <n v="55"/>
    <x v="7"/>
    <x v="28"/>
    <s v="Milan"/>
    <s v="Electrodes"/>
    <x v="10"/>
    <s v="Italy"/>
    <m/>
    <x v="0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905"/>
    <x v="213"/>
    <x v="2"/>
    <s v="Bharat Desai"/>
    <n v="70"/>
    <x v="0"/>
    <x v="1"/>
    <s v="Fisher Island"/>
    <s v="IT consulting"/>
    <x v="2"/>
    <s v="United States"/>
    <s v="Syntel"/>
    <x v="1"/>
    <s v="E"/>
    <x v="0"/>
    <s v="Chairman and Co-founder"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6"/>
    <s v="Mohammed Dewji"/>
    <n v="47"/>
    <x v="7"/>
    <x v="74"/>
    <s v="Dar es Salaam"/>
    <s v="Diversified"/>
    <x v="6"/>
    <s v="Tanzania"/>
    <m/>
    <x v="0"/>
    <s v="E"/>
    <x v="0"/>
    <m/>
    <n v="187.43"/>
    <n v="3.5"/>
    <s v="$63,177,068,175 "/>
    <x v="60"/>
    <n v="94.2"/>
    <n v="65"/>
    <n v="11.5"/>
    <n v="43.8"/>
    <x v="64"/>
    <n v="-6.3690280000000001"/>
    <n v="34.888821999999998"/>
  </r>
  <r>
    <n v="1905"/>
    <x v="213"/>
    <x v="3"/>
    <s v="Egon Durban"/>
    <n v="49"/>
    <x v="7"/>
    <x v="1"/>
    <s v="Atherton"/>
    <s v="Private equity"/>
    <x v="3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10"/>
    <s v="Fu Mingkang &amp; family"/>
    <n v="60"/>
    <x v="7"/>
    <x v="5"/>
    <s v="Ningbo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4"/>
    <s v="Alan Gerry"/>
    <n v="94"/>
    <x v="7"/>
    <x v="1"/>
    <s v="Liberty"/>
    <s v="Cable television"/>
    <x v="4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0"/>
    <s v="Philippe Ginestet &amp; family"/>
    <n v="69"/>
    <x v="7"/>
    <x v="0"/>
    <s v="Pujols"/>
    <s v="Retail stores"/>
    <x v="0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1905"/>
    <x v="213"/>
    <x v="8"/>
    <s v="G. Gnanalingam"/>
    <n v="78"/>
    <x v="7"/>
    <x v="31"/>
    <s v="Kuala Lumpur"/>
    <s v="Ports"/>
    <x v="8"/>
    <s v="Malaysia"/>
    <m/>
    <x v="1"/>
    <s v="D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1905"/>
    <x v="213"/>
    <x v="0"/>
    <s v="Esther Grether"/>
    <n v="87"/>
    <x v="7"/>
    <x v="8"/>
    <s v="Basel"/>
    <s v="Art collection"/>
    <x v="0"/>
    <s v="Switzerland"/>
    <m/>
    <x v="0"/>
    <s v="E"/>
    <x v="1"/>
    <m/>
    <n v="99.55"/>
    <n v="0.4"/>
    <s v="$703,082,435,360 "/>
    <x v="8"/>
    <n v="105.2"/>
    <n v="83.6"/>
    <n v="10.1"/>
    <n v="28.8"/>
    <x v="8"/>
    <n v="46.818187999999999"/>
    <n v="8.2275120000000008"/>
  </r>
  <r>
    <n v="1905"/>
    <x v="213"/>
    <x v="10"/>
    <s v="Wei Gu"/>
    <n v="58"/>
    <x v="7"/>
    <x v="5"/>
    <s v="Shenzhen"/>
    <s v="Consumer electronics"/>
    <x v="10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2"/>
    <s v="Patrick Hanrahan"/>
    <n v="67"/>
    <x v="7"/>
    <x v="1"/>
    <s v="Portola Valley"/>
    <s v="Software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3"/>
    <s v="Kenneth Hao"/>
    <n v="54"/>
    <x v="7"/>
    <x v="1"/>
    <s v="Hillsborough"/>
    <s v="Private equity"/>
    <x v="3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3"/>
    <s v="Jaroslav Hascak &amp; family"/>
    <n v="53"/>
    <x v="7"/>
    <x v="71"/>
    <s v="Bratislava"/>
    <s v="Investments"/>
    <x v="3"/>
    <s v="Slovakia"/>
    <m/>
    <x v="1"/>
    <s v="U"/>
    <x v="0"/>
    <m/>
    <n v="115.34"/>
    <n v="2.7"/>
    <s v="$105,422,304,976 "/>
    <x v="57"/>
    <n v="98.7"/>
    <n v="77.2"/>
    <n v="18.7"/>
    <n v="49.7"/>
    <x v="61"/>
    <n v="48.669026000000002"/>
    <n v="19.699024000000001"/>
  </r>
  <r>
    <n v="1905"/>
    <x v="213"/>
    <x v="10"/>
    <s v="He Zhenggang"/>
    <n v="69"/>
    <x v="7"/>
    <x v="5"/>
    <s v="Leshan"/>
    <s v="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11"/>
    <s v="Niranjan Hiranandani"/>
    <n v="73"/>
    <x v="7"/>
    <x v="3"/>
    <s v="Mumbai"/>
    <s v="Real estate"/>
    <x v="11"/>
    <s v="India"/>
    <m/>
    <x v="1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905"/>
    <x v="213"/>
    <x v="3"/>
    <s v="Ho Hung Anh"/>
    <n v="52"/>
    <x v="7"/>
    <x v="53"/>
    <s v="Hanoi"/>
    <s v="Consumer products, banking"/>
    <x v="3"/>
    <s v="Vietnam"/>
    <m/>
    <x v="1"/>
    <s v="D"/>
    <x v="0"/>
    <m/>
    <n v="163.52000000000001"/>
    <n v="2.8"/>
    <s v="$261,921,244,843 "/>
    <x v="45"/>
    <n v="110.6"/>
    <n v="75.3"/>
    <n v="19.100000000000001"/>
    <n v="37.6"/>
    <x v="48"/>
    <n v="14.058324000000001"/>
    <n v="108.277199"/>
  </r>
  <r>
    <n v="1905"/>
    <x v="213"/>
    <x v="2"/>
    <s v="Archie Hwang"/>
    <n v="70"/>
    <x v="7"/>
    <x v="35"/>
    <s v="Taipei"/>
    <s v="Semiconductors"/>
    <x v="2"/>
    <s v="Taiwan"/>
    <m/>
    <x v="1"/>
    <s v="D"/>
    <x v="0"/>
    <m/>
    <m/>
    <m/>
    <m/>
    <x v="10"/>
    <m/>
    <m/>
    <m/>
    <m/>
    <x v="10"/>
    <m/>
    <m/>
  </r>
  <r>
    <n v="1905"/>
    <x v="213"/>
    <x v="4"/>
    <s v="Peter Jackson"/>
    <n v="61"/>
    <x v="3"/>
    <x v="33"/>
    <s v="Wellington"/>
    <s v="Movies, digital effects"/>
    <x v="4"/>
    <s v="New Zealand"/>
    <s v="Film"/>
    <x v="1"/>
    <s v="E"/>
    <x v="0"/>
    <s v="Director"/>
    <n v="114.24"/>
    <n v="1.6"/>
    <s v="$206,928,765,544 "/>
    <x v="31"/>
    <n v="100"/>
    <n v="81.900000000000006"/>
    <n v="29"/>
    <n v="34.6"/>
    <x v="32"/>
    <n v="-40.900556999999999"/>
    <n v="174.88597100000001"/>
  </r>
  <r>
    <n v="1905"/>
    <x v="213"/>
    <x v="3"/>
    <s v="Stephen Jarislowsky"/>
    <n v="97"/>
    <x v="2"/>
    <x v="6"/>
    <s v="Montreal"/>
    <s v="Money management"/>
    <x v="3"/>
    <s v="Canada"/>
    <s v="Jarislowsky &amp; Fraser"/>
    <x v="1"/>
    <s v="D"/>
    <x v="0"/>
    <s v="Cofounder and Chairman"/>
    <n v="116.76"/>
    <n v="1.9"/>
    <s v="$1,736,425,629,520 "/>
    <x v="6"/>
    <n v="100.9"/>
    <n v="81.900000000000006"/>
    <n v="12.8"/>
    <n v="24.5"/>
    <x v="6"/>
    <n v="56.130366000000002"/>
    <n v="-106.346771"/>
  </r>
  <r>
    <n v="1905"/>
    <x v="213"/>
    <x v="14"/>
    <s v="Rajeev Juneja"/>
    <n v="57"/>
    <x v="7"/>
    <x v="3"/>
    <s v="Delhi"/>
    <s v="Phamaceuticals"/>
    <x v="14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905"/>
    <x v="213"/>
    <x v="14"/>
    <s v="Ramesh Juneja"/>
    <n v="67"/>
    <x v="7"/>
    <x v="3"/>
    <s v="Delhi"/>
    <s v="Pharmaceuticals"/>
    <x v="14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905"/>
    <x v="213"/>
    <x v="6"/>
    <s v="Ke Xiping &amp; family"/>
    <n v="62"/>
    <x v="7"/>
    <x v="5"/>
    <s v="Xiamen"/>
    <s v="Investments"/>
    <x v="6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6"/>
    <s v="Kim Jun-ki"/>
    <n v="78"/>
    <x v="7"/>
    <x v="32"/>
    <s v="Seoul"/>
    <s v="Diversified"/>
    <x v="6"/>
    <s v="South Korea"/>
    <s v="Dongbu Insurance Co. Ltd."/>
    <x v="1"/>
    <s v="U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1905"/>
    <x v="213"/>
    <x v="0"/>
    <s v="Sidney Kimmel"/>
    <n v="95"/>
    <x v="7"/>
    <x v="1"/>
    <s v="New York"/>
    <s v="Retail"/>
    <x v="0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7"/>
    <s v="Jim Koch"/>
    <n v="73"/>
    <x v="7"/>
    <x v="1"/>
    <s v="Newton"/>
    <s v="Beer"/>
    <x v="7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11"/>
    <s v="Raj Kumar"/>
    <n v="68"/>
    <x v="7"/>
    <x v="25"/>
    <s v="Singapore"/>
    <s v="Real estate, hotels"/>
    <x v="11"/>
    <s v="Singapore"/>
    <m/>
    <x v="1"/>
    <s v="Split Family Fortune"/>
    <x v="0"/>
    <m/>
    <n v="114.41"/>
    <n v="0.6"/>
    <s v="$372,062,527,489 "/>
    <x v="23"/>
    <n v="100.6"/>
    <n v="83.1"/>
    <n v="13.1"/>
    <n v="21"/>
    <x v="24"/>
    <n v="1.3520829999999999"/>
    <n v="103.819836"/>
  </r>
  <r>
    <n v="1905"/>
    <x v="213"/>
    <x v="6"/>
    <s v="Spiro Latsis &amp; family"/>
    <n v="76"/>
    <x v="7"/>
    <x v="8"/>
    <s v="Geneva"/>
    <s v="Banking, shipping"/>
    <x v="6"/>
    <s v="Greece"/>
    <m/>
    <x v="0"/>
    <s v="R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1905"/>
    <x v="213"/>
    <x v="10"/>
    <s v="Peter Leibinger"/>
    <n v="56"/>
    <x v="7"/>
    <x v="7"/>
    <s v="Schwieberdingen"/>
    <s v="Machine tools"/>
    <x v="1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905"/>
    <x v="213"/>
    <x v="10"/>
    <s v="Regine Leibinger"/>
    <n v="60"/>
    <x v="7"/>
    <x v="7"/>
    <s v="Berlin"/>
    <s v="Machine tools"/>
    <x v="10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905"/>
    <x v="213"/>
    <x v="10"/>
    <s v="Nicola Leibinger-Kammueller"/>
    <n v="63"/>
    <x v="7"/>
    <x v="7"/>
    <s v="Berlin"/>
    <s v="Manufacturing"/>
    <x v="10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1905"/>
    <x v="213"/>
    <x v="10"/>
    <s v="Li Jianli"/>
    <n v="50"/>
    <x v="7"/>
    <x v="5"/>
    <s v="Shenzhen"/>
    <s v="Lithium-ion battery cap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10"/>
    <s v="Li Jiaquan"/>
    <n v="59"/>
    <x v="7"/>
    <x v="5"/>
    <s v="Chengdu"/>
    <s v="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0"/>
    <s v="Li Rucheng"/>
    <n v="71"/>
    <x v="7"/>
    <x v="5"/>
    <s v="Ningbo"/>
    <s v="Apparel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10"/>
    <s v="Li Shui-po"/>
    <n v="66"/>
    <x v="7"/>
    <x v="5"/>
    <s v="Kunshan"/>
    <s v="Stainless steel products"/>
    <x v="10"/>
    <s v="Taiwan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2"/>
    <s v="Scott Lin"/>
    <n v="90"/>
    <x v="7"/>
    <x v="35"/>
    <s v="Taichung"/>
    <s v="Optical components"/>
    <x v="2"/>
    <s v="Taiwan"/>
    <m/>
    <x v="1"/>
    <s v="U"/>
    <x v="0"/>
    <m/>
    <m/>
    <m/>
    <m/>
    <x v="10"/>
    <m/>
    <m/>
    <m/>
    <m/>
    <x v="10"/>
    <m/>
    <m/>
  </r>
  <r>
    <n v="1905"/>
    <x v="213"/>
    <x v="10"/>
    <s v="Liu Xiucai &amp; family"/>
    <n v="66"/>
    <x v="7"/>
    <x v="5"/>
    <s v="Shanghai"/>
    <s v="Chemicals"/>
    <x v="10"/>
    <s v="United States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1"/>
    <s v="Lu Zhongfang"/>
    <n v="80"/>
    <x v="7"/>
    <x v="5"/>
    <s v="Tonghua"/>
    <s v="Education"/>
    <x v="1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8"/>
    <s v="Lu Zongjun"/>
    <n v="59"/>
    <x v="7"/>
    <x v="5"/>
    <s v="Shanghai"/>
    <s v="Logistics"/>
    <x v="8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6"/>
    <s v="Youssef Mansour"/>
    <n v="77"/>
    <x v="7"/>
    <x v="37"/>
    <s v="Cairo"/>
    <s v="Diversified"/>
    <x v="6"/>
    <s v="Egypt"/>
    <m/>
    <x v="1"/>
    <s v="E"/>
    <x v="0"/>
    <m/>
    <n v="288.57"/>
    <n v="9.1999999999999993"/>
    <s v="$303,175,127,598 "/>
    <x v="33"/>
    <n v="106.3"/>
    <n v="71.8"/>
    <n v="12.5"/>
    <n v="44.4"/>
    <x v="35"/>
    <n v="26.820553"/>
    <n v="30.802498"/>
  </r>
  <r>
    <n v="1905"/>
    <x v="213"/>
    <x v="11"/>
    <s v="Bruce Mathieson"/>
    <n v="79"/>
    <x v="7"/>
    <x v="14"/>
    <s v="Gold Coast"/>
    <s v="Hotels"/>
    <x v="11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905"/>
    <x v="213"/>
    <x v="6"/>
    <s v="Romano Minozzi"/>
    <n v="88"/>
    <x v="7"/>
    <x v="28"/>
    <s v="Spilamberto"/>
    <s v="Utilities, diversified"/>
    <x v="6"/>
    <s v="Italy"/>
    <m/>
    <x v="1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905"/>
    <x v="213"/>
    <x v="3"/>
    <s v="Greg Mondre"/>
    <n v="48"/>
    <x v="7"/>
    <x v="1"/>
    <s v="New York"/>
    <s v="Private equity"/>
    <x v="3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0"/>
    <s v="Mario Moretti Polegato &amp; family"/>
    <n v="70"/>
    <x v="7"/>
    <x v="28"/>
    <s v="Crocetta del Montello"/>
    <s v="Shoes"/>
    <x v="0"/>
    <s v="Italy"/>
    <m/>
    <x v="1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1905"/>
    <x v="213"/>
    <x v="15"/>
    <s v="Robert Mouawad"/>
    <n v="78"/>
    <x v="7"/>
    <x v="75"/>
    <s v="Manama"/>
    <s v="Fine jewelry"/>
    <x v="15"/>
    <s v="Lebanon"/>
    <m/>
    <x v="0"/>
    <s v="E"/>
    <x v="0"/>
    <m/>
    <n v="117.59"/>
    <n v="2.1"/>
    <s v="$38,574,069,149 "/>
    <x v="61"/>
    <n v="99.4"/>
    <n v="77.2"/>
    <n v="4.2"/>
    <n v="13.8"/>
    <x v="65"/>
    <n v="26.066700000000001"/>
    <n v="50.557699999999997"/>
  </r>
  <r>
    <n v="1905"/>
    <x v="213"/>
    <x v="8"/>
    <s v="Jerry Moyes &amp; family"/>
    <n v="79"/>
    <x v="7"/>
    <x v="1"/>
    <s v="Tolleson"/>
    <s v="Transportation"/>
    <x v="8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2"/>
    <s v="John Ocampo"/>
    <n v="63"/>
    <x v="7"/>
    <x v="1"/>
    <s v="Los Altos"/>
    <s v="Semiconductors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6"/>
    <s v="Stefan Olsson"/>
    <n v="74"/>
    <x v="7"/>
    <x v="13"/>
    <s v="London"/>
    <s v="Diversified"/>
    <x v="6"/>
    <s v="Sweden"/>
    <m/>
    <x v="0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1905"/>
    <x v="213"/>
    <x v="13"/>
    <s v="Rubens Ometto Silveira Mello"/>
    <n v="73"/>
    <x v="7"/>
    <x v="30"/>
    <s v="Sao Paulo"/>
    <s v="Sugar, ethanol"/>
    <x v="13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1905"/>
    <x v="213"/>
    <x v="3"/>
    <s v="Anne Marie See Pastor"/>
    <m/>
    <x v="7"/>
    <x v="22"/>
    <m/>
    <s v="Finance"/>
    <x v="3"/>
    <s v="Peru"/>
    <m/>
    <x v="0"/>
    <s v="Split Family Fortune"/>
    <x v="1"/>
    <m/>
    <m/>
    <m/>
    <m/>
    <x v="10"/>
    <m/>
    <m/>
    <m/>
    <m/>
    <x v="10"/>
    <m/>
    <m/>
  </r>
  <r>
    <n v="1905"/>
    <x v="213"/>
    <x v="3"/>
    <s v="George Pastor"/>
    <m/>
    <x v="7"/>
    <x v="22"/>
    <m/>
    <s v="Finance"/>
    <x v="3"/>
    <s v="Peru"/>
    <m/>
    <x v="0"/>
    <s v="Split Family Fortune"/>
    <x v="0"/>
    <m/>
    <m/>
    <m/>
    <m/>
    <x v="10"/>
    <m/>
    <m/>
    <m/>
    <m/>
    <x v="10"/>
    <m/>
    <m/>
  </r>
  <r>
    <n v="1905"/>
    <x v="213"/>
    <x v="3"/>
    <s v="Nelson Peltz"/>
    <n v="80"/>
    <x v="4"/>
    <x v="1"/>
    <s v="Bedford"/>
    <s v="Investments"/>
    <x v="3"/>
    <s v="United States"/>
    <s v="Trian Fund Management"/>
    <x v="1"/>
    <s v="D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16"/>
    <s v="David Penaloza Alanis"/>
    <n v="49"/>
    <x v="7"/>
    <x v="2"/>
    <s v="Mexico City"/>
    <s v="Toll roads"/>
    <x v="16"/>
    <s v="Mexico"/>
    <m/>
    <x v="0"/>
    <s v="U"/>
    <x v="0"/>
    <m/>
    <n v="141.54"/>
    <n v="3.6"/>
    <s v="$1,258,286,717,125 "/>
    <x v="2"/>
    <n v="105.8"/>
    <n v="75"/>
    <n v="13.1"/>
    <n v="55.1"/>
    <x v="2"/>
    <n v="23.634501"/>
    <n v="-102.552784"/>
  </r>
  <r>
    <n v="1905"/>
    <x v="213"/>
    <x v="0"/>
    <s v="Karl-Johan Persson"/>
    <n v="48"/>
    <x v="7"/>
    <x v="21"/>
    <s v="Stockholm"/>
    <s v="H&amp;M"/>
    <x v="0"/>
    <s v="Sweden"/>
    <m/>
    <x v="0"/>
    <s v="E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1905"/>
    <x v="213"/>
    <x v="7"/>
    <s v="Mike Repole"/>
    <n v="55"/>
    <x v="7"/>
    <x v="1"/>
    <s v="Windermere"/>
    <s v="Sports drink"/>
    <x v="7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7"/>
    <s v="Duke Reyes"/>
    <n v="66"/>
    <x v="7"/>
    <x v="1"/>
    <s v="Palm Beach"/>
    <s v="Beer distribution"/>
    <x v="7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11"/>
    <s v="Kishin RK"/>
    <n v="39"/>
    <x v="7"/>
    <x v="25"/>
    <s v="Singapore"/>
    <s v="Real estate, hotels"/>
    <x v="11"/>
    <s v="Singapore"/>
    <m/>
    <x v="0"/>
    <s v="Split Family Fortune"/>
    <x v="0"/>
    <m/>
    <n v="114.41"/>
    <n v="0.6"/>
    <s v="$372,062,527,489 "/>
    <x v="23"/>
    <n v="100.6"/>
    <n v="83.1"/>
    <n v="13.1"/>
    <n v="21"/>
    <x v="24"/>
    <n v="1.3520829999999999"/>
    <n v="103.819836"/>
  </r>
  <r>
    <n v="1905"/>
    <x v="213"/>
    <x v="3"/>
    <s v="Carlos Rodriguez-Pastor"/>
    <n v="63"/>
    <x v="7"/>
    <x v="76"/>
    <s v="Lima"/>
    <s v="Finance"/>
    <x v="3"/>
    <s v="Peru"/>
    <m/>
    <x v="0"/>
    <s v="Split Family Fortune"/>
    <x v="0"/>
    <m/>
    <n v="129.78"/>
    <n v="2.1"/>
    <s v="$226,848,050,820 "/>
    <x v="62"/>
    <n v="106.9"/>
    <n v="76.5"/>
    <n v="14.3"/>
    <n v="36.799999999999997"/>
    <x v="66"/>
    <n v="-9.1899669999999993"/>
    <n v="-75.015152"/>
  </r>
  <r>
    <n v="1905"/>
    <x v="213"/>
    <x v="3"/>
    <s v="Christopher Rokos"/>
    <n v="52"/>
    <x v="1"/>
    <x v="13"/>
    <s v="London"/>
    <s v="Hedge fund"/>
    <x v="3"/>
    <s v="United Kingdom"/>
    <s v="Rokos Capital Management"/>
    <x v="1"/>
    <s v="E"/>
    <x v="0"/>
    <s v="CEO &amp; Founder "/>
    <n v="119.62"/>
    <n v="1.7"/>
    <s v="$2,827,113,184,696 "/>
    <x v="13"/>
    <n v="101.2"/>
    <n v="81.3"/>
    <n v="25.5"/>
    <n v="30.6"/>
    <x v="13"/>
    <n v="55.378050999999999"/>
    <n v="-3.4359730000000002"/>
  </r>
  <r>
    <n v="1905"/>
    <x v="213"/>
    <x v="15"/>
    <s v="John Ruiz"/>
    <n v="56"/>
    <x v="7"/>
    <x v="1"/>
    <s v="Coral Gables"/>
    <s v="Healthcare services"/>
    <x v="15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2"/>
    <s v="Sheryl Sandberg"/>
    <n v="53"/>
    <x v="1"/>
    <x v="1"/>
    <s v="Menlo Park"/>
    <s v="Facebook"/>
    <x v="2"/>
    <s v="United States"/>
    <s v="Meta Platforms"/>
    <x v="1"/>
    <s v="D"/>
    <x v="1"/>
    <s v="COO"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1"/>
    <s v="Amnon Shashua"/>
    <n v="62"/>
    <x v="7"/>
    <x v="27"/>
    <s v="Kfar Shmaryahu"/>
    <s v="Automotive technology"/>
    <x v="1"/>
    <s v="Israel"/>
    <m/>
    <x v="1"/>
    <s v="E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1905"/>
    <x v="213"/>
    <x v="4"/>
    <s v="Ben Silbermann"/>
    <n v="40"/>
    <x v="5"/>
    <x v="1"/>
    <s v="San Francisco"/>
    <s v="Social media"/>
    <x v="4"/>
    <s v="United States"/>
    <s v="Pinterest"/>
    <x v="1"/>
    <s v="U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0"/>
    <s v="Ron Sim"/>
    <n v="64"/>
    <x v="7"/>
    <x v="25"/>
    <s v="Singapore"/>
    <s v="retail"/>
    <x v="0"/>
    <s v="Singapore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1905"/>
    <x v="213"/>
    <x v="3"/>
    <s v="Leonid Simanovsky"/>
    <n v="73"/>
    <x v="7"/>
    <x v="17"/>
    <s v="Moscow"/>
    <s v="Investments"/>
    <x v="3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905"/>
    <x v="213"/>
    <x v="14"/>
    <s v="Basudeo Singh"/>
    <n v="82"/>
    <x v="7"/>
    <x v="3"/>
    <s v="Mumbai"/>
    <s v="Pharmaceuticals"/>
    <x v="14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1905"/>
    <x v="213"/>
    <x v="2"/>
    <s v="Frank Slootman"/>
    <n v="64"/>
    <x v="7"/>
    <x v="1"/>
    <s v="Pleasanton"/>
    <s v="Software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11"/>
    <s v="Terry Snow"/>
    <n v="79"/>
    <x v="7"/>
    <x v="14"/>
    <s v="Canberra"/>
    <s v="Airports, real estate"/>
    <x v="11"/>
    <s v="Australia"/>
    <m/>
    <x v="1"/>
    <s v="U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905"/>
    <x v="213"/>
    <x v="11"/>
    <s v="Axel Stawski"/>
    <n v="72"/>
    <x v="7"/>
    <x v="1"/>
    <s v="Sagaponack"/>
    <s v="Real estate"/>
    <x v="1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3"/>
    <s v="Thomas Steyer"/>
    <n v="65"/>
    <x v="7"/>
    <x v="1"/>
    <s v="San Francisco"/>
    <s v="Hedge funds"/>
    <x v="3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0"/>
    <s v="Sergei Studennikov &amp; family"/>
    <n v="56"/>
    <x v="7"/>
    <x v="17"/>
    <s v="Moscow"/>
    <s v="Liquor stores, supermarkets"/>
    <x v="0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1905"/>
    <x v="213"/>
    <x v="11"/>
    <s v="Su Suyu &amp; family"/>
    <n v="74"/>
    <x v="7"/>
    <x v="5"/>
    <s v="Shantou"/>
    <s v="Utilities, real estate"/>
    <x v="11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2"/>
    <s v="Kevin Systrom"/>
    <n v="39"/>
    <x v="6"/>
    <x v="1"/>
    <s v="San Francisco"/>
    <s v="Instagram"/>
    <x v="2"/>
    <s v="United States"/>
    <s v="Instagram"/>
    <x v="1"/>
    <s v="E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7"/>
    <s v="Tan Lili"/>
    <m/>
    <x v="7"/>
    <x v="5"/>
    <s v="Guangzhou"/>
    <s v="Feed"/>
    <x v="7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7"/>
    <s v="Tang Binsen"/>
    <n v="40"/>
    <x v="7"/>
    <x v="5"/>
    <s v="Beijing"/>
    <s v="Beverages"/>
    <x v="7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2"/>
    <s v="Tang Rui"/>
    <m/>
    <x v="7"/>
    <x v="5"/>
    <s v="Shanghai"/>
    <s v="Semiconductors"/>
    <x v="2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10"/>
    <s v="Prachak Tangkaravakoon"/>
    <n v="79"/>
    <x v="7"/>
    <x v="23"/>
    <s v="Bangkok"/>
    <s v="Paints"/>
    <x v="10"/>
    <s v="Thailand"/>
    <m/>
    <x v="1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1905"/>
    <x v="213"/>
    <x v="14"/>
    <s v="Jeff Tangney"/>
    <n v="50"/>
    <x v="1"/>
    <x v="1"/>
    <s v="Palo Alto"/>
    <s v="Healthcare IT"/>
    <x v="14"/>
    <s v="United States"/>
    <s v="Doximity"/>
    <x v="1"/>
    <s v="D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0"/>
    <s v="Yuequn Tao"/>
    <n v="63"/>
    <x v="7"/>
    <x v="5"/>
    <s v="Hefei"/>
    <s v="Contact Lens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5"/>
    <s v="David Teoh"/>
    <n v="67"/>
    <x v="7"/>
    <x v="14"/>
    <s v="Sydney"/>
    <s v="Telecom"/>
    <x v="5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1905"/>
    <x v="213"/>
    <x v="10"/>
    <s v="Carmen Thyssen"/>
    <n v="79"/>
    <x v="7"/>
    <x v="77"/>
    <m/>
    <s v="Investments, art"/>
    <x v="10"/>
    <s v="Spain"/>
    <m/>
    <x v="0"/>
    <s v="U"/>
    <x v="1"/>
    <m/>
    <m/>
    <m/>
    <s v="$3,154,057,987 "/>
    <x v="10"/>
    <n v="106.4"/>
    <m/>
    <m/>
    <m/>
    <x v="67"/>
    <n v="42.506284999999998"/>
    <n v="1.521801"/>
  </r>
  <r>
    <n v="1905"/>
    <x v="213"/>
    <x v="1"/>
    <s v="Tran Ba Duong &amp; family"/>
    <n v="63"/>
    <x v="7"/>
    <x v="53"/>
    <s v="Ho Chi Minh City"/>
    <s v="Automotive"/>
    <x v="1"/>
    <s v="Vietnam"/>
    <m/>
    <x v="1"/>
    <s v="D"/>
    <x v="0"/>
    <m/>
    <n v="163.52000000000001"/>
    <n v="2.8"/>
    <s v="$261,921,244,843 "/>
    <x v="45"/>
    <n v="110.6"/>
    <n v="75.3"/>
    <n v="19.100000000000001"/>
    <n v="37.6"/>
    <x v="48"/>
    <n v="14.058324000000001"/>
    <n v="108.277199"/>
  </r>
  <r>
    <n v="1905"/>
    <x v="213"/>
    <x v="5"/>
    <s v="Kenny Troutt"/>
    <n v="75"/>
    <x v="7"/>
    <x v="1"/>
    <s v="Dallas"/>
    <s v="Telecom"/>
    <x v="5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9"/>
    <s v="Jens von Bahr"/>
    <n v="52"/>
    <x v="7"/>
    <x v="21"/>
    <s v="Stockholm"/>
    <s v="Gambling products"/>
    <x v="9"/>
    <s v="Sweden"/>
    <m/>
    <x v="1"/>
    <s v="U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1905"/>
    <x v="213"/>
    <x v="14"/>
    <s v="Wang Junmin"/>
    <n v="54"/>
    <x v="7"/>
    <x v="5"/>
    <s v="Chengdu"/>
    <s v="Pharmaceutical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14"/>
    <s v="Weng Xianding"/>
    <n v="61"/>
    <x v="7"/>
    <x v="5"/>
    <s v="Shenzhen"/>
    <s v="Medical device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13"/>
    <s v="Farris Wilks"/>
    <n v="71"/>
    <x v="7"/>
    <x v="1"/>
    <s v="Cisco"/>
    <s v="Natural gas"/>
    <x v="1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1905"/>
    <x v="213"/>
    <x v="11"/>
    <s v="Gordon Wu"/>
    <n v="87"/>
    <x v="7"/>
    <x v="10"/>
    <s v="Hong Kong"/>
    <s v="Real estate"/>
    <x v="11"/>
    <s v="Hong Kong"/>
    <m/>
    <x v="1"/>
    <s v="D"/>
    <x v="0"/>
    <m/>
    <m/>
    <m/>
    <m/>
    <x v="10"/>
    <m/>
    <m/>
    <m/>
    <m/>
    <x v="10"/>
    <m/>
    <m/>
  </r>
  <r>
    <n v="1905"/>
    <x v="213"/>
    <x v="2"/>
    <s v="Xiong Wu"/>
    <n v="47"/>
    <x v="7"/>
    <x v="5"/>
    <s v="Shenzhen"/>
    <s v="Software"/>
    <x v="2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4"/>
    <s v="Xu Zhenhua"/>
    <m/>
    <x v="7"/>
    <x v="5"/>
    <s v="Shanghai"/>
    <s v="Online games"/>
    <x v="4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2"/>
    <s v="Xu Zhihan"/>
    <n v="50"/>
    <x v="7"/>
    <x v="5"/>
    <s v="Wuxi"/>
    <s v="Electronic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7"/>
    <s v="Tingdong Yang"/>
    <n v="62"/>
    <x v="7"/>
    <x v="5"/>
    <s v="Suqian"/>
    <s v="Brewery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15"/>
    <s v="Michael Minhong Yu"/>
    <n v="61"/>
    <x v="7"/>
    <x v="5"/>
    <s v="Beijing"/>
    <s v="Education"/>
    <x v="15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4"/>
    <s v="Justin Yuan"/>
    <m/>
    <x v="7"/>
    <x v="5"/>
    <s v="Shanghai"/>
    <s v="Online games"/>
    <x v="4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15"/>
    <s v="Zhang Bangxin"/>
    <n v="43"/>
    <x v="7"/>
    <x v="5"/>
    <s v="Beijing"/>
    <s v="Education"/>
    <x v="15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13"/>
    <s v="Zhang Hong"/>
    <m/>
    <x v="7"/>
    <x v="5"/>
    <s v="Hangzhou"/>
    <s v="Solar"/>
    <x v="13"/>
    <s v="China"/>
    <m/>
    <x v="1"/>
    <s v="Split Family Fortune"/>
    <x v="1"/>
    <m/>
    <n v="125.08"/>
    <n v="2.9"/>
    <s v="$19,910,000,000,000 "/>
    <x v="5"/>
    <n v="100.2"/>
    <n v="77"/>
    <n v="9.4"/>
    <n v="59.2"/>
    <x v="5"/>
    <n v="35.861660000000001"/>
    <n v="104.195397"/>
  </r>
  <r>
    <n v="1905"/>
    <x v="213"/>
    <x v="0"/>
    <s v="Zhou Zongwen &amp; family"/>
    <n v="66"/>
    <x v="7"/>
    <x v="5"/>
    <s v="Shenzhen"/>
    <s v="Jewelry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6"/>
    <s v="Antti Aarnio-Wihuri"/>
    <n v="83"/>
    <x v="7"/>
    <x v="55"/>
    <s v="Helsinki"/>
    <s v="Diversified"/>
    <x v="6"/>
    <s v="Finland"/>
    <m/>
    <x v="0"/>
    <s v="D"/>
    <x v="0"/>
    <m/>
    <n v="112.33"/>
    <n v="1"/>
    <s v="$268,761,201,365 "/>
    <x v="1"/>
    <n v="100.2"/>
    <n v="81.7"/>
    <n v="20.8"/>
    <n v="36.6"/>
    <x v="50"/>
    <n v="61.924109999999999"/>
    <n v="25.748151"/>
  </r>
  <r>
    <n v="2020"/>
    <x v="214"/>
    <x v="3"/>
    <s v="Alberto Alcocer"/>
    <n v="80"/>
    <x v="7"/>
    <x v="4"/>
    <s v="Madrid"/>
    <s v="Investments"/>
    <x v="3"/>
    <s v="Spain"/>
    <m/>
    <x v="1"/>
    <s v="U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2020"/>
    <x v="214"/>
    <x v="0"/>
    <s v="Nigel Austin"/>
    <n v="52"/>
    <x v="7"/>
    <x v="14"/>
    <s v="Melbourne"/>
    <s v="Retail"/>
    <x v="0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2020"/>
    <x v="214"/>
    <x v="2"/>
    <s v="Binny Bansal"/>
    <n v="40"/>
    <x v="7"/>
    <x v="25"/>
    <s v="Singapore"/>
    <s v="Flipkart"/>
    <x v="2"/>
    <s v="India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2020"/>
    <x v="214"/>
    <x v="14"/>
    <s v="Girdhari Lal Bawri"/>
    <n v="75"/>
    <x v="7"/>
    <x v="3"/>
    <s v="Mumbai"/>
    <s v="Pharmaceuticals"/>
    <x v="14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020"/>
    <x v="214"/>
    <x v="6"/>
    <s v="John Bloor"/>
    <n v="79"/>
    <x v="7"/>
    <x v="13"/>
    <s v="Aberdyfi"/>
    <s v="Real estate, manufacturing"/>
    <x v="6"/>
    <s v="United Kingdom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020"/>
    <x v="214"/>
    <x v="13"/>
    <s v="Vladimir Bogdanov"/>
    <n v="71"/>
    <x v="7"/>
    <x v="17"/>
    <s v="Surgut"/>
    <s v="Oil"/>
    <x v="13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020"/>
    <x v="214"/>
    <x v="7"/>
    <s v="Amit Burman"/>
    <n v="53"/>
    <x v="7"/>
    <x v="3"/>
    <s v="Delhi"/>
    <s v="Consumer goods"/>
    <x v="7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020"/>
    <x v="214"/>
    <x v="12"/>
    <s v="Cai Jianyong"/>
    <n v="52"/>
    <x v="7"/>
    <x v="5"/>
    <s v="Ningbo"/>
    <s v="Nickel"/>
    <x v="12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2"/>
    <s v="Steve Case"/>
    <n v="64"/>
    <x v="7"/>
    <x v="1"/>
    <s v="McLean"/>
    <s v="AOL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2"/>
    <s v="Chen Wenyuan &amp; family"/>
    <n v="55"/>
    <x v="7"/>
    <x v="5"/>
    <s v="Suzhou"/>
    <s v="Testing equipment"/>
    <x v="2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1"/>
    <s v="Chua Thian Poh"/>
    <n v="74"/>
    <x v="7"/>
    <x v="25"/>
    <s v="Singapore"/>
    <s v="Real estate"/>
    <x v="11"/>
    <s v="Singapore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2020"/>
    <x v="214"/>
    <x v="3"/>
    <s v="Sasson Dayan &amp; family"/>
    <n v="83"/>
    <x v="7"/>
    <x v="30"/>
    <s v="Sao Paulo"/>
    <s v="Banking"/>
    <x v="3"/>
    <s v="Brazil"/>
    <m/>
    <x v="1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020"/>
    <x v="214"/>
    <x v="12"/>
    <s v="Chris Ellison"/>
    <n v="65"/>
    <x v="7"/>
    <x v="14"/>
    <s v="Perth"/>
    <s v="Mining"/>
    <x v="12"/>
    <s v="Australia"/>
    <m/>
    <x v="1"/>
    <s v="N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2020"/>
    <x v="214"/>
    <x v="10"/>
    <s v="John Farber"/>
    <n v="97"/>
    <x v="7"/>
    <x v="1"/>
    <s v="New York"/>
    <s v="Chemicals"/>
    <x v="10"/>
    <s v="United States"/>
    <m/>
    <x v="1"/>
    <s v="D"/>
    <x v="0"/>
    <s v="Dr."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3"/>
    <s v="J. Christopher Flowers"/>
    <n v="65"/>
    <x v="3"/>
    <x v="1"/>
    <s v="Palm Beach"/>
    <s v="Investments"/>
    <x v="3"/>
    <s v="United States"/>
    <s v="J.C. Flowers &amp; Co. LLC"/>
    <x v="1"/>
    <s v="U"/>
    <x v="0"/>
    <s v="Founder and Managing Director"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0"/>
    <s v="Reinold Geiger"/>
    <n v="75"/>
    <x v="7"/>
    <x v="8"/>
    <s v="Geneva"/>
    <s v="Beauty products"/>
    <x v="0"/>
    <s v="Austria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020"/>
    <x v="214"/>
    <x v="2"/>
    <s v="Ali Ghodsi"/>
    <n v="44"/>
    <x v="7"/>
    <x v="1"/>
    <s v="San Francisco"/>
    <s v="Data analytics"/>
    <x v="2"/>
    <s v="Sweden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6"/>
    <s v="Lance Gokongwei"/>
    <n v="55"/>
    <x v="7"/>
    <x v="34"/>
    <s v="Manila"/>
    <s v="Diversified"/>
    <x v="6"/>
    <s v="Philippines"/>
    <m/>
    <x v="0"/>
    <s v="D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2020"/>
    <x v="214"/>
    <x v="7"/>
    <s v="Guan Yihong"/>
    <n v="53"/>
    <x v="7"/>
    <x v="5"/>
    <s v="Guangzhou"/>
    <s v="Restaurant"/>
    <x v="7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Rajinder Gupta"/>
    <n v="64"/>
    <x v="7"/>
    <x v="3"/>
    <s v="Ludhiana"/>
    <s v="Textiles, paper"/>
    <x v="1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020"/>
    <x v="214"/>
    <x v="15"/>
    <s v="Torstein Hagen"/>
    <n v="80"/>
    <x v="7"/>
    <x v="8"/>
    <s v="Lucerne"/>
    <s v="Cruises"/>
    <x v="15"/>
    <s v="Norway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020"/>
    <x v="214"/>
    <x v="16"/>
    <s v="Ayman Hariri"/>
    <n v="44"/>
    <x v="7"/>
    <x v="0"/>
    <s v="Paris"/>
    <s v="Construction, investments"/>
    <x v="16"/>
    <s v="Lebanon"/>
    <m/>
    <x v="0"/>
    <s v="E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2020"/>
    <x v="214"/>
    <x v="3"/>
    <s v="Alfredo Harp Helu &amp; family"/>
    <n v="79"/>
    <x v="7"/>
    <x v="2"/>
    <s v="Mexico City"/>
    <s v="Banking, investments"/>
    <x v="3"/>
    <s v="Mexico"/>
    <m/>
    <x v="1"/>
    <s v="U"/>
    <x v="0"/>
    <m/>
    <n v="141.54"/>
    <n v="3.6"/>
    <s v="$1,258,286,717,125 "/>
    <x v="2"/>
    <n v="105.8"/>
    <n v="75"/>
    <n v="13.1"/>
    <n v="55.1"/>
    <x v="2"/>
    <n v="23.634501"/>
    <n v="-102.552784"/>
  </r>
  <r>
    <n v="2020"/>
    <x v="214"/>
    <x v="1"/>
    <s v="He Xiaopeng"/>
    <n v="45"/>
    <x v="7"/>
    <x v="5"/>
    <s v="Guangzhou"/>
    <s v="Electric vehicle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0"/>
    <s v="Christoph Henkel"/>
    <n v="65"/>
    <x v="7"/>
    <x v="13"/>
    <s v="London"/>
    <s v="Consumer goods"/>
    <x v="0"/>
    <s v="Germany"/>
    <m/>
    <x v="0"/>
    <s v="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020"/>
    <x v="214"/>
    <x v="0"/>
    <s v="Daniel Hirschfeld"/>
    <n v="81"/>
    <x v="7"/>
    <x v="1"/>
    <s v="Kearney"/>
    <s v="Fashion retail"/>
    <x v="0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2"/>
    <s v="Drew Houston"/>
    <n v="40"/>
    <x v="5"/>
    <x v="1"/>
    <s v="Austin"/>
    <s v="Cloud storage service"/>
    <x v="2"/>
    <s v="United States"/>
    <s v="Dropbox"/>
    <x v="1"/>
    <s v="D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10"/>
    <s v="Huang Jinxiang &amp; family"/>
    <n v="58"/>
    <x v="7"/>
    <x v="5"/>
    <s v="Xuancheng"/>
    <s v="Chemical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Rameshchandra Jain"/>
    <n v="74"/>
    <x v="7"/>
    <x v="3"/>
    <s v="Mumbai"/>
    <s v="Textiles"/>
    <x v="10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020"/>
    <x v="214"/>
    <x v="14"/>
    <s v="Ke Zunhong &amp; family"/>
    <n v="68"/>
    <x v="7"/>
    <x v="5"/>
    <s v="Chengdu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4"/>
    <s v="Kim Taek-jin"/>
    <n v="56"/>
    <x v="7"/>
    <x v="32"/>
    <s v="Seoul"/>
    <s v="Online games"/>
    <x v="4"/>
    <s v="South Korea"/>
    <s v="NCSOFT Corporation"/>
    <x v="1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020"/>
    <x v="214"/>
    <x v="11"/>
    <s v="Koh Wee Meng"/>
    <n v="59"/>
    <x v="7"/>
    <x v="25"/>
    <s v="Singapore"/>
    <s v="Real estate, hotels"/>
    <x v="11"/>
    <s v="Singapore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2020"/>
    <x v="214"/>
    <x v="10"/>
    <s v="Sergei Kolesnikov"/>
    <n v="51"/>
    <x v="7"/>
    <x v="17"/>
    <s v="Moscow"/>
    <s v="Building materials"/>
    <x v="10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020"/>
    <x v="214"/>
    <x v="3"/>
    <s v="Hemendra Kothari"/>
    <n v="76"/>
    <x v="7"/>
    <x v="3"/>
    <s v="Mumbai"/>
    <s v="Financial services"/>
    <x v="3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020"/>
    <x v="214"/>
    <x v="3"/>
    <s v="Sebastian Kulczyk"/>
    <n v="42"/>
    <x v="7"/>
    <x v="8"/>
    <m/>
    <s v="Diversified"/>
    <x v="3"/>
    <s v="Poland"/>
    <m/>
    <x v="0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020"/>
    <x v="214"/>
    <x v="11"/>
    <s v="Kwee Liong Keng"/>
    <n v="77"/>
    <x v="7"/>
    <x v="25"/>
    <s v="Singapore"/>
    <s v="Real estate"/>
    <x v="11"/>
    <s v="Singapore"/>
    <m/>
    <x v="0"/>
    <s v="Split Family Fortune"/>
    <x v="0"/>
    <m/>
    <n v="114.41"/>
    <n v="0.6"/>
    <s v="$372,062,527,489 "/>
    <x v="23"/>
    <n v="100.6"/>
    <n v="83.1"/>
    <n v="13.1"/>
    <n v="21"/>
    <x v="24"/>
    <n v="1.3520829999999999"/>
    <n v="103.819836"/>
  </r>
  <r>
    <n v="2020"/>
    <x v="214"/>
    <x v="11"/>
    <s v="Kwee Liong Phing"/>
    <n v="65"/>
    <x v="7"/>
    <x v="25"/>
    <s v="Singapore"/>
    <s v="Real estate"/>
    <x v="11"/>
    <s v="Singapore"/>
    <m/>
    <x v="0"/>
    <s v="Split Family Fortune"/>
    <x v="0"/>
    <m/>
    <n v="114.41"/>
    <n v="0.6"/>
    <s v="$372,062,527,489 "/>
    <x v="23"/>
    <n v="100.6"/>
    <n v="83.1"/>
    <n v="13.1"/>
    <n v="21"/>
    <x v="24"/>
    <n v="1.3520829999999999"/>
    <n v="103.819836"/>
  </r>
  <r>
    <n v="2020"/>
    <x v="214"/>
    <x v="11"/>
    <s v="Kwee Liong Seen"/>
    <n v="70"/>
    <x v="7"/>
    <x v="25"/>
    <s v="Singapore"/>
    <s v="Real estate"/>
    <x v="11"/>
    <s v="Singapore"/>
    <m/>
    <x v="0"/>
    <s v="Split Family Fortune"/>
    <x v="0"/>
    <m/>
    <n v="114.41"/>
    <n v="0.6"/>
    <s v="$372,062,527,489 "/>
    <x v="23"/>
    <n v="100.6"/>
    <n v="83.1"/>
    <n v="13.1"/>
    <n v="21"/>
    <x v="24"/>
    <n v="1.3520829999999999"/>
    <n v="103.819836"/>
  </r>
  <r>
    <n v="2020"/>
    <x v="214"/>
    <x v="11"/>
    <s v="Kwee Liong Tek"/>
    <n v="76"/>
    <x v="7"/>
    <x v="25"/>
    <s v="Singapore"/>
    <s v="Real estate"/>
    <x v="11"/>
    <s v="Singapore"/>
    <m/>
    <x v="0"/>
    <s v="Split Family Fortune"/>
    <x v="0"/>
    <m/>
    <n v="114.41"/>
    <n v="0.6"/>
    <s v="$372,062,527,489 "/>
    <x v="23"/>
    <n v="100.6"/>
    <n v="83.1"/>
    <n v="13.1"/>
    <n v="21"/>
    <x v="24"/>
    <n v="1.3520829999999999"/>
    <n v="103.819836"/>
  </r>
  <r>
    <n v="2020"/>
    <x v="214"/>
    <x v="6"/>
    <s v="Kwek Leng Keow"/>
    <n v="71"/>
    <x v="7"/>
    <x v="25"/>
    <s v="Singapore"/>
    <s v="Diversified"/>
    <x v="6"/>
    <s v="Singapore"/>
    <m/>
    <x v="0"/>
    <s v="N"/>
    <x v="0"/>
    <m/>
    <n v="114.41"/>
    <n v="0.6"/>
    <s v="$372,062,527,489 "/>
    <x v="23"/>
    <n v="100.6"/>
    <n v="83.1"/>
    <n v="13.1"/>
    <n v="21"/>
    <x v="24"/>
    <n v="1.3520829999999999"/>
    <n v="103.819836"/>
  </r>
  <r>
    <n v="2020"/>
    <x v="214"/>
    <x v="6"/>
    <s v="Kwek Leng Peck"/>
    <n v="67"/>
    <x v="7"/>
    <x v="25"/>
    <s v="Singapore"/>
    <s v="Diversified"/>
    <x v="6"/>
    <s v="Singapore"/>
    <m/>
    <x v="0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2020"/>
    <x v="214"/>
    <x v="11"/>
    <s v="Raymond Kwok"/>
    <n v="69"/>
    <x v="7"/>
    <x v="10"/>
    <s v="Hong Kong"/>
    <s v="Real estate"/>
    <x v="11"/>
    <s v="Hong Kong"/>
    <m/>
    <x v="0"/>
    <s v="U"/>
    <x v="0"/>
    <m/>
    <m/>
    <m/>
    <m/>
    <x v="10"/>
    <m/>
    <m/>
    <m/>
    <m/>
    <x v="10"/>
    <m/>
    <m/>
  </r>
  <r>
    <n v="2020"/>
    <x v="214"/>
    <x v="6"/>
    <s v="Lee Ho-jin"/>
    <n v="60"/>
    <x v="7"/>
    <x v="32"/>
    <s v="Seoul"/>
    <s v="Diversified"/>
    <x v="6"/>
    <s v="South Korea"/>
    <s v="Taekwang Industrial"/>
    <x v="0"/>
    <s v="U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020"/>
    <x v="214"/>
    <x v="3"/>
    <s v="Michael Lee-Chin"/>
    <n v="72"/>
    <x v="7"/>
    <x v="6"/>
    <s v="Burlington"/>
    <s v="Mutual funds"/>
    <x v="3"/>
    <s v="Canada"/>
    <m/>
    <x v="1"/>
    <s v="D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2020"/>
    <x v="214"/>
    <x v="15"/>
    <s v="Manfredi Lefebvre d'Ovidio &amp; family"/>
    <n v="69"/>
    <x v="7"/>
    <x v="19"/>
    <s v="Monte Carlo"/>
    <s v="Cruises"/>
    <x v="15"/>
    <s v="Italy"/>
    <m/>
    <x v="0"/>
    <s v="D"/>
    <x v="0"/>
    <m/>
    <m/>
    <m/>
    <s v="$7,184,844,193 "/>
    <x v="10"/>
    <m/>
    <m/>
    <m/>
    <m/>
    <x v="19"/>
    <n v="43.738417599999998"/>
    <n v="7.4246157999999998"/>
  </r>
  <r>
    <n v="2020"/>
    <x v="214"/>
    <x v="0"/>
    <s v="Bernard Lewis &amp; family"/>
    <n v="97"/>
    <x v="7"/>
    <x v="13"/>
    <s v="London"/>
    <s v="Fashion retailer"/>
    <x v="0"/>
    <s v="United Kingdom"/>
    <m/>
    <x v="1"/>
    <s v="U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020"/>
    <x v="214"/>
    <x v="12"/>
    <s v="Li Jinyang"/>
    <m/>
    <x v="7"/>
    <x v="5"/>
    <s v="Chifeng"/>
    <s v="Mining"/>
    <x v="12"/>
    <s v="China"/>
    <m/>
    <x v="0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"/>
    <s v="William Li"/>
    <n v="48"/>
    <x v="7"/>
    <x v="5"/>
    <s v="Beijing"/>
    <s v="Electric vehicle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Jenny LindÃ©n Urnes"/>
    <n v="52"/>
    <x v="7"/>
    <x v="21"/>
    <s v="Helsingborg"/>
    <s v="Powdered metal"/>
    <x v="10"/>
    <s v="Sweden"/>
    <m/>
    <x v="0"/>
    <s v="E"/>
    <x v="1"/>
    <m/>
    <n v="110.51"/>
    <n v="1.8"/>
    <s v="$530,832,908,738 "/>
    <x v="20"/>
    <n v="126.6"/>
    <n v="82.5"/>
    <n v="27.9"/>
    <n v="49.1"/>
    <x v="21"/>
    <n v="60.128160999999999"/>
    <n v="18.643501000000001"/>
  </r>
  <r>
    <n v="2020"/>
    <x v="214"/>
    <x v="14"/>
    <s v="Liu Fangyi"/>
    <n v="53"/>
    <x v="7"/>
    <x v="5"/>
    <s v="Shanghai"/>
    <s v="Medical equipment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2"/>
    <s v="K.C. Liu"/>
    <n v="69"/>
    <x v="7"/>
    <x v="35"/>
    <s v="Taipei"/>
    <s v="Manufacturing"/>
    <x v="2"/>
    <s v="Taiwan"/>
    <m/>
    <x v="1"/>
    <s v="D"/>
    <x v="0"/>
    <m/>
    <m/>
    <m/>
    <m/>
    <x v="10"/>
    <m/>
    <m/>
    <m/>
    <m/>
    <x v="10"/>
    <m/>
    <m/>
  </r>
  <r>
    <n v="2020"/>
    <x v="214"/>
    <x v="10"/>
    <s v="Liu Ming Chung"/>
    <n v="60"/>
    <x v="7"/>
    <x v="10"/>
    <s v="Hong Kong"/>
    <s v="Paper"/>
    <x v="10"/>
    <s v="Brazil"/>
    <m/>
    <x v="1"/>
    <s v="D"/>
    <x v="0"/>
    <m/>
    <m/>
    <m/>
    <m/>
    <x v="10"/>
    <m/>
    <m/>
    <m/>
    <m/>
    <x v="10"/>
    <m/>
    <m/>
  </r>
  <r>
    <n v="2020"/>
    <x v="214"/>
    <x v="12"/>
    <s v="Anatoly Lomakin"/>
    <n v="70"/>
    <x v="7"/>
    <x v="17"/>
    <s v="Moscow"/>
    <s v="Investments"/>
    <x v="12"/>
    <s v="Russia"/>
    <m/>
    <x v="1"/>
    <s v="E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020"/>
    <x v="214"/>
    <x v="7"/>
    <s v="Brandt Louie"/>
    <n v="79"/>
    <x v="7"/>
    <x v="6"/>
    <s v="Vancouver"/>
    <s v="Drugstores"/>
    <x v="7"/>
    <s v="Canada"/>
    <m/>
    <x v="0"/>
    <s v="D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2020"/>
    <x v="214"/>
    <x v="6"/>
    <s v="Lucia Maggi &amp; family"/>
    <n v="90"/>
    <x v="7"/>
    <x v="30"/>
    <s v="Rondonopolis"/>
    <s v="Agribusiness"/>
    <x v="6"/>
    <s v="Brazil"/>
    <m/>
    <x v="1"/>
    <s v="Split Family Fortune"/>
    <x v="1"/>
    <s v="Philanthropist"/>
    <n v="167.4"/>
    <n v="3.7"/>
    <s v="$1,839,758,040,766 "/>
    <x v="28"/>
    <n v="115.4"/>
    <n v="75.7"/>
    <n v="14.2"/>
    <n v="65.099999999999994"/>
    <x v="29"/>
    <n v="-14.235004"/>
    <n v="-51.925280000000001"/>
  </r>
  <r>
    <n v="2020"/>
    <x v="214"/>
    <x v="4"/>
    <s v="Gary Magness"/>
    <n v="69"/>
    <x v="7"/>
    <x v="1"/>
    <s v="Denver"/>
    <s v="Cable TV, investments"/>
    <x v="4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2"/>
    <s v="Mao Lixiang &amp; family"/>
    <n v="82"/>
    <x v="7"/>
    <x v="5"/>
    <s v="Ningbo"/>
    <s v="Cooking appliance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David McMurtry"/>
    <n v="82"/>
    <x v="7"/>
    <x v="13"/>
    <s v="Wotton-under-Edge"/>
    <s v="Manufacturing"/>
    <x v="10"/>
    <s v="United Kingdom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020"/>
    <x v="214"/>
    <x v="10"/>
    <s v="Deepak Mehta"/>
    <n v="66"/>
    <x v="7"/>
    <x v="3"/>
    <s v="Vadodara"/>
    <s v="Chemicals"/>
    <x v="10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020"/>
    <x v="214"/>
    <x v="11"/>
    <s v="Miao Shouliang"/>
    <n v="68"/>
    <x v="7"/>
    <x v="5"/>
    <s v="Shenzhen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4"/>
    <s v="Miao Yongjun"/>
    <n v="55"/>
    <x v="7"/>
    <x v="5"/>
    <s v="Zhengzhou"/>
    <s v="Clinical diagnostics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1"/>
    <s v="Yoshiko Mori"/>
    <n v="82"/>
    <x v="7"/>
    <x v="12"/>
    <s v="Tokyo"/>
    <s v="Real estate"/>
    <x v="11"/>
    <s v="Japan"/>
    <m/>
    <x v="0"/>
    <s v="U"/>
    <x v="1"/>
    <m/>
    <n v="105.48"/>
    <n v="0.5"/>
    <s v="$5,081,769,542,380 "/>
    <x v="12"/>
    <n v="98.8"/>
    <n v="84.2"/>
    <n v="11.9"/>
    <n v="46.7"/>
    <x v="12"/>
    <n v="36.204824000000002"/>
    <n v="138.25292400000001"/>
  </r>
  <r>
    <n v="2020"/>
    <x v="214"/>
    <x v="2"/>
    <s v="Marius Nacht"/>
    <n v="57"/>
    <x v="7"/>
    <x v="27"/>
    <s v="Tel Aviv"/>
    <s v="Software"/>
    <x v="2"/>
    <s v="Israel"/>
    <m/>
    <x v="1"/>
    <s v="E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2020"/>
    <x v="214"/>
    <x v="14"/>
    <s v="Tadako Nakatani"/>
    <m/>
    <x v="7"/>
    <x v="12"/>
    <s v="Kobe"/>
    <s v="Medical diagnostic equipment"/>
    <x v="14"/>
    <s v="Japan"/>
    <m/>
    <x v="0"/>
    <s v="D"/>
    <x v="1"/>
    <m/>
    <n v="105.48"/>
    <n v="0.5"/>
    <s v="$5,081,769,542,380 "/>
    <x v="12"/>
    <n v="98.8"/>
    <n v="84.2"/>
    <n v="11.9"/>
    <n v="46.7"/>
    <x v="12"/>
    <n v="36.204824000000002"/>
    <n v="138.25292400000001"/>
  </r>
  <r>
    <n v="2020"/>
    <x v="214"/>
    <x v="12"/>
    <s v="Vadim Novinsky"/>
    <n v="59"/>
    <x v="7"/>
    <x v="44"/>
    <s v="Kiev"/>
    <s v="Steel"/>
    <x v="12"/>
    <s v="Ukraine"/>
    <m/>
    <x v="1"/>
    <s v="U"/>
    <x v="0"/>
    <m/>
    <n v="281.66000000000003"/>
    <n v="7.9"/>
    <s v="$153,781,069,118 "/>
    <x v="38"/>
    <n v="99"/>
    <n v="71.599999999999994"/>
    <n v="20.100000000000001"/>
    <n v="45.2"/>
    <x v="40"/>
    <n v="48.379432999999999"/>
    <n v="31.165579999999999"/>
  </r>
  <r>
    <n v="2020"/>
    <x v="214"/>
    <x v="3"/>
    <s v="Niti Osathanugrah"/>
    <n v="49"/>
    <x v="7"/>
    <x v="23"/>
    <s v="Bangkok"/>
    <s v="Energy drinks,investments"/>
    <x v="3"/>
    <s v="Thailand"/>
    <m/>
    <x v="0"/>
    <s v="D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2020"/>
    <x v="214"/>
    <x v="3"/>
    <s v="Gretel Packer"/>
    <n v="57"/>
    <x v="7"/>
    <x v="14"/>
    <s v="Sydney"/>
    <s v="Investments"/>
    <x v="3"/>
    <s v="Australia"/>
    <m/>
    <x v="0"/>
    <s v="D"/>
    <x v="1"/>
    <m/>
    <n v="119.8"/>
    <n v="1.6"/>
    <s v="$1,392,680,589,329 "/>
    <x v="14"/>
    <n v="100.3"/>
    <n v="82.7"/>
    <n v="23"/>
    <n v="47.4"/>
    <x v="14"/>
    <n v="-25.274398000000001"/>
    <n v="133.775136"/>
  </r>
  <r>
    <n v="2020"/>
    <x v="214"/>
    <x v="10"/>
    <s v="Pan Longquan"/>
    <n v="58"/>
    <x v="7"/>
    <x v="5"/>
    <s v="Nanjing"/>
    <s v="Manufacturing"/>
    <x v="10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1"/>
    <s v="Pan Shiyi"/>
    <n v="60"/>
    <x v="7"/>
    <x v="5"/>
    <s v="Beijing"/>
    <s v="Real estate"/>
    <x v="11"/>
    <s v="China"/>
    <m/>
    <x v="1"/>
    <s v="Split Family Fortune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4"/>
    <s v="David Paul"/>
    <n v="56"/>
    <x v="1"/>
    <x v="1"/>
    <s v="Audubon"/>
    <s v="Medical devices"/>
    <x v="14"/>
    <s v="United States"/>
    <s v="Globus Medical"/>
    <x v="1"/>
    <s v="D"/>
    <x v="0"/>
    <s v="Founder and Executive Chairman"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0"/>
    <s v="Tom Persson"/>
    <n v="38"/>
    <x v="7"/>
    <x v="21"/>
    <s v="Stockholm"/>
    <s v="H&amp;M"/>
    <x v="0"/>
    <s v="Sweden"/>
    <m/>
    <x v="0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2020"/>
    <x v="214"/>
    <x v="1"/>
    <s v="Qian Jinghong"/>
    <n v="50"/>
    <x v="7"/>
    <x v="5"/>
    <s v="Wuxi"/>
    <s v="Electric scooters"/>
    <x v="1"/>
    <s v="China"/>
    <m/>
    <x v="1"/>
    <s v="R"/>
    <x v="1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Qin Long"/>
    <n v="57"/>
    <x v="7"/>
    <x v="5"/>
    <s v="Qingdao"/>
    <s v="Tire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4"/>
    <s v="M.Satyanarayana Reddy"/>
    <n v="65"/>
    <x v="7"/>
    <x v="3"/>
    <s v="Hyderabad"/>
    <s v="Pharmaceuticals"/>
    <x v="14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020"/>
    <x v="214"/>
    <x v="6"/>
    <s v="Mochtar Riady &amp; family"/>
    <n v="93"/>
    <x v="7"/>
    <x v="15"/>
    <s v="Jakarta"/>
    <s v="Diversified"/>
    <x v="6"/>
    <s v="Indonesia"/>
    <m/>
    <x v="1"/>
    <s v="D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020"/>
    <x v="214"/>
    <x v="0"/>
    <s v="Rihanna"/>
    <n v="35"/>
    <x v="7"/>
    <x v="1"/>
    <s v="Los Angeles"/>
    <s v="Music, cosmetics"/>
    <x v="0"/>
    <s v="Barbados"/>
    <m/>
    <x v="1"/>
    <s v="D"/>
    <x v="1"/>
    <s v="Musician"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16"/>
    <s v="Boris Rotenberg"/>
    <n v="66"/>
    <x v="7"/>
    <x v="17"/>
    <s v="Moscow"/>
    <s v="Construction, pipes, chemicals"/>
    <x v="16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020"/>
    <x v="214"/>
    <x v="11"/>
    <s v="Subhash Runwal"/>
    <n v="79"/>
    <x v="7"/>
    <x v="3"/>
    <s v="Mumbai"/>
    <s v="Real estate"/>
    <x v="11"/>
    <s v="India"/>
    <m/>
    <x v="1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020"/>
    <x v="214"/>
    <x v="10"/>
    <s v="Igor Rybakov"/>
    <n v="50"/>
    <x v="7"/>
    <x v="17"/>
    <s v="Moscow"/>
    <s v="Building materials"/>
    <x v="10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020"/>
    <x v="214"/>
    <x v="14"/>
    <s v="Carlos Sanchez"/>
    <n v="61"/>
    <x v="7"/>
    <x v="30"/>
    <s v="Santo Andre"/>
    <s v="Generic drugs"/>
    <x v="14"/>
    <s v="Brazil"/>
    <m/>
    <x v="0"/>
    <s v="E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020"/>
    <x v="214"/>
    <x v="11"/>
    <s v="Martin Selig"/>
    <n v="85"/>
    <x v="7"/>
    <x v="1"/>
    <s v="Seattle"/>
    <s v="Real estate"/>
    <x v="11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13"/>
    <s v="Airat Shaimiev"/>
    <n v="61"/>
    <x v="7"/>
    <x v="17"/>
    <s v="Kazan"/>
    <s v="Refinery, chemicals"/>
    <x v="1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020"/>
    <x v="214"/>
    <x v="13"/>
    <s v="Radik Shaimiev"/>
    <n v="58"/>
    <x v="7"/>
    <x v="17"/>
    <s v="Kazan"/>
    <s v="Refinery, chemicals"/>
    <x v="13"/>
    <s v="Russia"/>
    <m/>
    <x v="1"/>
    <s v="U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020"/>
    <x v="214"/>
    <x v="0"/>
    <s v="Nobutoshi Shimamura"/>
    <n v="97"/>
    <x v="7"/>
    <x v="12"/>
    <s v="Saitama"/>
    <s v="Retail"/>
    <x v="0"/>
    <s v="Japan"/>
    <m/>
    <x v="1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020"/>
    <x v="214"/>
    <x v="2"/>
    <s v="Jared Smith"/>
    <n v="48"/>
    <x v="7"/>
    <x v="1"/>
    <s v="Provo"/>
    <s v="Cloud computing"/>
    <x v="2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0"/>
    <s v="Charlotte Soderstrom"/>
    <n v="46"/>
    <x v="7"/>
    <x v="21"/>
    <s v="Stockholm"/>
    <s v="H&amp;M"/>
    <x v="0"/>
    <s v="Sweden"/>
    <m/>
    <x v="0"/>
    <s v="D"/>
    <x v="1"/>
    <m/>
    <n v="110.51"/>
    <n v="1.8"/>
    <s v="$530,832,908,738 "/>
    <x v="20"/>
    <n v="126.6"/>
    <n v="82.5"/>
    <n v="27.9"/>
    <n v="49.1"/>
    <x v="21"/>
    <n v="60.128160999999999"/>
    <n v="18.643501000000001"/>
  </r>
  <r>
    <n v="2020"/>
    <x v="214"/>
    <x v="14"/>
    <s v="Anand Surana"/>
    <n v="52"/>
    <x v="7"/>
    <x v="3"/>
    <s v="Bangalore"/>
    <s v="Pharmaceuticals"/>
    <x v="14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020"/>
    <x v="214"/>
    <x v="14"/>
    <s v="Dilip Surana"/>
    <n v="57"/>
    <x v="7"/>
    <x v="3"/>
    <s v="Bangalore"/>
    <s v="Pharmaceuticals"/>
    <x v="14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020"/>
    <x v="214"/>
    <x v="3"/>
    <s v="Wilma Tisch"/>
    <n v="95"/>
    <x v="7"/>
    <x v="1"/>
    <s v="New York"/>
    <s v="Diversified"/>
    <x v="3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2"/>
    <s v="Jianyi Wang"/>
    <n v="60"/>
    <x v="7"/>
    <x v="5"/>
    <s v="Hangzhou"/>
    <s v="Fiber optic cables"/>
    <x v="2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8"/>
    <s v="Wang Jilei"/>
    <n v="58"/>
    <x v="7"/>
    <x v="5"/>
    <s v="Shanghai"/>
    <s v="Logistics"/>
    <x v="8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Shuifu Wang"/>
    <n v="68"/>
    <x v="7"/>
    <x v="5"/>
    <s v="Hangzhou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Wang Yanqing &amp; family"/>
    <n v="76"/>
    <x v="7"/>
    <x v="5"/>
    <s v="Weihai"/>
    <s v="Carbon fiber products"/>
    <x v="10"/>
    <s v="China"/>
    <m/>
    <x v="0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2"/>
    <s v="Wang Zelong"/>
    <n v="26"/>
    <x v="7"/>
    <x v="5"/>
    <s v="Jiaozuo"/>
    <s v="Chemicals"/>
    <x v="12"/>
    <s v="China"/>
    <m/>
    <x v="0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Werner O. Weber"/>
    <n v="84"/>
    <x v="7"/>
    <x v="8"/>
    <s v="Zurich"/>
    <s v="Electronic components"/>
    <x v="10"/>
    <s v="Switzerland"/>
    <m/>
    <x v="1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020"/>
    <x v="214"/>
    <x v="10"/>
    <s v="Anne Werninghaus"/>
    <n v="37"/>
    <x v="7"/>
    <x v="30"/>
    <s v="Joinville"/>
    <s v="Industrial machinery"/>
    <x v="10"/>
    <s v="Brazil"/>
    <m/>
    <x v="0"/>
    <s v="U"/>
    <x v="1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020"/>
    <x v="214"/>
    <x v="3"/>
    <s v="Alfred West, Jr."/>
    <n v="80"/>
    <x v="7"/>
    <x v="1"/>
    <s v="Paoli"/>
    <s v="Money management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020"/>
    <x v="214"/>
    <x v="10"/>
    <s v="Bo Wu"/>
    <n v="68"/>
    <x v="7"/>
    <x v="5"/>
    <s v="Nanjing"/>
    <s v="Machinery"/>
    <x v="10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Wu Chaoqun"/>
    <n v="53"/>
    <x v="7"/>
    <x v="5"/>
    <s v="Meishan"/>
    <s v="Chemical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2"/>
    <s v="Swift Xie"/>
    <n v="43"/>
    <x v="5"/>
    <x v="5"/>
    <s v="Shenzhen"/>
    <s v="Drones"/>
    <x v="2"/>
    <s v="China"/>
    <s v="DJI Technology Co."/>
    <x v="1"/>
    <s v="E"/>
    <x v="0"/>
    <s v="Chief Marketing Officer"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Xu Guozhong &amp; family"/>
    <n v="59"/>
    <x v="7"/>
    <x v="5"/>
    <s v="Changzhou"/>
    <s v="Motor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7"/>
    <s v="Yao Kuizhang"/>
    <n v="58"/>
    <x v="7"/>
    <x v="5"/>
    <s v="Hengshui"/>
    <s v="Beverages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1"/>
    <s v="Yu Peidi"/>
    <n v="63"/>
    <x v="7"/>
    <x v="5"/>
    <s v="Shanghai"/>
    <s v="Real estate"/>
    <x v="11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4"/>
    <s v="Yuan Liping"/>
    <n v="52"/>
    <x v="7"/>
    <x v="5"/>
    <s v="Shenzhen"/>
    <s v="Pharmaceuticals"/>
    <x v="14"/>
    <s v="Canada"/>
    <m/>
    <x v="0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Zhang Chuanwei &amp; family"/>
    <n v="60"/>
    <x v="7"/>
    <x v="5"/>
    <s v="Zhongshan"/>
    <s v="Machinery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1"/>
    <s v="Zhang Keqiang"/>
    <n v="62"/>
    <x v="7"/>
    <x v="5"/>
    <s v="Guangzhou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1"/>
    <s v="Zhang Xin"/>
    <n v="57"/>
    <x v="1"/>
    <x v="5"/>
    <s v="Beijing"/>
    <s v="Real estate"/>
    <x v="11"/>
    <s v="China"/>
    <s v="SOHO China"/>
    <x v="1"/>
    <s v="Split Family Fortune"/>
    <x v="1"/>
    <s v="Cofounder, CEO"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Xinghai Zhang &amp; family"/>
    <n v="60"/>
    <x v="7"/>
    <x v="5"/>
    <s v="Chongqing"/>
    <s v="Machinery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0"/>
    <s v="Zheng Jianjiang &amp; family"/>
    <n v="62"/>
    <x v="7"/>
    <x v="5"/>
    <s v="Ningbo"/>
    <s v="Electrical equipment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11"/>
    <s v="Zhong Sheng Jian"/>
    <n v="65"/>
    <x v="7"/>
    <x v="25"/>
    <s v="Singapore"/>
    <s v="Real estate"/>
    <x v="11"/>
    <s v="Singapore"/>
    <m/>
    <x v="1"/>
    <s v="D"/>
    <x v="0"/>
    <m/>
    <n v="114.41"/>
    <n v="0.6"/>
    <s v="$372,062,527,489 "/>
    <x v="23"/>
    <n v="100.6"/>
    <n v="83.1"/>
    <n v="13.1"/>
    <n v="21"/>
    <x v="24"/>
    <n v="1.3520829999999999"/>
    <n v="103.819836"/>
  </r>
  <r>
    <n v="2020"/>
    <x v="214"/>
    <x v="0"/>
    <s v="Zhou Chengjian"/>
    <n v="57"/>
    <x v="7"/>
    <x v="5"/>
    <s v="Shanghai"/>
    <s v="Fashion retail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020"/>
    <x v="214"/>
    <x v="6"/>
    <s v="Boris Zingarevich"/>
    <n v="63"/>
    <x v="7"/>
    <x v="17"/>
    <s v="Saint Petersburg"/>
    <s v="Pulp and paper, diversified"/>
    <x v="6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133"/>
    <x v="215"/>
    <x v="1"/>
    <s v="A. Jayson Adair"/>
    <n v="53"/>
    <x v="7"/>
    <x v="1"/>
    <s v="Dallas"/>
    <s v="Damaged cars"/>
    <x v="1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8"/>
    <s v="Soegiarto Adikoesoemo"/>
    <n v="85"/>
    <x v="7"/>
    <x v="15"/>
    <s v="Surabaya"/>
    <s v="Chemicals"/>
    <x v="8"/>
    <s v="Indonesia"/>
    <m/>
    <x v="1"/>
    <s v="R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133"/>
    <x v="215"/>
    <x v="14"/>
    <s v="Rajendra Agarwal"/>
    <n v="64"/>
    <x v="7"/>
    <x v="3"/>
    <s v="Mumbai"/>
    <s v="Pharmaceuticals"/>
    <x v="14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14"/>
    <s v="Chirayu Amin"/>
    <n v="76"/>
    <x v="7"/>
    <x v="3"/>
    <s v="Baroda"/>
    <s v="Pharmaceuticals"/>
    <x v="14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11"/>
    <s v="Anant Asavabhokhin"/>
    <n v="72"/>
    <x v="7"/>
    <x v="23"/>
    <s v="Bangkok"/>
    <s v="Real estate"/>
    <x v="11"/>
    <s v="Thailand"/>
    <m/>
    <x v="1"/>
    <s v="E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2133"/>
    <x v="215"/>
    <x v="3"/>
    <s v="Roman Avdeev"/>
    <n v="55"/>
    <x v="7"/>
    <x v="17"/>
    <s v="Moscow"/>
    <s v="Banking, development"/>
    <x v="3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133"/>
    <x v="215"/>
    <x v="1"/>
    <s v="Ziv Aviram"/>
    <n v="64"/>
    <x v="7"/>
    <x v="27"/>
    <s v="Mevaseret Zion"/>
    <s v="Automotive technology"/>
    <x v="1"/>
    <s v="Israel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2133"/>
    <x v="215"/>
    <x v="0"/>
    <s v="Sachin Bansal"/>
    <n v="41"/>
    <x v="7"/>
    <x v="3"/>
    <s v="Bangalore"/>
    <s v="Flipkart"/>
    <x v="0"/>
    <s v="India"/>
    <m/>
    <x v="1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13"/>
    <s v="Kiki Barki"/>
    <n v="83"/>
    <x v="7"/>
    <x v="15"/>
    <s v="Jakarta"/>
    <s v="Coal"/>
    <x v="13"/>
    <s v="Indonesia"/>
    <m/>
    <x v="1"/>
    <s v="D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133"/>
    <x v="215"/>
    <x v="16"/>
    <s v="Elena Baturina"/>
    <n v="60"/>
    <x v="7"/>
    <x v="13"/>
    <s v="London"/>
    <s v="Investments, real estate"/>
    <x v="16"/>
    <s v="Russia"/>
    <m/>
    <x v="1"/>
    <s v="D"/>
    <x v="1"/>
    <m/>
    <n v="119.62"/>
    <n v="1.7"/>
    <s v="$2,827,113,184,696 "/>
    <x v="13"/>
    <n v="101.2"/>
    <n v="81.3"/>
    <n v="25.5"/>
    <n v="30.6"/>
    <x v="13"/>
    <n v="55.378050999999999"/>
    <n v="-3.4359730000000002"/>
  </r>
  <r>
    <n v="2133"/>
    <x v="215"/>
    <x v="14"/>
    <s v="Banwari Lal Bawri"/>
    <n v="70"/>
    <x v="7"/>
    <x v="3"/>
    <s v="Mumbai"/>
    <s v="Pharmaceuticals"/>
    <x v="14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3"/>
    <s v="Othman Benjelloun &amp; family"/>
    <n v="90"/>
    <x v="7"/>
    <x v="72"/>
    <s v="Casablanca"/>
    <s v="Banking, insurance"/>
    <x v="3"/>
    <s v="Morocco"/>
    <m/>
    <x v="0"/>
    <s v="E"/>
    <x v="0"/>
    <m/>
    <n v="111.07"/>
    <n v="0.2"/>
    <s v="$118,725,279,596 "/>
    <x v="58"/>
    <n v="113.9"/>
    <n v="76.5"/>
    <n v="21.9"/>
    <n v="45.8"/>
    <x v="62"/>
    <n v="31.791702000000001"/>
    <n v="-7.0926200000000001"/>
  </r>
  <r>
    <n v="2133"/>
    <x v="215"/>
    <x v="6"/>
    <s v="Hari Bhartia"/>
    <n v="66"/>
    <x v="7"/>
    <x v="3"/>
    <s v="Delhi"/>
    <s v="Diversified"/>
    <x v="6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14"/>
    <s v="Shyam Bhartia"/>
    <n v="70"/>
    <x v="7"/>
    <x v="3"/>
    <s v="Delhi"/>
    <s v="Pharmaceuticals, food"/>
    <x v="14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2"/>
    <s v="Stewart Butterfield"/>
    <n v="50"/>
    <x v="1"/>
    <x v="1"/>
    <s v="Aspen"/>
    <s v="Messaging software"/>
    <x v="2"/>
    <s v="Canada"/>
    <s v="Slack"/>
    <x v="1"/>
    <s v="D"/>
    <x v="0"/>
    <s v="Cofounder and CEO"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2"/>
    <s v="Cai Mingtong"/>
    <n v="71"/>
    <x v="7"/>
    <x v="5"/>
    <s v="Quanzhou"/>
    <s v="Electronic component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2"/>
    <s v="Anthony Casalena"/>
    <n v="40"/>
    <x v="7"/>
    <x v="1"/>
    <s v="Monkton"/>
    <s v="Software"/>
    <x v="2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10"/>
    <s v="Chang Jianming &amp; family"/>
    <n v="58"/>
    <x v="7"/>
    <x v="5"/>
    <s v="Shanghai"/>
    <s v="Industrial equipment"/>
    <x v="10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1"/>
    <s v="Richard Chang"/>
    <n v="76"/>
    <x v="7"/>
    <x v="35"/>
    <s v="Taipei"/>
    <s v="Real estate, electronics"/>
    <x v="11"/>
    <s v="Taiwan"/>
    <m/>
    <x v="1"/>
    <s v="D"/>
    <x v="0"/>
    <m/>
    <m/>
    <m/>
    <m/>
    <x v="10"/>
    <m/>
    <m/>
    <m/>
    <m/>
    <x v="10"/>
    <m/>
    <m/>
  </r>
  <r>
    <n v="2133"/>
    <x v="215"/>
    <x v="12"/>
    <s v="Chen Xuehua"/>
    <n v="62"/>
    <x v="7"/>
    <x v="5"/>
    <s v="Tongxiang"/>
    <s v="Minerals processing"/>
    <x v="1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0"/>
    <s v="Chen Yin"/>
    <n v="50"/>
    <x v="7"/>
    <x v="5"/>
    <s v="Shanghai"/>
    <s v="Power tools"/>
    <x v="10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"/>
    <s v="Chin Jong Hwa"/>
    <n v="64"/>
    <x v="7"/>
    <x v="35"/>
    <s v="Taoyuan"/>
    <s v="Auto parts"/>
    <x v="1"/>
    <s v="Taiwan"/>
    <m/>
    <x v="1"/>
    <s v="D"/>
    <x v="0"/>
    <m/>
    <m/>
    <m/>
    <m/>
    <x v="10"/>
    <m/>
    <m/>
    <m/>
    <m/>
    <x v="10"/>
    <m/>
    <m/>
  </r>
  <r>
    <n v="2133"/>
    <x v="215"/>
    <x v="5"/>
    <s v="R. Marcelo Claure"/>
    <n v="52"/>
    <x v="7"/>
    <x v="1"/>
    <s v="Miami Beach"/>
    <s v="Cell phone distribution"/>
    <x v="5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3"/>
    <s v="Alberto Cortina"/>
    <n v="77"/>
    <x v="7"/>
    <x v="4"/>
    <s v="Madrid"/>
    <s v="Investments"/>
    <x v="3"/>
    <s v="Spain"/>
    <m/>
    <x v="1"/>
    <s v="E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2133"/>
    <x v="215"/>
    <x v="11"/>
    <s v="Eduardo Costantini"/>
    <n v="76"/>
    <x v="7"/>
    <x v="48"/>
    <s v="Buenos Aires"/>
    <s v="Real estate"/>
    <x v="11"/>
    <s v="Argentina"/>
    <m/>
    <x v="1"/>
    <s v="D"/>
    <x v="0"/>
    <m/>
    <n v="232.75"/>
    <n v="53.5"/>
    <s v="$449,663,446,954 "/>
    <x v="41"/>
    <n v="109.7"/>
    <n v="76.5"/>
    <n v="10.1"/>
    <n v="106.3"/>
    <x v="43"/>
    <n v="-38.416097000000001"/>
    <n v="-63.616672000000001"/>
  </r>
  <r>
    <n v="2133"/>
    <x v="215"/>
    <x v="7"/>
    <s v="Wenjun Dai"/>
    <n v="54"/>
    <x v="7"/>
    <x v="5"/>
    <s v="Changsha"/>
    <s v="Food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2"/>
    <s v="Anand Deshpande"/>
    <n v="60"/>
    <x v="7"/>
    <x v="3"/>
    <s v="Pune"/>
    <s v="Technology"/>
    <x v="2"/>
    <s v="India"/>
    <m/>
    <x v="1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4"/>
    <s v="Aydin Dogan"/>
    <n v="86"/>
    <x v="7"/>
    <x v="47"/>
    <s v="Istanbul"/>
    <s v="Media"/>
    <x v="4"/>
    <s v="Turkey"/>
    <m/>
    <x v="1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2133"/>
    <x v="215"/>
    <x v="3"/>
    <s v="Annalisa Doris"/>
    <n v="52"/>
    <x v="7"/>
    <x v="28"/>
    <s v="Segrate"/>
    <s v="Financial services"/>
    <x v="3"/>
    <s v="Italy"/>
    <m/>
    <x v="0"/>
    <s v="N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2133"/>
    <x v="215"/>
    <x v="3"/>
    <s v="Massimo Doris"/>
    <n v="55"/>
    <x v="7"/>
    <x v="28"/>
    <s v="Milan"/>
    <s v="Financial services"/>
    <x v="3"/>
    <s v="Italy"/>
    <m/>
    <x v="0"/>
    <s v="N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2133"/>
    <x v="215"/>
    <x v="14"/>
    <s v="Weimin Du"/>
    <n v="59"/>
    <x v="7"/>
    <x v="5"/>
    <s v="Shenzhen"/>
    <s v="Vaccine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3"/>
    <s v="Timothy Dunn &amp; family"/>
    <n v="67"/>
    <x v="7"/>
    <x v="1"/>
    <s v="Midland"/>
    <s v="Energy"/>
    <x v="1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4"/>
    <s v="Keiko Erikawa"/>
    <n v="74"/>
    <x v="7"/>
    <x v="12"/>
    <s v="Yokohama City"/>
    <s v="Video games"/>
    <x v="4"/>
    <s v="Japan"/>
    <m/>
    <x v="1"/>
    <s v="Split Family Fortune"/>
    <x v="1"/>
    <m/>
    <n v="105.48"/>
    <n v="0.5"/>
    <s v="$5,081,769,542,380 "/>
    <x v="12"/>
    <n v="98.8"/>
    <n v="84.2"/>
    <n v="11.9"/>
    <n v="46.7"/>
    <x v="12"/>
    <n v="36.204824000000002"/>
    <n v="138.25292400000001"/>
  </r>
  <r>
    <n v="2133"/>
    <x v="215"/>
    <x v="4"/>
    <s v="Yoichi Erikawa"/>
    <n v="72"/>
    <x v="7"/>
    <x v="12"/>
    <s v="Yokohama City"/>
    <s v="Video games"/>
    <x v="4"/>
    <s v="Japan"/>
    <m/>
    <x v="1"/>
    <s v="Split Family Fortune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133"/>
    <x v="215"/>
    <x v="3"/>
    <s v="Philip Fayer"/>
    <n v="45"/>
    <x v="7"/>
    <x v="6"/>
    <s v="Montreal"/>
    <s v="Online payments"/>
    <x v="3"/>
    <s v="Canada"/>
    <m/>
    <x v="1"/>
    <s v="D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2133"/>
    <x v="215"/>
    <x v="11"/>
    <s v="Marvy Finger"/>
    <n v="87"/>
    <x v="7"/>
    <x v="1"/>
    <s v="Houston"/>
    <s v="Real estate"/>
    <x v="11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16"/>
    <s v="Simona Giorgetta"/>
    <n v="45"/>
    <x v="7"/>
    <x v="28"/>
    <s v="Milan"/>
    <s v="Chemical products"/>
    <x v="16"/>
    <s v="Italy"/>
    <m/>
    <x v="0"/>
    <s v="E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2133"/>
    <x v="215"/>
    <x v="3"/>
    <s v="Joel Greenberg"/>
    <n v="65"/>
    <x v="7"/>
    <x v="1"/>
    <s v="Gladwyne"/>
    <s v="Trading, investments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3"/>
    <s v="He Zhiping"/>
    <n v="59"/>
    <x v="7"/>
    <x v="5"/>
    <s v="Shenzhen"/>
    <s v="Investments"/>
    <x v="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0"/>
    <s v="Heikki Herlin"/>
    <n v="36"/>
    <x v="7"/>
    <x v="55"/>
    <s v="Helsinki"/>
    <s v="Elevators, escalators"/>
    <x v="10"/>
    <s v="Finland"/>
    <m/>
    <x v="0"/>
    <s v="U"/>
    <x v="0"/>
    <m/>
    <n v="112.33"/>
    <n v="1"/>
    <s v="$268,761,201,365 "/>
    <x v="1"/>
    <n v="100.2"/>
    <n v="81.7"/>
    <n v="20.8"/>
    <n v="36.6"/>
    <x v="50"/>
    <n v="61.924109999999999"/>
    <n v="25.748151"/>
  </r>
  <r>
    <n v="2133"/>
    <x v="215"/>
    <x v="11"/>
    <s v="Hoi Kin Hong"/>
    <n v="70"/>
    <x v="7"/>
    <x v="5"/>
    <s v="Shanghai"/>
    <s v="Real estate"/>
    <x v="11"/>
    <s v="Macau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3"/>
    <s v="Lillyn Teh Li Hua"/>
    <m/>
    <x v="7"/>
    <x v="22"/>
    <m/>
    <s v="Finance"/>
    <x v="3"/>
    <s v="Malaysia"/>
    <m/>
    <x v="0"/>
    <s v="N"/>
    <x v="1"/>
    <m/>
    <m/>
    <m/>
    <m/>
    <x v="10"/>
    <m/>
    <m/>
    <m/>
    <m/>
    <x v="10"/>
    <m/>
    <m/>
  </r>
  <r>
    <n v="2133"/>
    <x v="215"/>
    <x v="3"/>
    <s v="Gregg Hymowitz"/>
    <n v="57"/>
    <x v="7"/>
    <x v="1"/>
    <s v="New York"/>
    <s v="Asset management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15"/>
    <s v="Mitchell Jacobson"/>
    <n v="72"/>
    <x v="7"/>
    <x v="1"/>
    <s v="Locust Valley"/>
    <s v="Industrial equipment"/>
    <x v="15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10"/>
    <s v="Anurang Jain"/>
    <n v="61"/>
    <x v="7"/>
    <x v="3"/>
    <s v="Aurangabad"/>
    <s v="Auto parts"/>
    <x v="1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10"/>
    <s v="Jiang Guiting &amp; family"/>
    <n v="64"/>
    <x v="7"/>
    <x v="5"/>
    <s v="Dezhou"/>
    <s v="Manufacturing"/>
    <x v="10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0"/>
    <s v="Jin Xin"/>
    <n v="56"/>
    <x v="7"/>
    <x v="5"/>
    <s v="Fuxin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3"/>
    <s v="Conni Jonsson"/>
    <n v="62"/>
    <x v="7"/>
    <x v="21"/>
    <s v="Stockholm"/>
    <s v="Asset management"/>
    <x v="3"/>
    <s v="Sweden"/>
    <m/>
    <x v="1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2133"/>
    <x v="215"/>
    <x v="3"/>
    <s v="George Joseph"/>
    <n v="101"/>
    <x v="7"/>
    <x v="1"/>
    <s v="Los Angeles"/>
    <s v="Insurance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2"/>
    <s v="Laurent Junique"/>
    <n v="57"/>
    <x v="7"/>
    <x v="25"/>
    <s v="Singapore"/>
    <s v="Call centers"/>
    <x v="2"/>
    <s v="France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2133"/>
    <x v="215"/>
    <x v="6"/>
    <s v="Zbigniew Juroszek &amp; family"/>
    <n v="60"/>
    <x v="7"/>
    <x v="42"/>
    <s v="Cieszyn"/>
    <s v="Real estate, gambling"/>
    <x v="6"/>
    <s v="Poland"/>
    <m/>
    <x v="1"/>
    <s v="U"/>
    <x v="0"/>
    <m/>
    <n v="114.11"/>
    <n v="2.2000000000000002"/>
    <s v="$592,164,400,688 "/>
    <x v="37"/>
    <n v="100"/>
    <n v="77.599999999999994"/>
    <n v="17.399999999999999"/>
    <n v="40.799999999999997"/>
    <x v="39"/>
    <n v="51.919438"/>
    <n v="19.145136000000001"/>
  </r>
  <r>
    <n v="2133"/>
    <x v="215"/>
    <x v="2"/>
    <s v="Alexander Karp"/>
    <n v="55"/>
    <x v="1"/>
    <x v="1"/>
    <s v="Palo Alto"/>
    <s v="Software firm"/>
    <x v="2"/>
    <s v="United States"/>
    <s v="Palantir Technologies"/>
    <x v="1"/>
    <s v="U"/>
    <x v="0"/>
    <s v="Cofounder and CEO"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14"/>
    <s v="Joe Kiani"/>
    <n v="58"/>
    <x v="1"/>
    <x v="1"/>
    <s v="Irvine"/>
    <s v="Medical devices"/>
    <x v="14"/>
    <s v="United States"/>
    <s v="Masimo"/>
    <x v="1"/>
    <s v="N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3"/>
    <s v="Seth Klarman"/>
    <n v="65"/>
    <x v="3"/>
    <x v="1"/>
    <s v="Chestnut Hill"/>
    <s v="Investments"/>
    <x v="3"/>
    <s v="United States"/>
    <s v="Baupost Group"/>
    <x v="1"/>
    <s v="D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2"/>
    <s v="Kagemasa Kozuki"/>
    <n v="82"/>
    <x v="7"/>
    <x v="12"/>
    <s v="Tokyo"/>
    <s v="Video games"/>
    <x v="2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133"/>
    <x v="215"/>
    <x v="2"/>
    <s v="Michael Krasny"/>
    <n v="69"/>
    <x v="3"/>
    <x v="1"/>
    <s v="Highland Park"/>
    <s v="Retail"/>
    <x v="2"/>
    <s v="United States"/>
    <s v="Sawdust Investment Management Corp."/>
    <x v="1"/>
    <s v="E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2"/>
    <s v="Eduard Kucera"/>
    <n v="70"/>
    <x v="7"/>
    <x v="20"/>
    <s v="Prague"/>
    <s v="Software"/>
    <x v="2"/>
    <s v="Czech Republic"/>
    <m/>
    <x v="1"/>
    <s v="D"/>
    <x v="0"/>
    <m/>
    <n v="116.48"/>
    <n v="2.8"/>
    <s v="$246,489,245,495 "/>
    <x v="19"/>
    <n v="100.7"/>
    <n v="79"/>
    <n v="14.9"/>
    <n v="46.1"/>
    <x v="20"/>
    <n v="49.817492000000001"/>
    <n v="15.472962000000001"/>
  </r>
  <r>
    <n v="2133"/>
    <x v="215"/>
    <x v="3"/>
    <s v="Kristo KÃ¤Ã¤rmann"/>
    <n v="42"/>
    <x v="5"/>
    <x v="13"/>
    <s v="London"/>
    <s v="Payments, banking"/>
    <x v="3"/>
    <s v="Estonia"/>
    <s v="Wise"/>
    <x v="1"/>
    <s v="U"/>
    <x v="0"/>
    <s v="Cofounder"/>
    <n v="119.62"/>
    <n v="1.7"/>
    <s v="$2,827,113,184,696 "/>
    <x v="13"/>
    <n v="101.2"/>
    <n v="81.3"/>
    <n v="25.5"/>
    <n v="30.6"/>
    <x v="13"/>
    <n v="55.378050999999999"/>
    <n v="-3.4359730000000002"/>
  </r>
  <r>
    <n v="2133"/>
    <x v="215"/>
    <x v="0"/>
    <s v="Gary Lauder"/>
    <n v="60"/>
    <x v="7"/>
    <x v="1"/>
    <s v="Atherton"/>
    <s v="EstÃ©e Lauder"/>
    <x v="0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2"/>
    <s v="Lee Hae-jin"/>
    <n v="55"/>
    <x v="7"/>
    <x v="32"/>
    <s v="Seoul"/>
    <s v="Internet"/>
    <x v="2"/>
    <s v="South Korea"/>
    <s v="NAVER Corp."/>
    <x v="1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133"/>
    <x v="215"/>
    <x v="6"/>
    <s v="Art Levinson"/>
    <n v="73"/>
    <x v="7"/>
    <x v="1"/>
    <s v="Hillsborough"/>
    <s v="Genentech, Apple"/>
    <x v="6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7"/>
    <s v="Li Denghai"/>
    <n v="73"/>
    <x v="7"/>
    <x v="5"/>
    <s v="Laizhou"/>
    <s v="Seed production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6"/>
    <s v="Fengluan Li"/>
    <n v="61"/>
    <x v="7"/>
    <x v="5"/>
    <s v="Ruzhou"/>
    <s v="Steel, diversified"/>
    <x v="6"/>
    <s v="China"/>
    <m/>
    <x v="1"/>
    <s v="E"/>
    <x v="1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0"/>
    <s v="Li Yongqing"/>
    <n v="58"/>
    <x v="7"/>
    <x v="5"/>
    <s v="Hangzhou"/>
    <s v="Petro Firbe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0"/>
    <s v="Li Zhigang"/>
    <n v="46"/>
    <x v="7"/>
    <x v="5"/>
    <s v="Wuhan"/>
    <s v="Machinery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4"/>
    <s v="Liu Gexin &amp; family"/>
    <n v="71"/>
    <x v="7"/>
    <x v="5"/>
    <s v="Chengdu"/>
    <s v="Pharmaceuticals"/>
    <x v="14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7"/>
    <s v="Itamar Locks &amp; family"/>
    <n v="68"/>
    <x v="7"/>
    <x v="30"/>
    <s v="Rondonopolis"/>
    <s v="Agribusiness"/>
    <x v="7"/>
    <s v="Brazil"/>
    <m/>
    <x v="0"/>
    <s v="Split Family Fortune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133"/>
    <x v="215"/>
    <x v="4"/>
    <s v="Lu Hongyan"/>
    <n v="45"/>
    <x v="7"/>
    <x v="5"/>
    <s v="Xiamen"/>
    <s v="Online games"/>
    <x v="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4"/>
    <s v="Lv Jianming"/>
    <n v="58"/>
    <x v="7"/>
    <x v="5"/>
    <s v="Hangzhou"/>
    <s v="Medical equipment"/>
    <x v="14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7"/>
    <s v="Blairo Maggi"/>
    <n v="66"/>
    <x v="7"/>
    <x v="30"/>
    <s v="Cuiaba"/>
    <s v="Agribusiness"/>
    <x v="7"/>
    <s v="Brazil"/>
    <m/>
    <x v="0"/>
    <s v="Split Family Fortune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133"/>
    <x v="215"/>
    <x v="6"/>
    <s v="Yasseen Mansour"/>
    <n v="61"/>
    <x v="7"/>
    <x v="37"/>
    <s v="Cairo"/>
    <s v="Diversified"/>
    <x v="6"/>
    <s v="Egypt"/>
    <m/>
    <x v="1"/>
    <s v="U"/>
    <x v="0"/>
    <m/>
    <n v="288.57"/>
    <n v="9.1999999999999993"/>
    <s v="$303,175,127,598 "/>
    <x v="33"/>
    <n v="106.3"/>
    <n v="71.8"/>
    <n v="12.5"/>
    <n v="44.4"/>
    <x v="35"/>
    <n v="26.820553"/>
    <n v="30.802498"/>
  </r>
  <r>
    <n v="2133"/>
    <x v="215"/>
    <x v="0"/>
    <s v="Charlwin Mao"/>
    <m/>
    <x v="7"/>
    <x v="5"/>
    <s v="Shanghai"/>
    <s v="E-commerce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1"/>
    <s v="George Marcus"/>
    <n v="81"/>
    <x v="7"/>
    <x v="1"/>
    <s v="Los Altos Hills"/>
    <s v="Real estate"/>
    <x v="11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14"/>
    <s v="Yves-Loic Martin"/>
    <n v="57"/>
    <x v="7"/>
    <x v="0"/>
    <s v="Nantes"/>
    <s v="Laboratory services"/>
    <x v="14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2133"/>
    <x v="215"/>
    <x v="3"/>
    <s v="Carsten Maschmeyer"/>
    <n v="63"/>
    <x v="7"/>
    <x v="7"/>
    <s v="Munich"/>
    <s v="Finance services"/>
    <x v="3"/>
    <s v="Germany"/>
    <m/>
    <x v="1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133"/>
    <x v="215"/>
    <x v="3"/>
    <s v="Lillian Teh Li Ming"/>
    <m/>
    <x v="7"/>
    <x v="22"/>
    <m/>
    <s v="Banking"/>
    <x v="3"/>
    <s v="Malaysia"/>
    <m/>
    <x v="0"/>
    <s v="N"/>
    <x v="1"/>
    <m/>
    <m/>
    <m/>
    <m/>
    <x v="10"/>
    <m/>
    <m/>
    <m/>
    <m/>
    <x v="10"/>
    <m/>
    <m/>
  </r>
  <r>
    <n v="2133"/>
    <x v="215"/>
    <x v="8"/>
    <s v="Martin Moller Nielsen"/>
    <n v="58"/>
    <x v="7"/>
    <x v="8"/>
    <s v="Lugano"/>
    <s v="Aircraft leasing"/>
    <x v="8"/>
    <s v="Denmark"/>
    <m/>
    <x v="1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133"/>
    <x v="215"/>
    <x v="3"/>
    <s v="Jahm Najafi"/>
    <n v="60"/>
    <x v="7"/>
    <x v="1"/>
    <s v="Paradise Valley"/>
    <s v="Investments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3"/>
    <s v="Randal Nardone"/>
    <n v="67"/>
    <x v="7"/>
    <x v="1"/>
    <s v="New York"/>
    <s v="Investments, energy"/>
    <x v="3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7"/>
    <s v="Nguyen Dang Quang"/>
    <n v="59"/>
    <x v="7"/>
    <x v="53"/>
    <s v="Ho Chi Minh City"/>
    <s v="Consumer products, banking"/>
    <x v="7"/>
    <s v="Vietnam"/>
    <m/>
    <x v="1"/>
    <s v="D"/>
    <x v="0"/>
    <m/>
    <n v="163.52000000000001"/>
    <n v="2.8"/>
    <s v="$261,921,244,843 "/>
    <x v="45"/>
    <n v="110.6"/>
    <n v="75.3"/>
    <n v="19.100000000000001"/>
    <n v="37.6"/>
    <x v="48"/>
    <n v="14.058324000000001"/>
    <n v="108.277199"/>
  </r>
  <r>
    <n v="2133"/>
    <x v="215"/>
    <x v="9"/>
    <s v="Kazuo Okada"/>
    <n v="80"/>
    <x v="7"/>
    <x v="12"/>
    <s v="Tokyo"/>
    <s v="Casinos"/>
    <x v="9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133"/>
    <x v="215"/>
    <x v="14"/>
    <s v="John Oyler"/>
    <n v="55"/>
    <x v="7"/>
    <x v="1"/>
    <m/>
    <s v="Biotech"/>
    <x v="14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3"/>
    <s v="William Teh Lee Pang"/>
    <m/>
    <x v="7"/>
    <x v="22"/>
    <m/>
    <s v="Banking"/>
    <x v="3"/>
    <s v="Malaysia"/>
    <m/>
    <x v="0"/>
    <s v="N"/>
    <x v="0"/>
    <m/>
    <m/>
    <m/>
    <m/>
    <x v="10"/>
    <m/>
    <m/>
    <m/>
    <m/>
    <x v="10"/>
    <m/>
    <m/>
  </r>
  <r>
    <n v="2133"/>
    <x v="215"/>
    <x v="10"/>
    <s v="George Pedersen &amp; family"/>
    <n v="87"/>
    <x v="7"/>
    <x v="1"/>
    <s v="McLean"/>
    <s v="Defense contractor"/>
    <x v="10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0"/>
    <s v="Qu Miranda"/>
    <n v="38"/>
    <x v="7"/>
    <x v="5"/>
    <s v="Shanghai"/>
    <s v="E-commerce"/>
    <x v="0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1"/>
    <s v="Jupally Rameshwar Rao"/>
    <n v="67"/>
    <x v="7"/>
    <x v="3"/>
    <s v="Hyderabad"/>
    <s v="Real estate"/>
    <x v="11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8"/>
    <s v="G. M. Rao"/>
    <n v="72"/>
    <x v="7"/>
    <x v="3"/>
    <s v="Bangalore"/>
    <s v="Infrastructure"/>
    <x v="8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14"/>
    <s v="P.V. Ramprasad Reddy"/>
    <n v="65"/>
    <x v="7"/>
    <x v="3"/>
    <s v="Hyderabad"/>
    <s v="Pharmaceuticals"/>
    <x v="14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14"/>
    <s v="Satish Reddy"/>
    <n v="55"/>
    <x v="7"/>
    <x v="3"/>
    <s v="Hyderabad"/>
    <s v="Pharmaceuticals"/>
    <x v="14"/>
    <s v="India"/>
    <m/>
    <x v="0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0"/>
    <s v="Fernando Roig"/>
    <n v="75"/>
    <x v="7"/>
    <x v="4"/>
    <s v="Valencia"/>
    <s v="Supermarkets"/>
    <x v="0"/>
    <s v="Spain"/>
    <m/>
    <x v="0"/>
    <s v="D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2133"/>
    <x v="215"/>
    <x v="6"/>
    <s v="Igor Rotenberg"/>
    <n v="49"/>
    <x v="7"/>
    <x v="17"/>
    <s v="Moscow"/>
    <s v="Investments, real estate"/>
    <x v="6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133"/>
    <x v="215"/>
    <x v="10"/>
    <s v="Seifeddin Rustamov"/>
    <n v="60"/>
    <x v="7"/>
    <x v="1"/>
    <m/>
    <s v="Chemicals"/>
    <x v="10"/>
    <s v="Russia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6"/>
    <s v="Deniz Sahenk"/>
    <n v="77"/>
    <x v="7"/>
    <x v="47"/>
    <s v="Istanbul"/>
    <s v="Diversified"/>
    <x v="6"/>
    <s v="Turkey"/>
    <m/>
    <x v="0"/>
    <s v="E"/>
    <x v="1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2133"/>
    <x v="215"/>
    <x v="7"/>
    <s v="Nobutada Saji"/>
    <n v="77"/>
    <x v="7"/>
    <x v="12"/>
    <s v="Tokyo"/>
    <s v="Beverages"/>
    <x v="7"/>
    <s v="Japan"/>
    <m/>
    <x v="0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133"/>
    <x v="215"/>
    <x v="9"/>
    <s v="Hajime Satomi"/>
    <n v="81"/>
    <x v="7"/>
    <x v="12"/>
    <s v="Tokyo"/>
    <s v="Video games, pachinko"/>
    <x v="9"/>
    <s v="Japan"/>
    <m/>
    <x v="1"/>
    <s v="E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133"/>
    <x v="215"/>
    <x v="2"/>
    <s v="James Scapa"/>
    <n v="66"/>
    <x v="7"/>
    <x v="1"/>
    <s v="Atherton"/>
    <s v="Software"/>
    <x v="2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10"/>
    <s v="Stephan Schnabel"/>
    <n v="48"/>
    <x v="7"/>
    <x v="22"/>
    <m/>
    <s v="Chemicals"/>
    <x v="10"/>
    <s v="Germany"/>
    <m/>
    <x v="0"/>
    <s v="U"/>
    <x v="0"/>
    <m/>
    <m/>
    <m/>
    <m/>
    <x v="10"/>
    <m/>
    <m/>
    <m/>
    <m/>
    <x v="10"/>
    <m/>
    <m/>
  </r>
  <r>
    <n v="2133"/>
    <x v="215"/>
    <x v="14"/>
    <s v="Devi Shetty"/>
    <n v="70"/>
    <x v="7"/>
    <x v="3"/>
    <s v="Bangalore"/>
    <s v="Healthcare"/>
    <x v="14"/>
    <s v="India"/>
    <m/>
    <x v="1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133"/>
    <x v="215"/>
    <x v="6"/>
    <s v="Albert Shigaboutdinov"/>
    <n v="70"/>
    <x v="7"/>
    <x v="17"/>
    <s v="Kazan"/>
    <s v="Refinery, chemicals"/>
    <x v="6"/>
    <s v="Russia"/>
    <m/>
    <x v="1"/>
    <s v="E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133"/>
    <x v="215"/>
    <x v="3"/>
    <s v="Diana Teh Li Shing"/>
    <m/>
    <x v="7"/>
    <x v="22"/>
    <m/>
    <s v="Banking"/>
    <x v="3"/>
    <s v="Malaysia"/>
    <m/>
    <x v="0"/>
    <s v="N"/>
    <x v="1"/>
    <m/>
    <m/>
    <m/>
    <m/>
    <x v="10"/>
    <m/>
    <m/>
    <m/>
    <m/>
    <x v="10"/>
    <m/>
    <m/>
  </r>
  <r>
    <n v="2133"/>
    <x v="215"/>
    <x v="7"/>
    <s v="Denis Shtengelov"/>
    <n v="50"/>
    <x v="7"/>
    <x v="14"/>
    <s v="Gold Coast"/>
    <s v="Food, retail"/>
    <x v="7"/>
    <s v="Russia"/>
    <m/>
    <x v="1"/>
    <s v="N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2133"/>
    <x v="215"/>
    <x v="10"/>
    <s v="Fei Song"/>
    <n v="56"/>
    <x v="7"/>
    <x v="5"/>
    <s v="Yantai"/>
    <s v="Machinery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7"/>
    <s v="Hal Steinbrenner"/>
    <n v="54"/>
    <x v="7"/>
    <x v="1"/>
    <s v="Tampa"/>
    <s v="Sports"/>
    <x v="17"/>
    <s v="United States"/>
    <m/>
    <x v="0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17"/>
    <s v="Jessica Steinbrenner"/>
    <n v="59"/>
    <x v="7"/>
    <x v="1"/>
    <s v="Tampa"/>
    <s v="Sports"/>
    <x v="17"/>
    <s v="United States"/>
    <m/>
    <x v="0"/>
    <s v="N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17"/>
    <s v="Jennifer Steinbrenner Swindal"/>
    <n v="63"/>
    <x v="7"/>
    <x v="1"/>
    <s v="Tampa"/>
    <s v="Sports"/>
    <x v="17"/>
    <s v="United States"/>
    <m/>
    <x v="0"/>
    <s v="N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133"/>
    <x v="215"/>
    <x v="12"/>
    <s v="Konstantin Strukov &amp; family"/>
    <n v="64"/>
    <x v="7"/>
    <x v="17"/>
    <s v="Chelyabinsk"/>
    <s v="Gold, coal mining"/>
    <x v="12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133"/>
    <x v="215"/>
    <x v="13"/>
    <s v="Rustem Sulteev"/>
    <n v="69"/>
    <x v="7"/>
    <x v="17"/>
    <s v="Kazan"/>
    <s v="Refinery, chemicals"/>
    <x v="13"/>
    <s v="Russia"/>
    <m/>
    <x v="1"/>
    <s v="E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133"/>
    <x v="215"/>
    <x v="7"/>
    <s v="Clemens Toennies"/>
    <n v="66"/>
    <x v="7"/>
    <x v="7"/>
    <s v="Rheda-WiedenbrÃ¼ck"/>
    <s v="Meat processing"/>
    <x v="7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133"/>
    <x v="215"/>
    <x v="7"/>
    <s v="Robert Toennies"/>
    <n v="44"/>
    <x v="7"/>
    <x v="7"/>
    <s v="Rheda-WiedenbrÃ¼ck"/>
    <s v="Meat processing"/>
    <x v="7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133"/>
    <x v="215"/>
    <x v="11"/>
    <s v="John Van Lieshout"/>
    <n v="77"/>
    <x v="7"/>
    <x v="14"/>
    <s v="Brisbane"/>
    <s v="Real estate"/>
    <x v="11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2133"/>
    <x v="215"/>
    <x v="14"/>
    <s v="Pongsak Viddayakorn"/>
    <n v="89"/>
    <x v="7"/>
    <x v="23"/>
    <s v="Bangkok"/>
    <s v="Hospitals"/>
    <x v="14"/>
    <s v="Thailand"/>
    <m/>
    <x v="1"/>
    <s v="U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2133"/>
    <x v="215"/>
    <x v="0"/>
    <s v="Wang Jianguo"/>
    <n v="63"/>
    <x v="7"/>
    <x v="5"/>
    <s v="Nanjing"/>
    <s v="Retail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5"/>
    <s v="Junjin Wang"/>
    <n v="54"/>
    <x v="7"/>
    <x v="5"/>
    <s v="Shanghai"/>
    <s v="Airline"/>
    <x v="15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0"/>
    <s v="Wang Mingwang"/>
    <n v="55"/>
    <x v="7"/>
    <x v="5"/>
    <s v="Shenzhen"/>
    <s v="Electronics component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2"/>
    <s v="Wei Lidong &amp; family"/>
    <n v="47"/>
    <x v="7"/>
    <x v="5"/>
    <s v="Shanghai"/>
    <s v="Software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0"/>
    <s v="Myron Wentz"/>
    <n v="83"/>
    <x v="7"/>
    <x v="45"/>
    <s v="Grand Cayman"/>
    <s v="Health products"/>
    <x v="0"/>
    <s v="St. Kitts and Nevis"/>
    <m/>
    <x v="1"/>
    <s v="D"/>
    <x v="0"/>
    <m/>
    <m/>
    <m/>
    <m/>
    <x v="10"/>
    <m/>
    <m/>
    <m/>
    <m/>
    <x v="10"/>
    <m/>
    <m/>
  </r>
  <r>
    <n v="2133"/>
    <x v="215"/>
    <x v="10"/>
    <s v="Wu Xiaoge"/>
    <n v="50"/>
    <x v="7"/>
    <x v="5"/>
    <s v="Chengdu"/>
    <s v="Battery components"/>
    <x v="10"/>
    <s v="China"/>
    <m/>
    <x v="1"/>
    <s v="Split Family Fortune"/>
    <x v="1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6"/>
    <s v="Wu Xushun &amp; family"/>
    <n v="74"/>
    <x v="7"/>
    <x v="5"/>
    <s v="Wuhu"/>
    <s v="Internet"/>
    <x v="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4"/>
    <s v="Xiong Xiaochuan"/>
    <n v="57"/>
    <x v="7"/>
    <x v="5"/>
    <s v="Shenzhen"/>
    <s v="Medical devices"/>
    <x v="14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2"/>
    <s v="Xu Shaochun"/>
    <n v="60"/>
    <x v="7"/>
    <x v="5"/>
    <s v="Shenzhen"/>
    <s v="Software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2"/>
    <s v="Yan Jane &amp; family"/>
    <n v="53"/>
    <x v="7"/>
    <x v="5"/>
    <s v="Beijing"/>
    <s v="Software"/>
    <x v="2"/>
    <s v="China"/>
    <m/>
    <x v="1"/>
    <s v="U"/>
    <x v="1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0"/>
    <s v="Zeng Chaoyi"/>
    <n v="54"/>
    <x v="7"/>
    <x v="5"/>
    <s v="Changsha"/>
    <s v="Aluminum products"/>
    <x v="10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5"/>
    <s v="Peng Zhao"/>
    <n v="52"/>
    <x v="7"/>
    <x v="5"/>
    <s v="Beijing"/>
    <s v="Online recruitment"/>
    <x v="15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2133"/>
    <x v="215"/>
    <x v="15"/>
    <s v="Zhao Tongtong"/>
    <n v="56"/>
    <x v="7"/>
    <x v="10"/>
    <s v="Hong Kong"/>
    <s v="Hotels"/>
    <x v="15"/>
    <s v="Canada"/>
    <m/>
    <x v="1"/>
    <s v="R"/>
    <x v="1"/>
    <m/>
    <m/>
    <m/>
    <m/>
    <x v="10"/>
    <m/>
    <m/>
    <m/>
    <m/>
    <x v="10"/>
    <m/>
    <m/>
  </r>
  <r>
    <n v="2133"/>
    <x v="215"/>
    <x v="12"/>
    <s v="Kostyantin Zhevago"/>
    <n v="49"/>
    <x v="7"/>
    <x v="44"/>
    <s v="Kiev"/>
    <s v="Mining"/>
    <x v="12"/>
    <s v="Ukraine"/>
    <m/>
    <x v="1"/>
    <s v="E"/>
    <x v="0"/>
    <m/>
    <n v="281.66000000000003"/>
    <n v="7.9"/>
    <s v="$153,781,069,118 "/>
    <x v="38"/>
    <n v="99"/>
    <n v="71.599999999999994"/>
    <n v="20.100000000000001"/>
    <n v="45.2"/>
    <x v="40"/>
    <n v="48.379432999999999"/>
    <n v="31.165579999999999"/>
  </r>
  <r>
    <n v="2133"/>
    <x v="215"/>
    <x v="10"/>
    <s v="Zong Yanmin"/>
    <m/>
    <x v="7"/>
    <x v="5"/>
    <s v="Jinan"/>
    <s v="Semiconductor materials"/>
    <x v="10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3"/>
    <s v="Sanjay Agarwal"/>
    <n v="52"/>
    <x v="7"/>
    <x v="3"/>
    <s v="Jaipur"/>
    <s v="Banking"/>
    <x v="3"/>
    <s v="India"/>
    <m/>
    <x v="1"/>
    <s v="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259"/>
    <x v="216"/>
    <x v="3"/>
    <s v="Hamad bin Jassim bin Jaber Al Thani"/>
    <n v="63"/>
    <x v="7"/>
    <x v="68"/>
    <s v="Doha"/>
    <s v="Investments"/>
    <x v="3"/>
    <s v="Qatar"/>
    <m/>
    <x v="0"/>
    <s v="E"/>
    <x v="0"/>
    <m/>
    <n v="115.38"/>
    <n v="-0.7"/>
    <s v="$183,466,208,791 "/>
    <x v="54"/>
    <n v="103.8"/>
    <n v="80.099999999999994"/>
    <n v="14.7"/>
    <n v="11.3"/>
    <x v="58"/>
    <n v="25.354825999999999"/>
    <n v="51.183883999999999"/>
  </r>
  <r>
    <n v="2259"/>
    <x v="216"/>
    <x v="6"/>
    <s v="Joao Alves de Queiroz Filho"/>
    <n v="70"/>
    <x v="7"/>
    <x v="30"/>
    <s v="SÃ£o Paulo"/>
    <s v="Pharmaceuticals"/>
    <x v="6"/>
    <s v="Brazil"/>
    <m/>
    <x v="1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259"/>
    <x v="216"/>
    <x v="12"/>
    <s v="Jose Maria Aristrain"/>
    <n v="60"/>
    <x v="7"/>
    <x v="8"/>
    <s v="Gstaad"/>
    <s v="Steel"/>
    <x v="12"/>
    <s v="Spain"/>
    <m/>
    <x v="0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259"/>
    <x v="216"/>
    <x v="3"/>
    <s v="Michael Arougheti"/>
    <n v="50"/>
    <x v="7"/>
    <x v="1"/>
    <s v="Nyack"/>
    <s v="Finance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2"/>
    <s v="Tope Awotona"/>
    <n v="41"/>
    <x v="7"/>
    <x v="1"/>
    <s v="Atlanta"/>
    <s v="Software"/>
    <x v="2"/>
    <s v="United States"/>
    <s v="Calendly"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4"/>
    <s v="Mehmet Aydinlar"/>
    <n v="66"/>
    <x v="7"/>
    <x v="47"/>
    <s v="Istanbul"/>
    <s v="Hospitals"/>
    <x v="14"/>
    <s v="Turkey"/>
    <m/>
    <x v="1"/>
    <s v="D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2259"/>
    <x v="216"/>
    <x v="11"/>
    <s v="Danna Azrieli"/>
    <n v="55"/>
    <x v="7"/>
    <x v="27"/>
    <s v="Herzliya"/>
    <s v="Real estate"/>
    <x v="11"/>
    <s v="Israel"/>
    <m/>
    <x v="0"/>
    <s v="D"/>
    <x v="1"/>
    <m/>
    <n v="108.15"/>
    <n v="0.8"/>
    <s v="$395,098,666,122 "/>
    <x v="25"/>
    <n v="104.9"/>
    <n v="82.8"/>
    <n v="23.1"/>
    <n v="25.3"/>
    <x v="26"/>
    <n v="31.046050999999999"/>
    <n v="34.851612000000003"/>
  </r>
  <r>
    <n v="2259"/>
    <x v="216"/>
    <x v="11"/>
    <s v="Naomi Azrieli"/>
    <n v="57"/>
    <x v="7"/>
    <x v="6"/>
    <s v="Toronto"/>
    <s v="Real estate"/>
    <x v="11"/>
    <s v="Canada"/>
    <m/>
    <x v="0"/>
    <s v="D"/>
    <x v="1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2259"/>
    <x v="216"/>
    <x v="11"/>
    <s v="Sharon Azrieli"/>
    <n v="62"/>
    <x v="7"/>
    <x v="6"/>
    <s v="Montreal"/>
    <s v="Real estate"/>
    <x v="11"/>
    <s v="Canada"/>
    <m/>
    <x v="0"/>
    <s v="D"/>
    <x v="1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2259"/>
    <x v="216"/>
    <x v="13"/>
    <s v="Bai Houshan"/>
    <n v="59"/>
    <x v="7"/>
    <x v="5"/>
    <s v="Ningbo"/>
    <s v="Lithium battery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3"/>
    <s v="Thomas Bailey"/>
    <n v="86"/>
    <x v="7"/>
    <x v="1"/>
    <s v="Aspen"/>
    <s v="Money management"/>
    <x v="3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4"/>
    <s v="Bernhard Braun-Luedicke"/>
    <n v="46"/>
    <x v="7"/>
    <x v="7"/>
    <s v="Melsungen"/>
    <s v="Medical technology"/>
    <x v="14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259"/>
    <x v="216"/>
    <x v="14"/>
    <s v="Eva Maria Braun-Luedicke"/>
    <n v="36"/>
    <x v="7"/>
    <x v="7"/>
    <s v="Melsungen"/>
    <s v="Medical technology"/>
    <x v="14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259"/>
    <x v="216"/>
    <x v="14"/>
    <s v="Friederike Braun-Luedicke"/>
    <n v="39"/>
    <x v="7"/>
    <x v="7"/>
    <s v="Melsungen"/>
    <s v="Medical technology"/>
    <x v="14"/>
    <s v="Germany"/>
    <m/>
    <x v="0"/>
    <s v="E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259"/>
    <x v="216"/>
    <x v="11"/>
    <s v="Jeffrey Cheah"/>
    <n v="78"/>
    <x v="7"/>
    <x v="31"/>
    <s v="Kuala Lumpur"/>
    <s v="Property, healthcare"/>
    <x v="11"/>
    <s v="Malaysia"/>
    <m/>
    <x v="1"/>
    <s v="D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2259"/>
    <x v="216"/>
    <x v="7"/>
    <s v="Chen Xianbao &amp; family"/>
    <n v="63"/>
    <x v="7"/>
    <x v="5"/>
    <s v="Hefei"/>
    <s v="Food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4"/>
    <s v="Cheng Xianfeng"/>
    <n v="54"/>
    <x v="7"/>
    <x v="5"/>
    <s v="Hefei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0"/>
    <s v="Chung Yong-jin"/>
    <n v="54"/>
    <x v="7"/>
    <x v="32"/>
    <s v="Seoul"/>
    <s v="Retail"/>
    <x v="0"/>
    <s v="South Korea"/>
    <s v="Shinsegae"/>
    <x v="0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259"/>
    <x v="216"/>
    <x v="15"/>
    <s v="Darwin Deason"/>
    <n v="82"/>
    <x v="7"/>
    <x v="1"/>
    <s v="Dallas"/>
    <s v="Software"/>
    <x v="15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0"/>
    <s v="Diego Della Valle"/>
    <n v="69"/>
    <x v="7"/>
    <x v="28"/>
    <s v="Sant'' Elpidio A Mare"/>
    <s v="Shoes"/>
    <x v="0"/>
    <s v="Italy"/>
    <m/>
    <x v="0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2259"/>
    <x v="216"/>
    <x v="10"/>
    <s v="Ashwin Desai"/>
    <n v="71"/>
    <x v="7"/>
    <x v="3"/>
    <s v="Surat"/>
    <s v="Specialty chemicals"/>
    <x v="10"/>
    <s v="India"/>
    <m/>
    <x v="1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259"/>
    <x v="216"/>
    <x v="4"/>
    <s v="Richard Desmond"/>
    <n v="71"/>
    <x v="7"/>
    <x v="13"/>
    <s v="London"/>
    <s v="Publishing"/>
    <x v="4"/>
    <s v="United Kingdom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259"/>
    <x v="216"/>
    <x v="0"/>
    <s v="Ding Shui Po"/>
    <n v="52"/>
    <x v="7"/>
    <x v="5"/>
    <s v="Quanzhou"/>
    <s v="Sneakers, sportswear"/>
    <x v="0"/>
    <s v="China"/>
    <m/>
    <x v="0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0"/>
    <s v="Sefik Yilmaz Dizdar"/>
    <n v="85"/>
    <x v="7"/>
    <x v="47"/>
    <s v="Istanbul"/>
    <s v="Fashion retail"/>
    <x v="0"/>
    <s v="Turkey"/>
    <m/>
    <x v="1"/>
    <s v="U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2259"/>
    <x v="216"/>
    <x v="4"/>
    <s v="Mathias Doepfner"/>
    <n v="60"/>
    <x v="7"/>
    <x v="7"/>
    <s v="Potsdam"/>
    <s v="Media"/>
    <x v="4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259"/>
    <x v="216"/>
    <x v="10"/>
    <s v="Farhad Ebrahimi"/>
    <n v="84"/>
    <x v="7"/>
    <x v="1"/>
    <s v="Denver"/>
    <s v="Solar panels"/>
    <x v="10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6"/>
    <s v="Jose Roberto Ermirio de Moraes"/>
    <n v="65"/>
    <x v="7"/>
    <x v="30"/>
    <s v="Sao Paulo"/>
    <s v="Diversified"/>
    <x v="6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259"/>
    <x v="216"/>
    <x v="6"/>
    <s v="Jose Ermirio de Moraes Neto"/>
    <n v="70"/>
    <x v="7"/>
    <x v="30"/>
    <s v="Sao Paulo"/>
    <s v="Diversified"/>
    <x v="6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259"/>
    <x v="216"/>
    <x v="10"/>
    <s v="Fang Hongbo"/>
    <n v="56"/>
    <x v="7"/>
    <x v="5"/>
    <s v="Shunde"/>
    <s v="Home appliance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David Feffer"/>
    <n v="66"/>
    <x v="7"/>
    <x v="30"/>
    <s v="SÃ£o Paulo"/>
    <s v="Pulp and paper"/>
    <x v="10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259"/>
    <x v="216"/>
    <x v="10"/>
    <s v="Zsolt Felcsuti"/>
    <n v="51"/>
    <x v="7"/>
    <x v="73"/>
    <m/>
    <s v="Manufacturing"/>
    <x v="10"/>
    <s v="Hungary"/>
    <m/>
    <x v="1"/>
    <s v="N"/>
    <x v="0"/>
    <m/>
    <n v="121.64"/>
    <n v="3.3"/>
    <s v="$160,967,157,504 "/>
    <x v="59"/>
    <n v="100.8"/>
    <n v="75.8"/>
    <n v="23"/>
    <n v="37.9"/>
    <x v="63"/>
    <n v="47.162494000000002"/>
    <n v="19.503304"/>
  </r>
  <r>
    <n v="2259"/>
    <x v="216"/>
    <x v="0"/>
    <s v="Ben Francis"/>
    <n v="30"/>
    <x v="7"/>
    <x v="13"/>
    <s v="Birmingham"/>
    <s v="Fitness clothing"/>
    <x v="0"/>
    <s v="United Kingdom"/>
    <m/>
    <x v="1"/>
    <s v="N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259"/>
    <x v="216"/>
    <x v="0"/>
    <s v="Gary Friedman"/>
    <n v="65"/>
    <x v="7"/>
    <x v="1"/>
    <s v="Belvedere"/>
    <s v="Furniture retail"/>
    <x v="0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2"/>
    <s v="Dan Gertler"/>
    <n v="49"/>
    <x v="7"/>
    <x v="27"/>
    <s v="Bnei Brak"/>
    <s v="Mining"/>
    <x v="12"/>
    <s v="Israel"/>
    <m/>
    <x v="0"/>
    <s v="E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2259"/>
    <x v="216"/>
    <x v="10"/>
    <s v="Balkrishan Goenka"/>
    <n v="56"/>
    <x v="7"/>
    <x v="3"/>
    <s v="Mumbai"/>
    <s v="Textiles"/>
    <x v="1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259"/>
    <x v="216"/>
    <x v="3"/>
    <s v="Lawrence Golub"/>
    <n v="63"/>
    <x v="7"/>
    <x v="1"/>
    <s v="New York"/>
    <s v="Private equity"/>
    <x v="3"/>
    <s v="United States"/>
    <m/>
    <x v="1"/>
    <s v="E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0"/>
    <s v="Saroj Rani Gupta"/>
    <n v="72"/>
    <x v="7"/>
    <x v="3"/>
    <s v="Delhi"/>
    <s v="Steel tubes"/>
    <x v="10"/>
    <s v="India"/>
    <m/>
    <x v="1"/>
    <s v="N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2259"/>
    <x v="216"/>
    <x v="2"/>
    <s v="Anthony Hall"/>
    <n v="67"/>
    <x v="7"/>
    <x v="14"/>
    <s v="Melbourne"/>
    <s v="Technology"/>
    <x v="2"/>
    <s v="Australia"/>
    <m/>
    <x v="1"/>
    <s v="N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2259"/>
    <x v="216"/>
    <x v="16"/>
    <s v="Fahed Hariri"/>
    <n v="42"/>
    <x v="7"/>
    <x v="13"/>
    <s v="London"/>
    <s v="Construction, investments"/>
    <x v="16"/>
    <s v="Lebanon"/>
    <m/>
    <x v="0"/>
    <s v="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259"/>
    <x v="216"/>
    <x v="0"/>
    <s v="Richard Hayne"/>
    <n v="75"/>
    <x v="0"/>
    <x v="1"/>
    <s v="Philadelphia"/>
    <s v="Urban Outfitters"/>
    <x v="0"/>
    <s v="United States"/>
    <s v="Urban Outfitters Inc."/>
    <x v="1"/>
    <s v="E"/>
    <x v="0"/>
    <s v="Chairman, President &amp; Chief Executive Officer"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3"/>
    <s v="Michael Heine"/>
    <n v="73"/>
    <x v="7"/>
    <x v="14"/>
    <s v="Melbourne"/>
    <s v="Financial services"/>
    <x v="3"/>
    <s v="Australia"/>
    <m/>
    <x v="1"/>
    <s v="E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2259"/>
    <x v="216"/>
    <x v="2"/>
    <s v="Orion Hindawi"/>
    <n v="43"/>
    <x v="5"/>
    <x v="1"/>
    <s v="Seattle"/>
    <s v="Software"/>
    <x v="2"/>
    <s v="United States"/>
    <s v="Tanium"/>
    <x v="1"/>
    <s v="D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9"/>
    <s v="Lawrence Ho"/>
    <n v="46"/>
    <x v="7"/>
    <x v="10"/>
    <s v="Hong Kong"/>
    <s v="Casinos"/>
    <x v="9"/>
    <s v="Hong Kong"/>
    <m/>
    <x v="0"/>
    <s v="R"/>
    <x v="0"/>
    <m/>
    <m/>
    <m/>
    <m/>
    <x v="10"/>
    <m/>
    <m/>
    <m/>
    <m/>
    <x v="10"/>
    <m/>
    <m/>
  </r>
  <r>
    <n v="2259"/>
    <x v="216"/>
    <x v="0"/>
    <s v="Huang Guanlin"/>
    <n v="58"/>
    <x v="7"/>
    <x v="5"/>
    <s v="Ningbo"/>
    <s v="Textiles, apparel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2"/>
    <s v="Sam Hupert"/>
    <n v="68"/>
    <x v="7"/>
    <x v="14"/>
    <s v="Melbourne"/>
    <s v="Technology"/>
    <x v="2"/>
    <s v="Australia"/>
    <m/>
    <x v="1"/>
    <s v="N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2259"/>
    <x v="216"/>
    <x v="5"/>
    <s v="Mohammed Ibrahim"/>
    <n v="76"/>
    <x v="0"/>
    <x v="13"/>
    <s v="London"/>
    <s v="Communications"/>
    <x v="5"/>
    <s v="United Kingdom"/>
    <s v="Mo Ibrahim Foundation"/>
    <x v="1"/>
    <s v="E"/>
    <x v="0"/>
    <s v="Founder"/>
    <n v="119.62"/>
    <n v="1.7"/>
    <s v="$2,827,113,184,696 "/>
    <x v="13"/>
    <n v="101.2"/>
    <n v="81.3"/>
    <n v="25.5"/>
    <n v="30.6"/>
    <x v="13"/>
    <n v="55.378050999999999"/>
    <n v="-3.4359730000000002"/>
  </r>
  <r>
    <n v="2259"/>
    <x v="216"/>
    <x v="7"/>
    <s v="Shirley Kao"/>
    <n v="66"/>
    <x v="7"/>
    <x v="35"/>
    <s v="Tainan"/>
    <s v="Food &amp; beverage retailing"/>
    <x v="7"/>
    <s v="Taiwan"/>
    <m/>
    <x v="0"/>
    <s v="E"/>
    <x v="1"/>
    <m/>
    <m/>
    <m/>
    <m/>
    <x v="10"/>
    <m/>
    <m/>
    <m/>
    <m/>
    <x v="10"/>
    <m/>
    <m/>
  </r>
  <r>
    <n v="2259"/>
    <x v="216"/>
    <x v="3"/>
    <s v="David Kaplan"/>
    <n v="55"/>
    <x v="7"/>
    <x v="1"/>
    <s v="Los Angeles"/>
    <s v="Finance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0"/>
    <s v="Kim Kardashian"/>
    <n v="42"/>
    <x v="7"/>
    <x v="1"/>
    <s v="Hidden Hills"/>
    <s v="Shapewear, cosmetics, reality TV"/>
    <x v="0"/>
    <s v="United States"/>
    <m/>
    <x v="1"/>
    <s v="D"/>
    <x v="1"/>
    <s v="Personality"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0"/>
    <s v="Ke Guihua"/>
    <n v="57"/>
    <x v="7"/>
    <x v="5"/>
    <s v="Shanghai"/>
    <s v="Auto part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4"/>
    <s v="Ke Yunfeng &amp; family"/>
    <n v="56"/>
    <x v="7"/>
    <x v="5"/>
    <s v="Guangzhou"/>
    <s v="Retailing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1"/>
    <s v="Alexander Klyachin"/>
    <n v="55"/>
    <x v="7"/>
    <x v="17"/>
    <s v="Moscow"/>
    <s v="Real estate"/>
    <x v="11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259"/>
    <x v="216"/>
    <x v="10"/>
    <s v="Christine Knauf"/>
    <m/>
    <x v="7"/>
    <x v="7"/>
    <s v="Berlin"/>
    <s v="Building materials"/>
    <x v="10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259"/>
    <x v="216"/>
    <x v="10"/>
    <s v="Karl Knauf"/>
    <m/>
    <x v="7"/>
    <x v="7"/>
    <s v="Iphofen"/>
    <s v="Building materials"/>
    <x v="1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259"/>
    <x v="216"/>
    <x v="1"/>
    <s v="Suresh Krishna"/>
    <n v="86"/>
    <x v="7"/>
    <x v="3"/>
    <s v="Chennai"/>
    <s v="Auto parts"/>
    <x v="1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259"/>
    <x v="216"/>
    <x v="4"/>
    <s v="Guy LalibertÃ©"/>
    <n v="63"/>
    <x v="3"/>
    <x v="6"/>
    <s v="Montreal"/>
    <s v="Cirque du Soleil"/>
    <x v="4"/>
    <s v="Canada"/>
    <s v="Cirque du Soleil"/>
    <x v="1"/>
    <s v="E"/>
    <x v="0"/>
    <s v="Cofounder and CEO"/>
    <n v="116.76"/>
    <n v="1.9"/>
    <s v="$1,736,425,629,520 "/>
    <x v="6"/>
    <n v="100.9"/>
    <n v="81.900000000000006"/>
    <n v="12.8"/>
    <n v="24.5"/>
    <x v="6"/>
    <n v="56.130366000000002"/>
    <n v="-106.346771"/>
  </r>
  <r>
    <n v="2259"/>
    <x v="216"/>
    <x v="2"/>
    <s v="Lee Su-jin"/>
    <n v="45"/>
    <x v="7"/>
    <x v="32"/>
    <m/>
    <s v="Hospitality"/>
    <x v="2"/>
    <s v="South Korea"/>
    <m/>
    <x v="1"/>
    <s v="N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259"/>
    <x v="216"/>
    <x v="10"/>
    <s v="Li Guoqing"/>
    <n v="53"/>
    <x v="7"/>
    <x v="5"/>
    <s v="Hangzhou"/>
    <s v="Petro Fibre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4"/>
    <s v="Li Li"/>
    <n v="59"/>
    <x v="7"/>
    <x v="5"/>
    <s v="Shenzhen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4"/>
    <s v="Li Ruiqiang"/>
    <n v="43"/>
    <x v="7"/>
    <x v="5"/>
    <s v="Beijing"/>
    <s v="Medical service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Zhen Li &amp; family"/>
    <n v="59"/>
    <x v="7"/>
    <x v="5"/>
    <s v="Hefei"/>
    <s v="Lithium batterie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Guangwei Liang"/>
    <n v="59"/>
    <x v="7"/>
    <x v="5"/>
    <s v="Shenzhen"/>
    <s v="Conglomerate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3"/>
    <s v="Liu Ming Hui"/>
    <n v="60"/>
    <x v="7"/>
    <x v="10"/>
    <s v="Hong Kong"/>
    <s v="Natural gas distribution"/>
    <x v="13"/>
    <s v="China"/>
    <m/>
    <x v="1"/>
    <s v="D"/>
    <x v="0"/>
    <m/>
    <m/>
    <m/>
    <m/>
    <x v="10"/>
    <m/>
    <m/>
    <m/>
    <m/>
    <x v="10"/>
    <m/>
    <m/>
  </r>
  <r>
    <n v="2259"/>
    <x v="216"/>
    <x v="2"/>
    <s v="Frederic Luddy"/>
    <n v="68"/>
    <x v="3"/>
    <x v="1"/>
    <s v="San Diego"/>
    <s v="Software"/>
    <x v="2"/>
    <s v="United States"/>
    <s v="ServiceNow"/>
    <x v="1"/>
    <s v="D"/>
    <x v="0"/>
    <s v="Founder and Chief Product Officer"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7"/>
    <s v="Cargill MacMillan, III."/>
    <n v="63"/>
    <x v="7"/>
    <x v="1"/>
    <s v="Boulder"/>
    <s v="Cargill"/>
    <x v="7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7"/>
    <s v="John MacMillan"/>
    <n v="73"/>
    <x v="7"/>
    <x v="1"/>
    <s v="Plymouth"/>
    <s v="Cargill"/>
    <x v="7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7"/>
    <s v="Martha MacMillan"/>
    <n v="71"/>
    <x v="7"/>
    <x v="1"/>
    <s v="Orono"/>
    <s v="Cargill"/>
    <x v="7"/>
    <s v="United States"/>
    <m/>
    <x v="0"/>
    <s v="D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7"/>
    <s v="William MacMillan"/>
    <n v="68"/>
    <x v="7"/>
    <x v="1"/>
    <s v="Englewood"/>
    <s v="Cargill"/>
    <x v="7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6"/>
    <s v="Keshub Mahindra"/>
    <n v="99"/>
    <x v="7"/>
    <x v="3"/>
    <s v="Mumbai"/>
    <s v="Diversified"/>
    <x v="6"/>
    <s v="India"/>
    <m/>
    <x v="0"/>
    <s v="R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259"/>
    <x v="216"/>
    <x v="10"/>
    <s v="Mao Zhongwu"/>
    <n v="60"/>
    <x v="7"/>
    <x v="5"/>
    <s v="Changsha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6"/>
    <s v="Jorge Mas"/>
    <n v="60"/>
    <x v="7"/>
    <x v="1"/>
    <s v="Miami"/>
    <s v="Construction"/>
    <x v="16"/>
    <s v="United States"/>
    <m/>
    <x v="0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6"/>
    <s v="Lorinc Meszaros"/>
    <n v="57"/>
    <x v="7"/>
    <x v="73"/>
    <s v="FelcsÃºt"/>
    <s v="Diversified"/>
    <x v="6"/>
    <s v="Hungary"/>
    <m/>
    <x v="1"/>
    <s v="E"/>
    <x v="0"/>
    <m/>
    <n v="121.64"/>
    <n v="3.3"/>
    <s v="$160,967,157,504 "/>
    <x v="59"/>
    <n v="100.8"/>
    <n v="75.8"/>
    <n v="23"/>
    <n v="37.9"/>
    <x v="63"/>
    <n v="47.162494000000002"/>
    <n v="19.503304"/>
  </r>
  <r>
    <n v="2259"/>
    <x v="216"/>
    <x v="2"/>
    <s v="Jeffrey Michael &amp; family"/>
    <n v="66"/>
    <x v="7"/>
    <x v="1"/>
    <s v="Minnetonka"/>
    <s v="Data management"/>
    <x v="2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4"/>
    <s v="Alan Miller &amp; family"/>
    <n v="85"/>
    <x v="7"/>
    <x v="1"/>
    <s v="Lower Merion"/>
    <s v="Healthcare services"/>
    <x v="1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"/>
    <s v="Ulrich Mommert &amp; family"/>
    <n v="82"/>
    <x v="7"/>
    <x v="22"/>
    <m/>
    <s v="Lighting"/>
    <x v="1"/>
    <s v="Austria"/>
    <m/>
    <x v="1"/>
    <s v="E"/>
    <x v="0"/>
    <m/>
    <m/>
    <m/>
    <m/>
    <x v="10"/>
    <m/>
    <m/>
    <m/>
    <m/>
    <x v="10"/>
    <m/>
    <m/>
  </r>
  <r>
    <n v="2259"/>
    <x v="216"/>
    <x v="6"/>
    <s v="Neide Helena de Moraes"/>
    <n v="68"/>
    <x v="7"/>
    <x v="30"/>
    <s v="Sao Paulo"/>
    <s v="Diversified"/>
    <x v="6"/>
    <s v="Brazil"/>
    <m/>
    <x v="0"/>
    <s v="D"/>
    <x v="1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259"/>
    <x v="216"/>
    <x v="3"/>
    <s v="Scott Nuttall"/>
    <n v="50"/>
    <x v="7"/>
    <x v="1"/>
    <s v="New York"/>
    <s v="Private equity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0"/>
    <s v="Kailashchandra Nuwal"/>
    <n v="65"/>
    <x v="7"/>
    <x v="22"/>
    <m/>
    <s v="Industrial explosives"/>
    <x v="10"/>
    <s v="India"/>
    <m/>
    <x v="0"/>
    <s v="N"/>
    <x v="0"/>
    <m/>
    <m/>
    <m/>
    <m/>
    <x v="10"/>
    <m/>
    <m/>
    <m/>
    <m/>
    <x v="10"/>
    <m/>
    <m/>
  </r>
  <r>
    <n v="2259"/>
    <x v="216"/>
    <x v="7"/>
    <s v="Axel Oberwelland &amp; family"/>
    <n v="56"/>
    <x v="7"/>
    <x v="7"/>
    <s v="Berlin"/>
    <s v="Candy"/>
    <x v="7"/>
    <s v="Germany"/>
    <m/>
    <x v="0"/>
    <s v="Split Family Fortune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259"/>
    <x v="216"/>
    <x v="2"/>
    <s v="Jonathan Oringer"/>
    <n v="48"/>
    <x v="7"/>
    <x v="1"/>
    <s v="Miami Beach"/>
    <s v="Stock photos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7"/>
    <s v="Vitaly Orlov"/>
    <n v="58"/>
    <x v="7"/>
    <x v="17"/>
    <s v="Murmansk"/>
    <s v="Fisheries"/>
    <x v="7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259"/>
    <x v="216"/>
    <x v="11"/>
    <s v="Jose Isaac Peres &amp; family"/>
    <n v="82"/>
    <x v="7"/>
    <x v="30"/>
    <s v="Rio de Janeiro"/>
    <s v="Shopping malls"/>
    <x v="11"/>
    <s v="Brazil"/>
    <m/>
    <x v="1"/>
    <s v="U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259"/>
    <x v="216"/>
    <x v="4"/>
    <s v="Markus Persson"/>
    <n v="43"/>
    <x v="7"/>
    <x v="21"/>
    <s v="Stockholm"/>
    <s v="Computer games"/>
    <x v="4"/>
    <s v="Sweden"/>
    <m/>
    <x v="1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2259"/>
    <x v="216"/>
    <x v="2"/>
    <s v="Mark Pincus"/>
    <n v="57"/>
    <x v="1"/>
    <x v="1"/>
    <s v="San Francisco"/>
    <s v="Online games"/>
    <x v="2"/>
    <s v="United States"/>
    <s v="Zynga Inc"/>
    <x v="1"/>
    <s v="D"/>
    <x v="0"/>
    <s v="Chairman"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6"/>
    <s v="Murdaya Poo"/>
    <n v="82"/>
    <x v="7"/>
    <x v="15"/>
    <s v="Jakarta"/>
    <s v="Diversified"/>
    <x v="6"/>
    <s v="Indonesia"/>
    <m/>
    <x v="0"/>
    <s v="E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259"/>
    <x v="216"/>
    <x v="14"/>
    <s v="Forrest Preston"/>
    <n v="90"/>
    <x v="7"/>
    <x v="1"/>
    <s v="Cleveland"/>
    <s v="Health care"/>
    <x v="14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7"/>
    <s v="Qian Ying"/>
    <n v="57"/>
    <x v="7"/>
    <x v="5"/>
    <s v="Nanyang"/>
    <s v="Pig breeding"/>
    <x v="7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Jimmy Rane"/>
    <n v="76"/>
    <x v="7"/>
    <x v="1"/>
    <s v="Abbeville"/>
    <s v="Lumber"/>
    <x v="10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3"/>
    <s v="Andrei Rappoport"/>
    <n v="59"/>
    <x v="7"/>
    <x v="8"/>
    <s v="Lugano"/>
    <s v="Investments"/>
    <x v="3"/>
    <s v="Russia"/>
    <m/>
    <x v="1"/>
    <s v="E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259"/>
    <x v="216"/>
    <x v="7"/>
    <s v="Hugo Ribeiro &amp; family"/>
    <m/>
    <x v="7"/>
    <x v="30"/>
    <s v="Rondonopolis"/>
    <s v="Agribusiness"/>
    <x v="7"/>
    <s v="Brazil"/>
    <m/>
    <x v="0"/>
    <s v="Split Family Fortune"/>
    <x v="0"/>
    <s v="Entrepreneur"/>
    <n v="167.4"/>
    <n v="3.7"/>
    <s v="$1,839,758,040,766 "/>
    <x v="28"/>
    <n v="115.4"/>
    <n v="75.7"/>
    <n v="14.2"/>
    <n v="65.099999999999994"/>
    <x v="29"/>
    <n v="-14.235004"/>
    <n v="-51.925280000000001"/>
  </r>
  <r>
    <n v="2259"/>
    <x v="216"/>
    <x v="3"/>
    <s v="Bennett Rosenthal"/>
    <n v="59"/>
    <x v="7"/>
    <x v="1"/>
    <s v="Los Angeles"/>
    <s v="Finance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1"/>
    <s v="Atul Ruia"/>
    <n v="52"/>
    <x v="7"/>
    <x v="3"/>
    <s v="Mumbai"/>
    <s v="Real estate"/>
    <x v="11"/>
    <s v="India"/>
    <m/>
    <x v="0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259"/>
    <x v="216"/>
    <x v="3"/>
    <s v="Thomas Sandell"/>
    <n v="62"/>
    <x v="3"/>
    <x v="13"/>
    <s v="London"/>
    <s v="Hedge funds"/>
    <x v="3"/>
    <s v="Sweden"/>
    <s v="Sandell Asset Management"/>
    <x v="1"/>
    <s v="D"/>
    <x v="0"/>
    <s v="Founder"/>
    <n v="119.62"/>
    <n v="1.7"/>
    <s v="$2,827,113,184,696 "/>
    <x v="13"/>
    <n v="101.2"/>
    <n v="81.3"/>
    <n v="25.5"/>
    <n v="30.6"/>
    <x v="13"/>
    <n v="55.378050999999999"/>
    <n v="-3.4359730000000002"/>
  </r>
  <r>
    <n v="2259"/>
    <x v="216"/>
    <x v="7"/>
    <s v="Francesco Saputo"/>
    <m/>
    <x v="7"/>
    <x v="6"/>
    <s v="Montreal"/>
    <s v="Cheese"/>
    <x v="7"/>
    <s v="Canada"/>
    <m/>
    <x v="0"/>
    <s v="N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2259"/>
    <x v="216"/>
    <x v="16"/>
    <s v="Dhruv Sawhney"/>
    <n v="78"/>
    <x v="7"/>
    <x v="16"/>
    <s v="Dubai"/>
    <s v="Engineering, sugar"/>
    <x v="16"/>
    <s v="India"/>
    <m/>
    <x v="0"/>
    <s v="U"/>
    <x v="0"/>
    <m/>
    <n v="114.52"/>
    <n v="-1.9"/>
    <s v="$421,142,267,938 "/>
    <x v="16"/>
    <n v="108.4"/>
    <n v="77.8"/>
    <n v="0.1"/>
    <n v="15.9"/>
    <x v="16"/>
    <n v="23.424075999999999"/>
    <n v="53.847817999999997"/>
  </r>
  <r>
    <n v="2259"/>
    <x v="216"/>
    <x v="3"/>
    <s v="Gerald Schwartz"/>
    <n v="81"/>
    <x v="7"/>
    <x v="6"/>
    <s v="Toronto"/>
    <s v="Finance"/>
    <x v="3"/>
    <s v="Canada"/>
    <m/>
    <x v="1"/>
    <s v="D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2259"/>
    <x v="216"/>
    <x v="0"/>
    <s v="Antonio Luiz Seabra"/>
    <n v="80"/>
    <x v="7"/>
    <x v="13"/>
    <s v="London"/>
    <s v="Cosmetics"/>
    <x v="0"/>
    <s v="Brazil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259"/>
    <x v="216"/>
    <x v="2"/>
    <s v="Eric Ya Shen"/>
    <n v="52"/>
    <x v="7"/>
    <x v="5"/>
    <s v="Guangzhou"/>
    <s v="Online apparel retail"/>
    <x v="2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2"/>
    <s v="Sytse 'Sid' Sijbrandij"/>
    <n v="43"/>
    <x v="7"/>
    <x v="1"/>
    <s v="San Francisco"/>
    <s v="Software"/>
    <x v="2"/>
    <s v="Netherland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"/>
    <s v="Alexander Sixt"/>
    <n v="43"/>
    <x v="7"/>
    <x v="7"/>
    <s v="Munich"/>
    <s v="Car rentals"/>
    <x v="1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259"/>
    <x v="216"/>
    <x v="1"/>
    <s v="Konstantin Sixt"/>
    <n v="40"/>
    <x v="7"/>
    <x v="7"/>
    <s v="Munich"/>
    <s v="Car rentals"/>
    <x v="1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259"/>
    <x v="216"/>
    <x v="13"/>
    <s v="Edwin Soeryadjaya"/>
    <n v="73"/>
    <x v="7"/>
    <x v="15"/>
    <s v="Jakarta"/>
    <s v="Coal, investments"/>
    <x v="13"/>
    <s v="Indonesia"/>
    <m/>
    <x v="0"/>
    <s v="D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259"/>
    <x v="216"/>
    <x v="14"/>
    <s v="Abhay Soi"/>
    <n v="49"/>
    <x v="7"/>
    <x v="3"/>
    <s v="Mumbai"/>
    <s v="Healthcare"/>
    <x v="14"/>
    <s v="India"/>
    <m/>
    <x v="1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259"/>
    <x v="216"/>
    <x v="2"/>
    <s v="Mike Speiser"/>
    <n v="52"/>
    <x v="1"/>
    <x v="13"/>
    <s v="London"/>
    <s v="Software"/>
    <x v="2"/>
    <s v="United States"/>
    <s v="Sutter Hill Ventures"/>
    <x v="1"/>
    <s v="U"/>
    <x v="0"/>
    <s v="Managing Director"/>
    <n v="119.62"/>
    <n v="1.7"/>
    <s v="$2,827,113,184,696 "/>
    <x v="13"/>
    <n v="101.2"/>
    <n v="81.3"/>
    <n v="25.5"/>
    <n v="30.6"/>
    <x v="13"/>
    <n v="55.378050999999999"/>
    <n v="-3.4359730000000002"/>
  </r>
  <r>
    <n v="2259"/>
    <x v="216"/>
    <x v="16"/>
    <s v="Marco Squinzi"/>
    <n v="51"/>
    <x v="7"/>
    <x v="28"/>
    <s v="Milan"/>
    <s v="Chemical products"/>
    <x v="16"/>
    <s v="Italy"/>
    <m/>
    <x v="0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2259"/>
    <x v="216"/>
    <x v="16"/>
    <s v="Veronica Squinzi"/>
    <n v="51"/>
    <x v="7"/>
    <x v="28"/>
    <s v="Milan"/>
    <s v="Chemical products"/>
    <x v="16"/>
    <s v="Italy"/>
    <m/>
    <x v="0"/>
    <s v="D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2259"/>
    <x v="216"/>
    <x v="3"/>
    <s v="Michael Steinhardt"/>
    <n v="82"/>
    <x v="7"/>
    <x v="1"/>
    <s v="Mount Kisco"/>
    <s v="Hedge funds"/>
    <x v="3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2"/>
    <s v="Ion Stoica"/>
    <n v="58"/>
    <x v="7"/>
    <x v="1"/>
    <s v="Berkeley"/>
    <s v="Data analytics"/>
    <x v="2"/>
    <s v="Romania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2"/>
    <s v="Eddy Sugianto"/>
    <n v="77"/>
    <x v="7"/>
    <x v="15"/>
    <s v="Jakarta"/>
    <s v="Coal"/>
    <x v="12"/>
    <s v="Indonesia"/>
    <m/>
    <x v="1"/>
    <s v="N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259"/>
    <x v="216"/>
    <x v="10"/>
    <s v="Luc Tack"/>
    <n v="61"/>
    <x v="7"/>
    <x v="9"/>
    <s v="Deinze"/>
    <s v="Textile, chemicals"/>
    <x v="10"/>
    <s v="Belgium"/>
    <m/>
    <x v="1"/>
    <s v="E"/>
    <x v="0"/>
    <m/>
    <n v="117.11"/>
    <n v="1.4"/>
    <s v="$529,606,710,418 "/>
    <x v="9"/>
    <n v="103.9"/>
    <n v="81.599999999999994"/>
    <n v="24"/>
    <n v="55.4"/>
    <x v="9"/>
    <n v="50.503886999999999"/>
    <n v="4.4699359999999997"/>
  </r>
  <r>
    <n v="2259"/>
    <x v="216"/>
    <x v="7"/>
    <s v="Tony Tan Caktiong"/>
    <n v="70"/>
    <x v="7"/>
    <x v="34"/>
    <s v="Manila"/>
    <s v="Food"/>
    <x v="7"/>
    <s v="Philippines"/>
    <m/>
    <x v="1"/>
    <s v="D"/>
    <x v="0"/>
    <m/>
    <n v="129.61000000000001"/>
    <n v="2.5"/>
    <s v="$376,795,508,680 "/>
    <x v="32"/>
    <n v="107.5"/>
    <n v="71.099999999999994"/>
    <n v="14"/>
    <n v="43.1"/>
    <x v="33"/>
    <n v="12.879721"/>
    <n v="121.774017"/>
  </r>
  <r>
    <n v="2259"/>
    <x v="216"/>
    <x v="10"/>
    <s v="Xiuguo Tang"/>
    <n v="59"/>
    <x v="7"/>
    <x v="5"/>
    <s v="Changsha"/>
    <s v="Manufacturing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1"/>
    <s v="Sam Tarascio"/>
    <n v="78"/>
    <x v="7"/>
    <x v="14"/>
    <s v="Melbourne"/>
    <s v="Real estate"/>
    <x v="11"/>
    <s v="Australia"/>
    <m/>
    <x v="1"/>
    <s v="E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2259"/>
    <x v="216"/>
    <x v="3"/>
    <s v="Lina Tombolato"/>
    <n v="75"/>
    <x v="7"/>
    <x v="28"/>
    <s v="Tombolo"/>
    <s v="Financial services"/>
    <x v="3"/>
    <s v="Italy"/>
    <m/>
    <x v="0"/>
    <s v="D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2259"/>
    <x v="216"/>
    <x v="10"/>
    <s v="Ching Bor Tung"/>
    <n v="60"/>
    <x v="7"/>
    <x v="5"/>
    <s v="Dongguan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4"/>
    <s v="Joop van den Ende"/>
    <n v="81"/>
    <x v="7"/>
    <x v="41"/>
    <s v="Baarn"/>
    <s v="TV shows"/>
    <x v="4"/>
    <s v="Netherlands"/>
    <m/>
    <x v="1"/>
    <s v="D"/>
    <x v="0"/>
    <m/>
    <n v="115.91"/>
    <n v="2.6"/>
    <s v="$909,070,395,161 "/>
    <x v="36"/>
    <n v="104.2"/>
    <n v="81.8"/>
    <n v="23"/>
    <n v="41.2"/>
    <x v="38"/>
    <n v="52.132632999999998"/>
    <n v="5.2912660000000002"/>
  </r>
  <r>
    <n v="2259"/>
    <x v="216"/>
    <x v="3"/>
    <s v="Ruben Vardanyan &amp; family"/>
    <n v="54"/>
    <x v="7"/>
    <x v="78"/>
    <s v="Erevan"/>
    <s v="Investment banking"/>
    <x v="3"/>
    <s v="Armenia"/>
    <m/>
    <x v="1"/>
    <s v="R"/>
    <x v="0"/>
    <m/>
    <n v="129.18"/>
    <n v="1.4"/>
    <s v="$13,672,802,158 "/>
    <x v="63"/>
    <n v="92.7"/>
    <n v="74.900000000000006"/>
    <n v="20.9"/>
    <n v="22.6"/>
    <x v="68"/>
    <n v="40.069099000000001"/>
    <n v="45.038189000000003"/>
  </r>
  <r>
    <n v="2259"/>
    <x v="216"/>
    <x v="0"/>
    <s v="Sandro Veronesi &amp; family"/>
    <n v="63"/>
    <x v="7"/>
    <x v="28"/>
    <s v="Milan"/>
    <s v="Fashion"/>
    <x v="0"/>
    <s v="Italy"/>
    <m/>
    <x v="1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2259"/>
    <x v="216"/>
    <x v="11"/>
    <s v="Thongma Vijitpongpun"/>
    <n v="65"/>
    <x v="7"/>
    <x v="23"/>
    <s v="Bangkok"/>
    <s v="Real estate"/>
    <x v="11"/>
    <s v="Thailand"/>
    <m/>
    <x v="1"/>
    <s v="E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2259"/>
    <x v="216"/>
    <x v="3"/>
    <s v="Thomas von Koch"/>
    <n v="57"/>
    <x v="7"/>
    <x v="10"/>
    <s v="Hong Kong"/>
    <s v="Asset management"/>
    <x v="3"/>
    <s v="Sweden"/>
    <m/>
    <x v="1"/>
    <s v="D"/>
    <x v="0"/>
    <m/>
    <m/>
    <m/>
    <m/>
    <x v="10"/>
    <m/>
    <m/>
    <m/>
    <m/>
    <x v="10"/>
    <m/>
    <m/>
  </r>
  <r>
    <n v="2259"/>
    <x v="216"/>
    <x v="14"/>
    <s v="Wang Fuji"/>
    <m/>
    <x v="7"/>
    <x v="5"/>
    <s v="Zhangzhou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Wang Shih-Chung"/>
    <n v="61"/>
    <x v="7"/>
    <x v="35"/>
    <s v="Taipei"/>
    <s v="Pneumatic equipments"/>
    <x v="10"/>
    <s v="Taiwan"/>
    <m/>
    <x v="1"/>
    <s v="N"/>
    <x v="0"/>
    <m/>
    <m/>
    <m/>
    <m/>
    <x v="10"/>
    <m/>
    <m/>
    <m/>
    <m/>
    <x v="10"/>
    <m/>
    <m/>
  </r>
  <r>
    <n v="2259"/>
    <x v="216"/>
    <x v="10"/>
    <s v="Wang Xiaoshen"/>
    <n v="54"/>
    <x v="7"/>
    <x v="5"/>
    <s v="Urumchi"/>
    <s v="Lithium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6"/>
    <s v="J. Wayne Weaver"/>
    <n v="87"/>
    <x v="7"/>
    <x v="1"/>
    <s v="Jacksonville"/>
    <s v="Shoes"/>
    <x v="6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7"/>
    <s v="Drorit Wertheim"/>
    <n v="67"/>
    <x v="7"/>
    <x v="27"/>
    <s v="Bnei Atarot"/>
    <s v="Coca Cola Israel"/>
    <x v="7"/>
    <s v="Israel"/>
    <m/>
    <x v="0"/>
    <s v="D"/>
    <x v="1"/>
    <m/>
    <n v="108.15"/>
    <n v="0.8"/>
    <s v="$395,098,666,122 "/>
    <x v="25"/>
    <n v="104.9"/>
    <n v="82.8"/>
    <n v="23.1"/>
    <n v="25.3"/>
    <x v="26"/>
    <n v="31.046050999999999"/>
    <n v="34.851612000000003"/>
  </r>
  <r>
    <n v="2259"/>
    <x v="216"/>
    <x v="3"/>
    <s v="Cameron Winklevoss"/>
    <n v="41"/>
    <x v="7"/>
    <x v="1"/>
    <s v="New York"/>
    <s v="Cryptocurrenc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3"/>
    <s v="Tyler Winklevoss"/>
    <n v="41"/>
    <x v="7"/>
    <x v="1"/>
    <s v="New York"/>
    <s v="Cryptocurrenc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10"/>
    <s v="Wu Chung-yi"/>
    <n v="67"/>
    <x v="7"/>
    <x v="35"/>
    <s v="Chang Hwa County"/>
    <s v="Manufacturing"/>
    <x v="10"/>
    <s v="Taiwan"/>
    <m/>
    <x v="0"/>
    <s v="E"/>
    <x v="0"/>
    <m/>
    <m/>
    <m/>
    <m/>
    <x v="10"/>
    <m/>
    <m/>
    <m/>
    <m/>
    <x v="10"/>
    <m/>
    <m/>
  </r>
  <r>
    <n v="2259"/>
    <x v="216"/>
    <x v="3"/>
    <s v="Eugene Wu"/>
    <n v="77"/>
    <x v="7"/>
    <x v="35"/>
    <s v="Taipei"/>
    <s v="Finance"/>
    <x v="3"/>
    <s v="Taiwan"/>
    <m/>
    <x v="0"/>
    <s v="D"/>
    <x v="0"/>
    <m/>
    <m/>
    <m/>
    <m/>
    <x v="10"/>
    <m/>
    <m/>
    <m/>
    <m/>
    <x v="10"/>
    <m/>
    <m/>
  </r>
  <r>
    <n v="2259"/>
    <x v="216"/>
    <x v="0"/>
    <s v="Wu Yonghua"/>
    <n v="52"/>
    <x v="7"/>
    <x v="5"/>
    <s v="Xiamen"/>
    <s v="Apparel"/>
    <x v="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Xia Xinde"/>
    <n v="58"/>
    <x v="7"/>
    <x v="5"/>
    <s v="Guangzhou"/>
    <s v="Batterie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Wenbo Xiang"/>
    <n v="60"/>
    <x v="7"/>
    <x v="5"/>
    <s v="Changsha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7"/>
    <s v="Xu Jin"/>
    <n v="58"/>
    <x v="7"/>
    <x v="5"/>
    <s v="Huaibei city"/>
    <s v="Wine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Xu Shijun &amp; family"/>
    <n v="60"/>
    <x v="7"/>
    <x v="5"/>
    <s v="Nantong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5"/>
    <s v="Wanmao Xu"/>
    <n v="78"/>
    <x v="7"/>
    <x v="5"/>
    <s v="Ningbo"/>
    <s v="Education"/>
    <x v="15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Xu Yuejuan"/>
    <n v="61"/>
    <x v="7"/>
    <x v="5"/>
    <s v="Hangzhou"/>
    <s v="Petro Fibre"/>
    <x v="10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4"/>
    <s v="Vadim Yakunin"/>
    <n v="60"/>
    <x v="7"/>
    <x v="17"/>
    <s v="Moscow"/>
    <s v="Pharmacy"/>
    <x v="14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259"/>
    <x v="216"/>
    <x v="0"/>
    <s v="Yang Yunyun"/>
    <n v="46"/>
    <x v="7"/>
    <x v="5"/>
    <s v="Guangzhou"/>
    <s v="Retail"/>
    <x v="0"/>
    <s v="China"/>
    <m/>
    <x v="1"/>
    <s v="R"/>
    <x v="1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2"/>
    <s v="Matei Zaharia"/>
    <n v="37"/>
    <x v="7"/>
    <x v="1"/>
    <s v="Berkeley"/>
    <s v="Data analytics"/>
    <x v="2"/>
    <s v="Romania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259"/>
    <x v="216"/>
    <x v="6"/>
    <s v="Zan Shengda"/>
    <n v="60"/>
    <x v="7"/>
    <x v="5"/>
    <s v="Nantong"/>
    <s v="Diversified"/>
    <x v="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2"/>
    <s v="Zhang Xuezheng"/>
    <n v="47"/>
    <x v="7"/>
    <x v="5"/>
    <s v="Jiaxing"/>
    <s v="Telecom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Zhang Yin"/>
    <n v="66"/>
    <x v="7"/>
    <x v="5"/>
    <s v="Dongguan"/>
    <s v="Paper manufacturing"/>
    <x v="10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4"/>
    <s v="Ning Zhao"/>
    <n v="56"/>
    <x v="7"/>
    <x v="5"/>
    <s v="Shanghai"/>
    <s v="Pharmaceuticals"/>
    <x v="14"/>
    <s v="United States"/>
    <m/>
    <x v="1"/>
    <s v="Split Family Fortune"/>
    <x v="1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0"/>
    <s v="Zhou Wen &amp; family"/>
    <n v="58"/>
    <x v="7"/>
    <x v="5"/>
    <s v="Shanghai"/>
    <s v="Chemicals"/>
    <x v="10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259"/>
    <x v="216"/>
    <x v="16"/>
    <s v="Zhu Xingliang"/>
    <n v="63"/>
    <x v="7"/>
    <x v="5"/>
    <s v="Suzhou"/>
    <s v="Construction"/>
    <x v="16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0"/>
    <s v="Hari Krishan Agarwal"/>
    <n v="66"/>
    <x v="7"/>
    <x v="3"/>
    <s v="Delhi"/>
    <s v="Sports shoes"/>
    <x v="0"/>
    <s v="India"/>
    <m/>
    <x v="1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13"/>
    <s v="Farkhad Akhmedov"/>
    <n v="67"/>
    <x v="7"/>
    <x v="17"/>
    <s v="Moscow"/>
    <s v="Investments"/>
    <x v="13"/>
    <s v="Russia"/>
    <m/>
    <x v="1"/>
    <s v="D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405"/>
    <x v="217"/>
    <x v="14"/>
    <s v="Prem Kumar Arora"/>
    <n v="84"/>
    <x v="7"/>
    <x v="22"/>
    <m/>
    <s v="Pharmaceuticals"/>
    <x v="14"/>
    <s v="India"/>
    <m/>
    <x v="0"/>
    <s v="N"/>
    <x v="0"/>
    <m/>
    <m/>
    <m/>
    <m/>
    <x v="10"/>
    <m/>
    <m/>
    <m/>
    <m/>
    <x v="10"/>
    <m/>
    <m/>
  </r>
  <r>
    <n v="2405"/>
    <x v="217"/>
    <x v="3"/>
    <s v="Joseph Bae"/>
    <n v="51"/>
    <x v="7"/>
    <x v="1"/>
    <s v="New York"/>
    <s v="Private equity"/>
    <x v="3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7"/>
    <s v="Abigail Bennett"/>
    <n v="42"/>
    <x v="7"/>
    <x v="1"/>
    <s v="Rochester"/>
    <s v="Liquor"/>
    <x v="7"/>
    <s v="United States"/>
    <m/>
    <x v="0"/>
    <s v="Split Family Fortune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0"/>
    <s v="Sara Blakely"/>
    <n v="52"/>
    <x v="1"/>
    <x v="1"/>
    <s v="Atlanta"/>
    <s v="Spanx"/>
    <x v="0"/>
    <s v="United States"/>
    <s v="Spanx"/>
    <x v="1"/>
    <s v="E"/>
    <x v="1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3"/>
    <s v="Lloyd Blankfein"/>
    <n v="68"/>
    <x v="3"/>
    <x v="1"/>
    <s v="New York"/>
    <s v="Banking"/>
    <x v="3"/>
    <s v="United States"/>
    <s v="Goldman Sachs Group"/>
    <x v="1"/>
    <s v="E"/>
    <x v="0"/>
    <s v="CEO"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6"/>
    <s v="Henadiy Boholyubov"/>
    <n v="61"/>
    <x v="7"/>
    <x v="44"/>
    <s v="Dnipro"/>
    <s v="Banking, investments"/>
    <x v="6"/>
    <s v="Ukraine"/>
    <m/>
    <x v="1"/>
    <s v="E"/>
    <x v="0"/>
    <m/>
    <n v="281.66000000000003"/>
    <n v="7.9"/>
    <s v="$153,781,069,118 "/>
    <x v="38"/>
    <n v="99"/>
    <n v="71.599999999999994"/>
    <n v="20.100000000000001"/>
    <n v="45.2"/>
    <x v="40"/>
    <n v="48.379432999999999"/>
    <n v="31.165579999999999"/>
  </r>
  <r>
    <n v="2405"/>
    <x v="217"/>
    <x v="11"/>
    <s v="Stephane Bonvin"/>
    <n v="56"/>
    <x v="7"/>
    <x v="8"/>
    <s v="Lens"/>
    <s v="Real estate"/>
    <x v="11"/>
    <s v="Switzerland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405"/>
    <x v="217"/>
    <x v="6"/>
    <s v="Oleg Boyko"/>
    <n v="58"/>
    <x v="7"/>
    <x v="8"/>
    <s v="Lipperswil"/>
    <s v="Diversified"/>
    <x v="6"/>
    <s v="Russia"/>
    <m/>
    <x v="1"/>
    <s v="D"/>
    <x v="0"/>
    <m/>
    <n v="99.55"/>
    <n v="0.4"/>
    <s v="$703,082,435,360 "/>
    <x v="8"/>
    <n v="105.2"/>
    <n v="83.6"/>
    <n v="10.1"/>
    <n v="28.8"/>
    <x v="8"/>
    <n v="46.818187999999999"/>
    <n v="8.2275120000000008"/>
  </r>
  <r>
    <n v="2405"/>
    <x v="217"/>
    <x v="2"/>
    <s v="Ryan Breslow"/>
    <n v="28"/>
    <x v="8"/>
    <x v="1"/>
    <s v="Miami"/>
    <s v="E-commerce software"/>
    <x v="2"/>
    <s v="United States"/>
    <s v="Bolt"/>
    <x v="1"/>
    <s v="D"/>
    <x v="0"/>
    <s v="Cofounder"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0"/>
    <s v="Thomas Bruch"/>
    <n v="72"/>
    <x v="7"/>
    <x v="7"/>
    <s v="St. Wendel"/>
    <s v="Retail"/>
    <x v="0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405"/>
    <x v="217"/>
    <x v="2"/>
    <s v="Marina Budiman"/>
    <n v="61"/>
    <x v="7"/>
    <x v="15"/>
    <s v="Jakarta"/>
    <s v="Data centers"/>
    <x v="2"/>
    <s v="Indonesia"/>
    <m/>
    <x v="1"/>
    <s v="D"/>
    <x v="1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405"/>
    <x v="217"/>
    <x v="7"/>
    <s v="Pradip Burman"/>
    <n v="80"/>
    <x v="7"/>
    <x v="3"/>
    <s v="Delhi"/>
    <s v="Consumer goods"/>
    <x v="7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14"/>
    <s v="Cai Hongbin"/>
    <m/>
    <x v="7"/>
    <x v="5"/>
    <s v="Lianyungang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0"/>
    <s v="Cao Kejian"/>
    <n v="60"/>
    <x v="7"/>
    <x v="5"/>
    <s v="Quzhou"/>
    <s v="Air compressors"/>
    <x v="10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7"/>
    <s v="Giuliana Caprotti"/>
    <n v="82"/>
    <x v="7"/>
    <x v="28"/>
    <s v="Milan"/>
    <s v="Supermarkets"/>
    <x v="7"/>
    <s v="Italy"/>
    <m/>
    <x v="0"/>
    <s v="D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2405"/>
    <x v="217"/>
    <x v="7"/>
    <s v="Marina Caprotti"/>
    <n v="45"/>
    <x v="7"/>
    <x v="28"/>
    <s v="Milan"/>
    <s v="Supermarkets"/>
    <x v="7"/>
    <s v="Italy"/>
    <m/>
    <x v="0"/>
    <s v="D"/>
    <x v="1"/>
    <m/>
    <n v="110.62"/>
    <n v="0.6"/>
    <s v="$2,001,244,392,042 "/>
    <x v="26"/>
    <n v="101.9"/>
    <n v="82.9"/>
    <n v="24.3"/>
    <n v="59.1"/>
    <x v="27"/>
    <n v="41.871940000000002"/>
    <n v="12.56738"/>
  </r>
  <r>
    <n v="2405"/>
    <x v="217"/>
    <x v="2"/>
    <s v="Chang Jing"/>
    <n v="40"/>
    <x v="7"/>
    <x v="5"/>
    <s v="Beijing"/>
    <s v="Technology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4"/>
    <s v="Chen Baohua"/>
    <n v="61"/>
    <x v="7"/>
    <x v="5"/>
    <s v="Linhai"/>
    <s v="Pharmaceutical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3"/>
    <s v="Gang Chen"/>
    <n v="55"/>
    <x v="7"/>
    <x v="5"/>
    <s v="Guangzhou"/>
    <s v="Solar energy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8"/>
    <s v="Liying Chen"/>
    <n v="47"/>
    <x v="7"/>
    <x v="5"/>
    <s v="Shanghai"/>
    <s v="Package delivery"/>
    <x v="8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2"/>
    <s v="Tony Chen"/>
    <n v="73"/>
    <x v="7"/>
    <x v="35"/>
    <s v="Taichung"/>
    <s v="Electronics"/>
    <x v="2"/>
    <s v="Taiwan"/>
    <m/>
    <x v="1"/>
    <s v="U"/>
    <x v="0"/>
    <m/>
    <m/>
    <m/>
    <m/>
    <x v="10"/>
    <m/>
    <m/>
    <m/>
    <m/>
    <x v="10"/>
    <m/>
    <m/>
  </r>
  <r>
    <n v="2405"/>
    <x v="217"/>
    <x v="10"/>
    <s v="Chen Xueling"/>
    <n v="55"/>
    <x v="7"/>
    <x v="5"/>
    <s v="Shantou"/>
    <s v="Stationery"/>
    <x v="10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7"/>
    <s v="Cheng Lili"/>
    <n v="58"/>
    <x v="7"/>
    <x v="5"/>
    <s v="Changzhou"/>
    <s v="Poultry breeding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2"/>
    <s v="Cho Jyh-jer"/>
    <m/>
    <x v="7"/>
    <x v="22"/>
    <m/>
    <s v="Semiconductors"/>
    <x v="2"/>
    <s v="Taiwan"/>
    <m/>
    <x v="1"/>
    <s v="D"/>
    <x v="0"/>
    <m/>
    <m/>
    <m/>
    <m/>
    <x v="10"/>
    <m/>
    <m/>
    <m/>
    <m/>
    <x v="10"/>
    <m/>
    <m/>
  </r>
  <r>
    <n v="2405"/>
    <x v="217"/>
    <x v="2"/>
    <s v="Weili Dai"/>
    <n v="61"/>
    <x v="3"/>
    <x v="1"/>
    <s v="Las Vegas"/>
    <s v="Semiconductors"/>
    <x v="2"/>
    <s v="United States"/>
    <s v="Marvell Technology Group Ltd."/>
    <x v="1"/>
    <s v="D"/>
    <x v="1"/>
    <s v="Cofounder-President"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7"/>
    <s v="Carmen Daurella Aguilera"/>
    <m/>
    <x v="7"/>
    <x v="4"/>
    <s v="Barcelona"/>
    <s v="Coca-Cola bottler"/>
    <x v="7"/>
    <s v="Spain"/>
    <m/>
    <x v="0"/>
    <s v="R"/>
    <x v="1"/>
    <m/>
    <n v="110.96"/>
    <n v="0.7"/>
    <s v="$1,394,116,310,769 "/>
    <x v="4"/>
    <n v="102.7"/>
    <n v="83.3"/>
    <n v="14.2"/>
    <n v="47"/>
    <x v="4"/>
    <n v="40.463667000000001"/>
    <n v="-3.7492200000000002"/>
  </r>
  <r>
    <n v="2405"/>
    <x v="217"/>
    <x v="10"/>
    <s v="Deng Yingzhong"/>
    <n v="72"/>
    <x v="7"/>
    <x v="5"/>
    <s v="Zhongshan"/>
    <s v="Paper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3"/>
    <s v="Shlomo Eliahu"/>
    <n v="87"/>
    <x v="7"/>
    <x v="27"/>
    <s v="Tel Aviv"/>
    <s v="Insurance"/>
    <x v="3"/>
    <s v="Israel"/>
    <m/>
    <x v="1"/>
    <s v="D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2405"/>
    <x v="217"/>
    <x v="3"/>
    <s v="Henry Engelhardt"/>
    <n v="65"/>
    <x v="3"/>
    <x v="13"/>
    <s v="Cardiff"/>
    <s v="Insurance"/>
    <x v="3"/>
    <s v="United States"/>
    <s v="Admiral Group "/>
    <x v="1"/>
    <s v="D"/>
    <x v="0"/>
    <s v="Chief Executive Officer"/>
    <n v="119.62"/>
    <n v="1.7"/>
    <s v="$2,827,113,184,696 "/>
    <x v="13"/>
    <n v="101.2"/>
    <n v="81.3"/>
    <n v="25.5"/>
    <n v="30.6"/>
    <x v="13"/>
    <n v="55.378050999999999"/>
    <n v="-3.4359730000000002"/>
  </r>
  <r>
    <n v="2405"/>
    <x v="217"/>
    <x v="15"/>
    <s v="Gabriel Escarrer"/>
    <n v="88"/>
    <x v="7"/>
    <x v="4"/>
    <s v="Palma de Majorca"/>
    <s v="Hotels"/>
    <x v="15"/>
    <s v="Spain"/>
    <m/>
    <x v="1"/>
    <s v="E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2405"/>
    <x v="217"/>
    <x v="10"/>
    <s v="Daniel Feffer"/>
    <n v="63"/>
    <x v="7"/>
    <x v="30"/>
    <s v="SÃ£o Paulo"/>
    <s v="Pulp and paper"/>
    <x v="10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405"/>
    <x v="217"/>
    <x v="10"/>
    <s v="Ruben Feffer"/>
    <n v="53"/>
    <x v="7"/>
    <x v="30"/>
    <s v="SÃ£o Paulo"/>
    <s v="Pulp and paper"/>
    <x v="10"/>
    <s v="Brazil"/>
    <m/>
    <x v="0"/>
    <s v="D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405"/>
    <x v="217"/>
    <x v="5"/>
    <s v="Gleb Fetisov"/>
    <n v="56"/>
    <x v="7"/>
    <x v="63"/>
    <s v="Limassol"/>
    <s v="Investments"/>
    <x v="5"/>
    <s v="Russia"/>
    <m/>
    <x v="1"/>
    <s v="D"/>
    <x v="0"/>
    <m/>
    <n v="102.51"/>
    <n v="0.3"/>
    <s v="$24,564,647,935 "/>
    <x v="51"/>
    <n v="99.3"/>
    <n v="80.8"/>
    <n v="24.5"/>
    <n v="22.4"/>
    <x v="55"/>
    <n v="35.126412999999999"/>
    <n v="33.429859"/>
  </r>
  <r>
    <n v="2405"/>
    <x v="217"/>
    <x v="0"/>
    <s v="Paul Fireman"/>
    <n v="79"/>
    <x v="7"/>
    <x v="1"/>
    <s v="Brookline"/>
    <s v="Reebok"/>
    <x v="0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0"/>
    <s v="Robert Fisher"/>
    <n v="69"/>
    <x v="3"/>
    <x v="1"/>
    <s v="San Francisco"/>
    <s v="Gap"/>
    <x v="0"/>
    <s v="United States"/>
    <s v="Gap Inc."/>
    <x v="0"/>
    <s v="D"/>
    <x v="0"/>
    <s v="Chairman of the Board"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0"/>
    <s v="Bernd Freier"/>
    <n v="66"/>
    <x v="7"/>
    <x v="7"/>
    <s v="Rottendorf"/>
    <s v="Fashion retail"/>
    <x v="0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405"/>
    <x v="217"/>
    <x v="10"/>
    <s v="Donald Friese"/>
    <n v="82"/>
    <x v="7"/>
    <x v="1"/>
    <s v="Los Angeles"/>
    <s v="Manufacturing"/>
    <x v="10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14"/>
    <s v="Gan Zhongru"/>
    <n v="74"/>
    <x v="7"/>
    <x v="5"/>
    <s v="Beijing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0"/>
    <s v="Rahul Gautam"/>
    <n v="70"/>
    <x v="7"/>
    <x v="3"/>
    <s v="Delhi"/>
    <s v="Mattresses"/>
    <x v="0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3"/>
    <s v="David Golub"/>
    <n v="60"/>
    <x v="7"/>
    <x v="1"/>
    <s v="New York"/>
    <s v="Private equity"/>
    <x v="3"/>
    <s v="United States"/>
    <m/>
    <x v="1"/>
    <s v="E"/>
    <x v="0"/>
    <s v="Investor"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11"/>
    <s v="Pavel Golubkov"/>
    <n v="47"/>
    <x v="7"/>
    <x v="17"/>
    <s v="Moscow"/>
    <s v="Building, development"/>
    <x v="11"/>
    <s v="Russia"/>
    <m/>
    <x v="1"/>
    <s v="N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405"/>
    <x v="217"/>
    <x v="0"/>
    <s v="Cristina Green"/>
    <m/>
    <x v="7"/>
    <x v="13"/>
    <s v="London"/>
    <s v="Fashion retail"/>
    <x v="0"/>
    <s v="United Kingdom"/>
    <m/>
    <x v="1"/>
    <s v="Split Family Fortune"/>
    <x v="1"/>
    <m/>
    <n v="119.62"/>
    <n v="1.7"/>
    <s v="$2,827,113,184,696 "/>
    <x v="13"/>
    <n v="101.2"/>
    <n v="81.3"/>
    <n v="25.5"/>
    <n v="30.6"/>
    <x v="13"/>
    <n v="55.378050999999999"/>
    <n v="-3.4359730000000002"/>
  </r>
  <r>
    <n v="2405"/>
    <x v="217"/>
    <x v="0"/>
    <s v="Philip Green"/>
    <m/>
    <x v="7"/>
    <x v="13"/>
    <s v="London"/>
    <s v="Fashion retail"/>
    <x v="0"/>
    <s v="United Kingdom"/>
    <m/>
    <x v="1"/>
    <s v="Split Family Fortun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405"/>
    <x v="217"/>
    <x v="13"/>
    <s v="Said Gutseriev"/>
    <n v="34"/>
    <x v="7"/>
    <x v="13"/>
    <s v="London"/>
    <s v="Retail, investments"/>
    <x v="13"/>
    <s v="Russia"/>
    <m/>
    <x v="0"/>
    <s v="R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405"/>
    <x v="217"/>
    <x v="15"/>
    <s v="Polys Haji-Ioannou"/>
    <n v="63"/>
    <x v="7"/>
    <x v="19"/>
    <s v="Monaco"/>
    <s v="EasyJet"/>
    <x v="15"/>
    <s v="Cyprus"/>
    <m/>
    <x v="0"/>
    <s v="U"/>
    <x v="0"/>
    <m/>
    <m/>
    <m/>
    <s v="$7,184,844,193 "/>
    <x v="10"/>
    <m/>
    <m/>
    <m/>
    <m/>
    <x v="19"/>
    <n v="43.738417599999998"/>
    <n v="7.4246157999999998"/>
  </r>
  <r>
    <n v="2405"/>
    <x v="217"/>
    <x v="7"/>
    <s v="He Zuxun"/>
    <n v="57"/>
    <x v="7"/>
    <x v="5"/>
    <s v="Kunming"/>
    <s v="Pig breeding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3"/>
    <s v="Christian Herz"/>
    <m/>
    <x v="7"/>
    <x v="7"/>
    <s v="Hamburg"/>
    <s v="Coffee"/>
    <x v="3"/>
    <s v="Germany"/>
    <m/>
    <x v="0"/>
    <s v="E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405"/>
    <x v="217"/>
    <x v="3"/>
    <s v="Michaela Herz"/>
    <m/>
    <x v="7"/>
    <x v="7"/>
    <s v="Hamburg"/>
    <s v="Coffee"/>
    <x v="3"/>
    <s v="Germany"/>
    <m/>
    <x v="0"/>
    <s v="E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405"/>
    <x v="217"/>
    <x v="2"/>
    <s v="David Hindawi"/>
    <n v="78"/>
    <x v="0"/>
    <x v="1"/>
    <s v="Seattle"/>
    <s v="Software"/>
    <x v="2"/>
    <s v="United States"/>
    <s v="Tanium"/>
    <x v="1"/>
    <s v="D"/>
    <x v="0"/>
    <s v="Executive Chairman"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2"/>
    <s v="Huang Shan"/>
    <n v="52"/>
    <x v="7"/>
    <x v="5"/>
    <s v="Shenzhen"/>
    <s v="Software"/>
    <x v="2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2"/>
    <s v="Huang Xiaofen &amp; family"/>
    <n v="61"/>
    <x v="7"/>
    <x v="5"/>
    <s v="Shenzhen"/>
    <s v="Printed circuit boards"/>
    <x v="2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"/>
    <s v="Hiroshi Ishibashi"/>
    <n v="76"/>
    <x v="7"/>
    <x v="12"/>
    <s v="Tokyo"/>
    <s v="Tires"/>
    <x v="1"/>
    <s v="Japan"/>
    <m/>
    <x v="0"/>
    <s v="U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405"/>
    <x v="217"/>
    <x v="9"/>
    <s v="Masayuki Ishihara"/>
    <n v="74"/>
    <x v="7"/>
    <x v="12"/>
    <s v="Tokyo"/>
    <s v="Pachinko machines"/>
    <x v="9"/>
    <s v="Japan"/>
    <m/>
    <x v="0"/>
    <s v="R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405"/>
    <x v="217"/>
    <x v="3"/>
    <s v="Chatchai Kaewbootta"/>
    <n v="71"/>
    <x v="7"/>
    <x v="23"/>
    <s v="Bangkok"/>
    <s v="Auto loans"/>
    <x v="3"/>
    <s v="Thailand"/>
    <m/>
    <x v="1"/>
    <s v="D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2405"/>
    <x v="217"/>
    <x v="3"/>
    <s v="Nikhil Kamath"/>
    <n v="36"/>
    <x v="7"/>
    <x v="3"/>
    <s v="Bangalore"/>
    <s v="Financial services"/>
    <x v="3"/>
    <s v="India"/>
    <m/>
    <x v="1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3"/>
    <s v="Jonas Kamprad"/>
    <n v="57"/>
    <x v="7"/>
    <x v="13"/>
    <s v="London"/>
    <s v="IKEA"/>
    <x v="3"/>
    <s v="Sweden"/>
    <m/>
    <x v="0"/>
    <s v="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405"/>
    <x v="217"/>
    <x v="3"/>
    <s v="Mathias Kamprad"/>
    <n v="53"/>
    <x v="7"/>
    <x v="13"/>
    <s v="London"/>
    <s v="IKEA"/>
    <x v="3"/>
    <s v="Sweden"/>
    <m/>
    <x v="0"/>
    <s v="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405"/>
    <x v="217"/>
    <x v="3"/>
    <s v="Peter Kamprad"/>
    <n v="59"/>
    <x v="7"/>
    <x v="9"/>
    <s v="Tervuren"/>
    <s v="IKEA"/>
    <x v="3"/>
    <s v="Sweden"/>
    <m/>
    <x v="0"/>
    <s v="E"/>
    <x v="0"/>
    <m/>
    <n v="117.11"/>
    <n v="1.4"/>
    <s v="$529,606,710,418 "/>
    <x v="9"/>
    <n v="103.9"/>
    <n v="81.599999999999994"/>
    <n v="24"/>
    <n v="55.4"/>
    <x v="9"/>
    <n v="50.503886999999999"/>
    <n v="4.4699359999999997"/>
  </r>
  <r>
    <n v="2405"/>
    <x v="217"/>
    <x v="15"/>
    <s v="Fumio Kaneko"/>
    <n v="66"/>
    <x v="7"/>
    <x v="12"/>
    <s v="Kobe"/>
    <s v="Waste management"/>
    <x v="15"/>
    <s v="Japan"/>
    <m/>
    <x v="1"/>
    <s v="N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405"/>
    <x v="217"/>
    <x v="1"/>
    <s v="Sunjay Kapur"/>
    <n v="51"/>
    <x v="7"/>
    <x v="3"/>
    <s v="Delhi"/>
    <s v="Auto parts"/>
    <x v="1"/>
    <s v="United States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13"/>
    <s v="Ali Metin Kazanci"/>
    <n v="88"/>
    <x v="7"/>
    <x v="47"/>
    <s v="Istanbul"/>
    <s v="Energy"/>
    <x v="13"/>
    <s v="Turkey"/>
    <m/>
    <x v="1"/>
    <s v="R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2405"/>
    <x v="217"/>
    <x v="14"/>
    <s v="Kangbao Ke &amp; family"/>
    <n v="60"/>
    <x v="7"/>
    <x v="5"/>
    <s v="Guangzhou"/>
    <s v="Retailing"/>
    <x v="14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7"/>
    <s v="Carsten Koerl"/>
    <n v="58"/>
    <x v="7"/>
    <x v="8"/>
    <s v="Zurich"/>
    <s v="Sports data"/>
    <x v="17"/>
    <s v="Germany"/>
    <m/>
    <x v="1"/>
    <s v="D"/>
    <x v="0"/>
    <s v="Entrepreneur, Investor"/>
    <n v="99.55"/>
    <n v="0.4"/>
    <s v="$703,082,435,360 "/>
    <x v="8"/>
    <n v="105.2"/>
    <n v="83.6"/>
    <n v="10.1"/>
    <n v="28.8"/>
    <x v="8"/>
    <n v="46.818187999999999"/>
    <n v="8.2275120000000008"/>
  </r>
  <r>
    <n v="2405"/>
    <x v="217"/>
    <x v="2"/>
    <s v="Koo Bon-sik"/>
    <n v="64"/>
    <x v="7"/>
    <x v="32"/>
    <s v="Seoul"/>
    <s v="LG"/>
    <x v="2"/>
    <s v="South Korea"/>
    <s v="Heesung"/>
    <x v="0"/>
    <s v="E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405"/>
    <x v="217"/>
    <x v="13"/>
    <s v="Andrei Kosogov"/>
    <n v="62"/>
    <x v="7"/>
    <x v="17"/>
    <s v="Moscow"/>
    <s v="Banking"/>
    <x v="13"/>
    <s v="Russia"/>
    <m/>
    <x v="1"/>
    <s v="D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405"/>
    <x v="217"/>
    <x v="10"/>
    <s v="Yogesh Kothari"/>
    <n v="74"/>
    <x v="7"/>
    <x v="3"/>
    <s v="Mumbai"/>
    <s v="Specialty chemicals"/>
    <x v="10"/>
    <s v="India"/>
    <m/>
    <x v="1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14"/>
    <s v="Arvind Lal"/>
    <n v="73"/>
    <x v="7"/>
    <x v="3"/>
    <s v="Delhi"/>
    <s v="Medical diagnostics"/>
    <x v="14"/>
    <s v="India"/>
    <m/>
    <x v="0"/>
    <s v="D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9"/>
    <s v="Manuel Lao HernÃ¡ndez"/>
    <n v="78"/>
    <x v="7"/>
    <x v="4"/>
    <s v="Matadepera"/>
    <s v="Casinos"/>
    <x v="9"/>
    <s v="Spain"/>
    <m/>
    <x v="1"/>
    <s v="D"/>
    <x v="0"/>
    <m/>
    <n v="110.96"/>
    <n v="0.7"/>
    <s v="$1,394,116,310,769 "/>
    <x v="4"/>
    <n v="102.7"/>
    <n v="83.3"/>
    <n v="14.2"/>
    <n v="47"/>
    <x v="4"/>
    <n v="40.463667000000001"/>
    <n v="-3.7492200000000002"/>
  </r>
  <r>
    <n v="2405"/>
    <x v="217"/>
    <x v="16"/>
    <s v="Lee Joong-keun"/>
    <n v="82"/>
    <x v="7"/>
    <x v="32"/>
    <s v="Seoul"/>
    <s v="Construction, real estate"/>
    <x v="16"/>
    <s v="South Korea"/>
    <s v="Booyoung Group"/>
    <x v="1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405"/>
    <x v="217"/>
    <x v="3"/>
    <s v="Nancy Lerner"/>
    <n v="62"/>
    <x v="7"/>
    <x v="1"/>
    <s v="Cleveland"/>
    <s v="Banking, credit cards"/>
    <x v="3"/>
    <s v="United States"/>
    <m/>
    <x v="0"/>
    <s v="E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3"/>
    <s v="Norma Lerner"/>
    <n v="87"/>
    <x v="7"/>
    <x v="1"/>
    <s v="Cleveland"/>
    <s v="Banking"/>
    <x v="3"/>
    <s v="United States"/>
    <m/>
    <x v="0"/>
    <s v="E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3"/>
    <s v="Randolph Lerner"/>
    <n v="61"/>
    <x v="7"/>
    <x v="1"/>
    <s v="Cleveland"/>
    <s v="Banking, credit cards"/>
    <x v="3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14"/>
    <s v="Lin Zhijun"/>
    <n v="47"/>
    <x v="7"/>
    <x v="5"/>
    <s v="Xiamen"/>
    <s v="Medical device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4"/>
    <s v="Lin Zhixiong &amp; family"/>
    <n v="49"/>
    <x v="7"/>
    <x v="5"/>
    <s v="Xiamen"/>
    <s v="Medical device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0"/>
    <s v="Jeffrey Lorberbaum"/>
    <n v="68"/>
    <x v="7"/>
    <x v="1"/>
    <s v="Chattanooga"/>
    <s v="Flooring"/>
    <x v="10"/>
    <s v="United States"/>
    <m/>
    <x v="0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5"/>
    <s v="Lu Rongfu"/>
    <n v="52"/>
    <x v="7"/>
    <x v="5"/>
    <s v="Xiamen"/>
    <s v="Telecommunication"/>
    <x v="5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0"/>
    <s v="Lyu Yixiong"/>
    <n v="60"/>
    <x v="7"/>
    <x v="5"/>
    <s v="Shanghai"/>
    <s v="Cosmetics"/>
    <x v="0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2"/>
    <s v="Soichiro Minami"/>
    <n v="46"/>
    <x v="7"/>
    <x v="12"/>
    <s v="Tokyo"/>
    <s v="Internet and software"/>
    <x v="2"/>
    <s v="Japan"/>
    <m/>
    <x v="1"/>
    <s v="E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405"/>
    <x v="217"/>
    <x v="1"/>
    <s v="Pawan Munjal"/>
    <n v="68"/>
    <x v="7"/>
    <x v="3"/>
    <s v="Delhi"/>
    <s v="Two wheelers"/>
    <x v="1"/>
    <s v="India"/>
    <m/>
    <x v="0"/>
    <s v="Split Family Fortun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1"/>
    <s v="Renu Munjal"/>
    <n v="68"/>
    <x v="7"/>
    <x v="3"/>
    <s v="Delhi"/>
    <s v="Two wheelers"/>
    <x v="1"/>
    <s v="India"/>
    <m/>
    <x v="0"/>
    <s v="Split Family Fortune"/>
    <x v="1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1"/>
    <s v="Suman Munjal"/>
    <n v="70"/>
    <x v="7"/>
    <x v="3"/>
    <s v="Delhi"/>
    <s v="Motorcycles"/>
    <x v="1"/>
    <s v="India"/>
    <m/>
    <x v="0"/>
    <s v="Split Family Fortune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13"/>
    <s v="Dmitry Nikolaev"/>
    <n v="56"/>
    <x v="7"/>
    <x v="17"/>
    <s v="Kemerovo"/>
    <s v="Coal"/>
    <x v="13"/>
    <s v="Russia"/>
    <m/>
    <x v="1"/>
    <s v="N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405"/>
    <x v="217"/>
    <x v="1"/>
    <s v="Sjamsul Nursalim"/>
    <n v="81"/>
    <x v="7"/>
    <x v="25"/>
    <s v="Singapore"/>
    <s v="Tires, retail"/>
    <x v="1"/>
    <s v="Indonesia"/>
    <m/>
    <x v="0"/>
    <s v="R"/>
    <x v="0"/>
    <m/>
    <n v="114.41"/>
    <n v="0.6"/>
    <s v="$372,062,527,489 "/>
    <x v="23"/>
    <n v="100.6"/>
    <n v="83.1"/>
    <n v="13.1"/>
    <n v="21"/>
    <x v="24"/>
    <n v="1.3520829999999999"/>
    <n v="103.819836"/>
  </r>
  <r>
    <n v="2405"/>
    <x v="217"/>
    <x v="0"/>
    <s v="Adrian Paval"/>
    <n v="54"/>
    <x v="7"/>
    <x v="67"/>
    <s v="Bacau"/>
    <s v="Retail"/>
    <x v="0"/>
    <s v="Romania"/>
    <m/>
    <x v="1"/>
    <s v="U"/>
    <x v="0"/>
    <m/>
    <n v="123.78"/>
    <n v="3.8"/>
    <s v="$250,077,444,017 "/>
    <x v="53"/>
    <n v="85.2"/>
    <n v="75.400000000000006"/>
    <n v="14.6"/>
    <n v="20"/>
    <x v="57"/>
    <n v="45.943161000000003"/>
    <n v="24.966760000000001"/>
  </r>
  <r>
    <n v="2405"/>
    <x v="217"/>
    <x v="6"/>
    <s v="Antonio Percassi"/>
    <n v="69"/>
    <x v="7"/>
    <x v="28"/>
    <s v="Bergamo"/>
    <s v="Real estate, diversified"/>
    <x v="6"/>
    <s v="Italy"/>
    <m/>
    <x v="1"/>
    <s v="D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2405"/>
    <x v="217"/>
    <x v="0"/>
    <s v="Kevin Plank"/>
    <n v="50"/>
    <x v="1"/>
    <x v="1"/>
    <s v="Lutherville-Timonium"/>
    <s v="Under Armour"/>
    <x v="0"/>
    <s v="United States"/>
    <s v="Under Armour"/>
    <x v="1"/>
    <s v="D"/>
    <x v="0"/>
    <s v="Chairman and CEO"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14"/>
    <s v="G.V. Prasad"/>
    <n v="62"/>
    <x v="7"/>
    <x v="3"/>
    <s v="Hyderabad"/>
    <s v="Pharmaceuticals"/>
    <x v="14"/>
    <s v="India"/>
    <m/>
    <x v="0"/>
    <s v="U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14"/>
    <s v="Pu Zhongjie &amp; family"/>
    <n v="60"/>
    <x v="7"/>
    <x v="5"/>
    <s v="Beijing"/>
    <s v="Medical equipment"/>
    <x v="14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4"/>
    <s v="Rao Wei &amp; family"/>
    <n v="58"/>
    <x v="7"/>
    <x v="5"/>
    <s v="Shenzhen"/>
    <s v="Pharmaceuticals"/>
    <x v="14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5"/>
    <s v="Helena Revoredo"/>
    <n v="76"/>
    <x v="7"/>
    <x v="4"/>
    <s v="Madrid"/>
    <s v="Security services"/>
    <x v="15"/>
    <s v="Spain"/>
    <m/>
    <x v="0"/>
    <s v="D"/>
    <x v="1"/>
    <m/>
    <n v="110.96"/>
    <n v="0.7"/>
    <s v="$1,394,116,310,769 "/>
    <x v="4"/>
    <n v="102.7"/>
    <n v="83.3"/>
    <n v="14.2"/>
    <n v="47"/>
    <x v="4"/>
    <n v="40.463667000000001"/>
    <n v="-3.7492200000000002"/>
  </r>
  <r>
    <n v="2405"/>
    <x v="217"/>
    <x v="3"/>
    <s v="Matthew Roszak"/>
    <n v="50"/>
    <x v="7"/>
    <x v="1"/>
    <s v="Chicago"/>
    <s v="Cryptocurrency"/>
    <x v="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2"/>
    <s v="Paul Sciarra"/>
    <n v="42"/>
    <x v="7"/>
    <x v="1"/>
    <s v="San Francisco"/>
    <s v="Pinterest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3"/>
    <s v="Rajesh Sharma"/>
    <n v="53"/>
    <x v="7"/>
    <x v="3"/>
    <s v="Mumbai"/>
    <s v="Finance"/>
    <x v="3"/>
    <s v="India"/>
    <m/>
    <x v="0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405"/>
    <x v="217"/>
    <x v="13"/>
    <s v="Dean Solon"/>
    <n v="58"/>
    <x v="7"/>
    <x v="1"/>
    <s v="Gallatin"/>
    <s v="Solar systems"/>
    <x v="1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3"/>
    <s v="Michael Spencer"/>
    <n v="67"/>
    <x v="7"/>
    <x v="13"/>
    <s v="London, Suffolk"/>
    <s v="Stock exchange"/>
    <x v="3"/>
    <s v="United Kingdom"/>
    <m/>
    <x v="1"/>
    <s v="E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405"/>
    <x v="217"/>
    <x v="3"/>
    <s v="Joseph Steinberg"/>
    <n v="79"/>
    <x v="7"/>
    <x v="1"/>
    <s v="New York"/>
    <s v="Investments"/>
    <x v="3"/>
    <s v="United States"/>
    <m/>
    <x v="1"/>
    <s v="U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7"/>
    <s v="Zachary Stern"/>
    <n v="41"/>
    <x v="7"/>
    <x v="1"/>
    <s v="Jackson"/>
    <s v="Liquor"/>
    <x v="7"/>
    <s v="United States"/>
    <m/>
    <x v="0"/>
    <s v="Split Family Fortun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10"/>
    <s v="Manny Stul"/>
    <n v="73"/>
    <x v="7"/>
    <x v="14"/>
    <s v="Melbourne"/>
    <s v="Toys"/>
    <x v="10"/>
    <s v="Australia"/>
    <m/>
    <x v="1"/>
    <s v="D"/>
    <x v="0"/>
    <m/>
    <n v="119.8"/>
    <n v="1.6"/>
    <s v="$1,392,680,589,329 "/>
    <x v="14"/>
    <n v="100.3"/>
    <n v="82.7"/>
    <n v="23"/>
    <n v="47.4"/>
    <x v="14"/>
    <n v="-25.274398000000001"/>
    <n v="133.775136"/>
  </r>
  <r>
    <n v="2405"/>
    <x v="217"/>
    <x v="2"/>
    <s v="Sun Hongjun"/>
    <n v="49"/>
    <x v="7"/>
    <x v="5"/>
    <s v="Shanghai"/>
    <s v="Semiconductor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0"/>
    <s v="Sun Weijie"/>
    <n v="59"/>
    <x v="7"/>
    <x v="5"/>
    <s v="Yantai"/>
    <s v="Oilfield equipment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2"/>
    <s v="Sehat Sutardja"/>
    <n v="61"/>
    <x v="7"/>
    <x v="1"/>
    <s v="Las Vegas"/>
    <s v="Semiconductors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4"/>
    <s v="Min-Liang Tan"/>
    <n v="45"/>
    <x v="7"/>
    <x v="25"/>
    <s v="Singapore"/>
    <s v="gaming"/>
    <x v="4"/>
    <s v="Singapore"/>
    <m/>
    <x v="1"/>
    <s v="R"/>
    <x v="0"/>
    <m/>
    <n v="114.41"/>
    <n v="0.6"/>
    <s v="$372,062,527,489 "/>
    <x v="23"/>
    <n v="100.6"/>
    <n v="83.1"/>
    <n v="13.1"/>
    <n v="21"/>
    <x v="24"/>
    <n v="1.3520829999999999"/>
    <n v="103.819836"/>
  </r>
  <r>
    <n v="2405"/>
    <x v="217"/>
    <x v="0"/>
    <s v="Tan Yu Yeh"/>
    <n v="52"/>
    <x v="7"/>
    <x v="31"/>
    <s v="Selangor"/>
    <s v="Retail"/>
    <x v="0"/>
    <s v="Malaysia"/>
    <m/>
    <x v="1"/>
    <s v="D"/>
    <x v="0"/>
    <m/>
    <n v="121.46"/>
    <n v="0.7"/>
    <s v="$364,701,517,788 "/>
    <x v="29"/>
    <n v="105.3"/>
    <n v="76"/>
    <n v="12"/>
    <n v="38.700000000000003"/>
    <x v="30"/>
    <n v="4.2104840000000001"/>
    <n v="101.97576599999999"/>
  </r>
  <r>
    <n v="2405"/>
    <x v="217"/>
    <x v="1"/>
    <s v="Tang Aoqi &amp; family"/>
    <n v="77"/>
    <x v="7"/>
    <x v="5"/>
    <s v="Changzhou"/>
    <s v="Auto parts"/>
    <x v="1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0"/>
    <s v="Vonnarat Tangkaravakoon"/>
    <n v="51"/>
    <x v="7"/>
    <x v="23"/>
    <s v="Bangkok"/>
    <s v="Wire &amp; cables, paints"/>
    <x v="10"/>
    <s v="Thailand"/>
    <m/>
    <x v="0"/>
    <s v="D"/>
    <x v="0"/>
    <m/>
    <n v="113.27"/>
    <n v="0.7"/>
    <s v="$543,649,976,166 "/>
    <x v="21"/>
    <n v="99.8"/>
    <n v="76.900000000000006"/>
    <n v="14.9"/>
    <n v="29.5"/>
    <x v="22"/>
    <n v="15.870032"/>
    <n v="100.992541"/>
  </r>
  <r>
    <n v="2405"/>
    <x v="217"/>
    <x v="7"/>
    <s v="Tsao Ter-fung"/>
    <n v="76"/>
    <x v="7"/>
    <x v="35"/>
    <s v="Taipei"/>
    <s v="Food"/>
    <x v="7"/>
    <s v="Taiwan"/>
    <m/>
    <x v="1"/>
    <s v="N"/>
    <x v="0"/>
    <m/>
    <m/>
    <m/>
    <m/>
    <x v="10"/>
    <m/>
    <m/>
    <m/>
    <m/>
    <x v="10"/>
    <m/>
    <m/>
  </r>
  <r>
    <n v="2405"/>
    <x v="217"/>
    <x v="10"/>
    <s v="Tung Ching Sai"/>
    <n v="58"/>
    <x v="7"/>
    <x v="5"/>
    <s v="Dongguan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2"/>
    <s v="Arkady Volozh"/>
    <n v="59"/>
    <x v="7"/>
    <x v="27"/>
    <s v="Tel Aviv"/>
    <s v="Search engine"/>
    <x v="2"/>
    <s v="Russia"/>
    <m/>
    <x v="1"/>
    <s v="R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2405"/>
    <x v="217"/>
    <x v="10"/>
    <s v="Peter-Alexander Wacker"/>
    <n v="71"/>
    <x v="7"/>
    <x v="7"/>
    <s v="Starnberg"/>
    <s v="Chemicals"/>
    <x v="10"/>
    <s v="Germany"/>
    <m/>
    <x v="0"/>
    <s v="U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405"/>
    <x v="217"/>
    <x v="7"/>
    <s v="Wan Long"/>
    <n v="82"/>
    <x v="7"/>
    <x v="5"/>
    <s v="Luohe"/>
    <s v="Food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6"/>
    <s v="Wang Han"/>
    <n v="35"/>
    <x v="7"/>
    <x v="5"/>
    <s v="Shanghai"/>
    <s v="Airline"/>
    <x v="6"/>
    <s v="China"/>
    <m/>
    <x v="0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4"/>
    <s v="Lars Wingefors"/>
    <n v="46"/>
    <x v="7"/>
    <x v="21"/>
    <s v="Karlstad"/>
    <s v="Video games"/>
    <x v="4"/>
    <s v="Sweden"/>
    <m/>
    <x v="1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2405"/>
    <x v="217"/>
    <x v="10"/>
    <s v="Allan Wong"/>
    <n v="73"/>
    <x v="7"/>
    <x v="10"/>
    <s v="Hong Kong"/>
    <s v="Electronics"/>
    <x v="10"/>
    <s v="Hong Kong"/>
    <m/>
    <x v="1"/>
    <s v="E"/>
    <x v="0"/>
    <m/>
    <m/>
    <m/>
    <m/>
    <x v="10"/>
    <m/>
    <m/>
    <m/>
    <m/>
    <x v="10"/>
    <m/>
    <m/>
  </r>
  <r>
    <n v="2405"/>
    <x v="217"/>
    <x v="17"/>
    <s v="Tiger Woods"/>
    <n v="47"/>
    <x v="5"/>
    <x v="1"/>
    <s v="Jupiter Island"/>
    <s v="Golf"/>
    <x v="17"/>
    <s v="United States"/>
    <s v="PGA"/>
    <x v="1"/>
    <s v="N"/>
    <x v="0"/>
    <s v="Athlete"/>
    <n v="117.24"/>
    <n v="7.5"/>
    <s v="$21,427,700,000,000 "/>
    <x v="1"/>
    <n v="101.8"/>
    <n v="78.5"/>
    <n v="9.6"/>
    <n v="36.6"/>
    <x v="1"/>
    <n v="37.090240000000001"/>
    <n v="-95.712890999999999"/>
  </r>
  <r>
    <n v="2405"/>
    <x v="217"/>
    <x v="0"/>
    <s v="Horst Wortmann"/>
    <n v="81"/>
    <x v="7"/>
    <x v="7"/>
    <s v="Detmold"/>
    <s v="Footwear"/>
    <x v="0"/>
    <s v="Germany"/>
    <m/>
    <x v="1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405"/>
    <x v="217"/>
    <x v="5"/>
    <s v="Wu Kaiting"/>
    <n v="53"/>
    <x v="7"/>
    <x v="5"/>
    <s v="Xiamen"/>
    <s v="Electronics"/>
    <x v="5"/>
    <s v="Hong Kong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0"/>
    <s v="Wu Li-gann"/>
    <n v="82"/>
    <x v="7"/>
    <x v="35"/>
    <s v="Kaohsiung"/>
    <s v="Electronic components"/>
    <x v="10"/>
    <s v="Taiwan"/>
    <m/>
    <x v="1"/>
    <s v="D"/>
    <x v="0"/>
    <m/>
    <m/>
    <m/>
    <m/>
    <x v="10"/>
    <m/>
    <m/>
    <m/>
    <m/>
    <x v="10"/>
    <m/>
    <m/>
  </r>
  <r>
    <n v="2405"/>
    <x v="217"/>
    <x v="7"/>
    <s v="Wu Xiangdong"/>
    <n v="54"/>
    <x v="7"/>
    <x v="5"/>
    <s v="Beijing"/>
    <s v="Consumer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4"/>
    <s v="Xiu Laigui"/>
    <n v="68"/>
    <x v="7"/>
    <x v="5"/>
    <s v="Tonghua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4"/>
    <s v="Xu Jiangnan"/>
    <n v="61"/>
    <x v="7"/>
    <x v="5"/>
    <s v="Leping"/>
    <s v="Vitamins"/>
    <x v="14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5"/>
    <s v="Xue Jiping"/>
    <n v="72"/>
    <x v="7"/>
    <x v="5"/>
    <s v="Nantong"/>
    <s v="Cable"/>
    <x v="5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0"/>
    <s v="Yao Hsiao Tung"/>
    <n v="83"/>
    <x v="7"/>
    <x v="25"/>
    <s v="Singapore"/>
    <s v="Manufacturing"/>
    <x v="10"/>
    <s v="Singapore"/>
    <m/>
    <x v="1"/>
    <s v="U"/>
    <x v="0"/>
    <m/>
    <n v="114.41"/>
    <n v="0.6"/>
    <s v="$372,062,527,489 "/>
    <x v="23"/>
    <n v="100.6"/>
    <n v="83.1"/>
    <n v="13.1"/>
    <n v="21"/>
    <x v="24"/>
    <n v="1.3520829999999999"/>
    <n v="103.819836"/>
  </r>
  <r>
    <n v="2405"/>
    <x v="217"/>
    <x v="2"/>
    <s v="Ye Qiongjiu"/>
    <n v="68"/>
    <x v="7"/>
    <x v="5"/>
    <s v="Hangzhou"/>
    <s v="Software"/>
    <x v="2"/>
    <s v="China"/>
    <m/>
    <x v="1"/>
    <s v="U"/>
    <x v="1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7"/>
    <s v="Yanqiao Ye"/>
    <n v="53"/>
    <x v="7"/>
    <x v="5"/>
    <s v="Foshan"/>
    <s v="Soy sauce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0"/>
    <s v="Yeh Kuo-I"/>
    <n v="81"/>
    <x v="7"/>
    <x v="22"/>
    <m/>
    <s v="Manufacturing"/>
    <x v="10"/>
    <s v="Taiwan"/>
    <m/>
    <x v="1"/>
    <s v="D"/>
    <x v="0"/>
    <m/>
    <m/>
    <m/>
    <m/>
    <x v="10"/>
    <m/>
    <m/>
    <m/>
    <m/>
    <x v="10"/>
    <m/>
    <m/>
  </r>
  <r>
    <n v="2405"/>
    <x v="217"/>
    <x v="4"/>
    <s v="Yu Faxiang"/>
    <n v="51"/>
    <x v="7"/>
    <x v="5"/>
    <s v="Shaoxing"/>
    <s v="Tourism, cultural industry"/>
    <x v="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2"/>
    <s v="Zeng Chaolin"/>
    <n v="40"/>
    <x v="7"/>
    <x v="5"/>
    <s v="Yongzhou"/>
    <s v="Aluminium"/>
    <x v="12"/>
    <s v="China"/>
    <m/>
    <x v="0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6"/>
    <s v="Kapeng Zhang"/>
    <n v="58"/>
    <x v="7"/>
    <x v="5"/>
    <s v="Linhai"/>
    <s v="Building materials"/>
    <x v="16"/>
    <s v="China"/>
    <m/>
    <x v="1"/>
    <s v="U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0"/>
    <s v="Zhang Xuansong"/>
    <n v="51"/>
    <x v="7"/>
    <x v="5"/>
    <s v="Fuzhou"/>
    <s v="Supermarkets"/>
    <x v="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7"/>
    <s v="Zhang Xuewu"/>
    <n v="48"/>
    <x v="7"/>
    <x v="5"/>
    <s v="Changsha"/>
    <s v="Snacks"/>
    <x v="7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2"/>
    <s v="Zhu Yiming"/>
    <n v="50"/>
    <x v="7"/>
    <x v="5"/>
    <s v="Beijing"/>
    <s v="Semiconductor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0"/>
    <s v="Zhu Zhaojiang"/>
    <n v="49"/>
    <x v="7"/>
    <x v="5"/>
    <s v="Shenzhen"/>
    <s v="Smartphone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405"/>
    <x v="217"/>
    <x v="10"/>
    <s v="Zhuo Jun"/>
    <n v="57"/>
    <x v="7"/>
    <x v="10"/>
    <s v="Hong Kong"/>
    <s v="Printed circuit boards"/>
    <x v="10"/>
    <s v="Hong Kong"/>
    <m/>
    <x v="0"/>
    <s v="D"/>
    <x v="1"/>
    <m/>
    <m/>
    <m/>
    <m/>
    <x v="10"/>
    <m/>
    <m/>
    <m/>
    <m/>
    <x v="10"/>
    <m/>
    <m/>
  </r>
  <r>
    <n v="2540"/>
    <x v="218"/>
    <x v="7"/>
    <s v="Manohar Lal Agarwal"/>
    <n v="68"/>
    <x v="7"/>
    <x v="3"/>
    <s v="Delhi"/>
    <s v="Snacks"/>
    <x v="7"/>
    <s v="India"/>
    <m/>
    <x v="0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540"/>
    <x v="218"/>
    <x v="3"/>
    <s v="Christian Angermayer"/>
    <n v="44"/>
    <x v="7"/>
    <x v="13"/>
    <s v="London"/>
    <s v="Investments"/>
    <x v="3"/>
    <s v="Germany"/>
    <m/>
    <x v="1"/>
    <s v="D"/>
    <x v="0"/>
    <m/>
    <n v="119.62"/>
    <n v="1.7"/>
    <s v="$2,827,113,184,696 "/>
    <x v="13"/>
    <n v="101.2"/>
    <n v="81.3"/>
    <n v="25.5"/>
    <n v="30.6"/>
    <x v="13"/>
    <n v="55.378050999999999"/>
    <n v="-3.4359730000000002"/>
  </r>
  <r>
    <n v="2540"/>
    <x v="218"/>
    <x v="0"/>
    <s v="Ryuji Arai"/>
    <n v="76"/>
    <x v="7"/>
    <x v="12"/>
    <s v="Tokyo"/>
    <s v="Retail"/>
    <x v="0"/>
    <s v="Japan"/>
    <m/>
    <x v="1"/>
    <s v="D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540"/>
    <x v="218"/>
    <x v="14"/>
    <s v="Anna Maria Braun"/>
    <n v="44"/>
    <x v="7"/>
    <x v="7"/>
    <s v="Melsungen"/>
    <s v="Medical technology"/>
    <x v="14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540"/>
    <x v="218"/>
    <x v="14"/>
    <s v="Johanna Braun"/>
    <n v="43"/>
    <x v="7"/>
    <x v="7"/>
    <s v="Melsungen"/>
    <s v="Medical technology"/>
    <x v="14"/>
    <s v="Germany"/>
    <m/>
    <x v="0"/>
    <s v="E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540"/>
    <x v="218"/>
    <x v="14"/>
    <s v="Karl Friedrich Braun"/>
    <n v="40"/>
    <x v="7"/>
    <x v="7"/>
    <s v="Melsungen"/>
    <s v="Medical technology"/>
    <x v="14"/>
    <s v="Germany"/>
    <m/>
    <x v="0"/>
    <s v="E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540"/>
    <x v="218"/>
    <x v="14"/>
    <s v="Ludwig Theodor Braun"/>
    <n v="33"/>
    <x v="7"/>
    <x v="7"/>
    <s v="Melsungen"/>
    <s v="Medical technology"/>
    <x v="14"/>
    <s v="Germany"/>
    <m/>
    <x v="0"/>
    <s v="D"/>
    <x v="0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540"/>
    <x v="218"/>
    <x v="6"/>
    <s v="Ana Maria Brescia Cafferata"/>
    <n v="98"/>
    <x v="7"/>
    <x v="76"/>
    <s v="Lima"/>
    <s v="Mining, banking"/>
    <x v="6"/>
    <s v="Peru"/>
    <m/>
    <x v="0"/>
    <s v="D"/>
    <x v="1"/>
    <m/>
    <n v="129.78"/>
    <n v="2.1"/>
    <s v="$226,848,050,820 "/>
    <x v="62"/>
    <n v="106.9"/>
    <n v="76.5"/>
    <n v="14.3"/>
    <n v="36.799999999999997"/>
    <x v="66"/>
    <n v="-9.1899669999999993"/>
    <n v="-75.015152"/>
  </r>
  <r>
    <n v="2540"/>
    <x v="218"/>
    <x v="4"/>
    <s v="Jimmy Buffett"/>
    <n v="76"/>
    <x v="7"/>
    <x v="1"/>
    <s v="Palm Beach"/>
    <s v="Entertainment, Margaritaville"/>
    <x v="4"/>
    <s v="United States"/>
    <m/>
    <x v="1"/>
    <s v="N"/>
    <x v="0"/>
    <s v="Musician"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9"/>
    <s v="Hideyuki Busujima"/>
    <n v="70"/>
    <x v="7"/>
    <x v="12"/>
    <s v="Tokyo"/>
    <s v="Pachinko machines"/>
    <x v="9"/>
    <s v="Japan"/>
    <m/>
    <x v="0"/>
    <s v="R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540"/>
    <x v="218"/>
    <x v="3"/>
    <s v="Edouard Carmignac"/>
    <n v="75"/>
    <x v="7"/>
    <x v="0"/>
    <s v="Paris"/>
    <s v="Asset management"/>
    <x v="3"/>
    <s v="France"/>
    <m/>
    <x v="1"/>
    <s v="D"/>
    <x v="0"/>
    <m/>
    <n v="110.05"/>
    <n v="1.1000000000000001"/>
    <s v="$2,715,518,274,227 "/>
    <x v="0"/>
    <n v="102.5"/>
    <n v="82.5"/>
    <n v="24.2"/>
    <n v="60.7"/>
    <x v="0"/>
    <n v="46.227637999999999"/>
    <n v="2.213749"/>
  </r>
  <r>
    <n v="2540"/>
    <x v="218"/>
    <x v="8"/>
    <s v="Chang Kuo-Ming"/>
    <m/>
    <x v="7"/>
    <x v="35"/>
    <s v="Taipei"/>
    <s v="Transportation"/>
    <x v="8"/>
    <s v="Taiwan"/>
    <m/>
    <x v="0"/>
    <s v="D"/>
    <x v="0"/>
    <m/>
    <m/>
    <m/>
    <m/>
    <x v="10"/>
    <m/>
    <m/>
    <m/>
    <m/>
    <x v="10"/>
    <m/>
    <m/>
  </r>
  <r>
    <n v="2540"/>
    <x v="218"/>
    <x v="10"/>
    <s v="Chen Jiancheng"/>
    <n v="64"/>
    <x v="7"/>
    <x v="5"/>
    <s v="Shangyu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4"/>
    <s v="Rui Chen"/>
    <n v="45"/>
    <x v="7"/>
    <x v="5"/>
    <s v="Shanghai"/>
    <s v="Online entertainment"/>
    <x v="4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0"/>
    <s v="Chen Shiliang"/>
    <n v="59"/>
    <x v="7"/>
    <x v="5"/>
    <s v="Tongxiang"/>
    <s v="Polyester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2"/>
    <s v="Tianqiao Chen"/>
    <n v="49"/>
    <x v="7"/>
    <x v="1"/>
    <s v="Atherton"/>
    <s v="Online games"/>
    <x v="2"/>
    <s v="China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13"/>
    <s v="Yuantai Chen"/>
    <n v="55"/>
    <x v="7"/>
    <x v="5"/>
    <s v="Ningde"/>
    <s v="Batteries"/>
    <x v="13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7"/>
    <s v="Cheng Antares"/>
    <n v="65"/>
    <x v="7"/>
    <x v="10"/>
    <s v="Hong Kong"/>
    <s v="Liquor"/>
    <x v="7"/>
    <s v="Hong Kong"/>
    <m/>
    <x v="1"/>
    <s v="D"/>
    <x v="0"/>
    <m/>
    <m/>
    <m/>
    <m/>
    <x v="10"/>
    <m/>
    <m/>
    <m/>
    <m/>
    <x v="10"/>
    <m/>
    <m/>
  </r>
  <r>
    <n v="2540"/>
    <x v="218"/>
    <x v="10"/>
    <s v="Kochouseph Chittilappilly"/>
    <n v="72"/>
    <x v="7"/>
    <x v="3"/>
    <s v="Kochi"/>
    <s v="Electrical appliances"/>
    <x v="10"/>
    <s v="India"/>
    <m/>
    <x v="1"/>
    <s v="R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540"/>
    <x v="218"/>
    <x v="11"/>
    <s v="John Christodoulou"/>
    <n v="57"/>
    <x v="7"/>
    <x v="19"/>
    <s v="Monaco"/>
    <s v="Real estate"/>
    <x v="11"/>
    <s v="United Kingdom"/>
    <m/>
    <x v="1"/>
    <s v="N"/>
    <x v="0"/>
    <m/>
    <m/>
    <m/>
    <s v="$7,184,844,193 "/>
    <x v="10"/>
    <m/>
    <m/>
    <m/>
    <m/>
    <x v="19"/>
    <n v="43.738417599999998"/>
    <n v="7.4246157999999998"/>
  </r>
  <r>
    <n v="2540"/>
    <x v="218"/>
    <x v="3"/>
    <s v="Pollyanna Chu"/>
    <n v="64"/>
    <x v="7"/>
    <x v="10"/>
    <s v="Hong Kong"/>
    <s v="Financial services, property"/>
    <x v="3"/>
    <s v="Hong Kong"/>
    <m/>
    <x v="1"/>
    <s v="E"/>
    <x v="1"/>
    <m/>
    <m/>
    <m/>
    <m/>
    <x v="10"/>
    <m/>
    <m/>
    <m/>
    <m/>
    <x v="10"/>
    <m/>
    <m/>
  </r>
  <r>
    <n v="2540"/>
    <x v="218"/>
    <x v="6"/>
    <s v="Turgay Ciner"/>
    <n v="67"/>
    <x v="7"/>
    <x v="47"/>
    <s v="Istanbul"/>
    <s v="Diversified"/>
    <x v="6"/>
    <s v="Turkey"/>
    <m/>
    <x v="1"/>
    <s v="D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2540"/>
    <x v="218"/>
    <x v="2"/>
    <s v="Benoit Dageville"/>
    <n v="56"/>
    <x v="7"/>
    <x v="1"/>
    <s v="San Carlos"/>
    <s v="Software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11"/>
    <s v="Mark Dixon"/>
    <n v="63"/>
    <x v="7"/>
    <x v="19"/>
    <s v="Monaco"/>
    <s v="Office real estate"/>
    <x v="11"/>
    <s v="United Kingdom"/>
    <m/>
    <x v="1"/>
    <s v="D"/>
    <x v="0"/>
    <m/>
    <m/>
    <m/>
    <s v="$7,184,844,193 "/>
    <x v="10"/>
    <m/>
    <m/>
    <m/>
    <m/>
    <x v="19"/>
    <n v="43.738417599999998"/>
    <n v="7.4246157999999998"/>
  </r>
  <r>
    <n v="2540"/>
    <x v="218"/>
    <x v="2"/>
    <s v="Du Yulin &amp; family"/>
    <n v="50"/>
    <x v="7"/>
    <x v="5"/>
    <s v="Guangzhou"/>
    <s v="Software"/>
    <x v="2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4"/>
    <s v="Feng Yuxia"/>
    <n v="58"/>
    <x v="7"/>
    <x v="5"/>
    <s v="Beijing"/>
    <s v="Pharmaceuticals"/>
    <x v="14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4"/>
    <s v="Benedicte Find"/>
    <n v="68"/>
    <x v="7"/>
    <x v="38"/>
    <s v="Copenhagen"/>
    <s v="Medical devices"/>
    <x v="14"/>
    <s v="Denmark"/>
    <m/>
    <x v="0"/>
    <s v="D"/>
    <x v="1"/>
    <m/>
    <n v="110.35"/>
    <n v="0.8"/>
    <s v="$348,078,018,464 "/>
    <x v="34"/>
    <n v="101.3"/>
    <n v="81"/>
    <n v="32.4"/>
    <n v="23.8"/>
    <x v="36"/>
    <n v="56.263919999999999"/>
    <n v="9.5017849999999999"/>
  </r>
  <r>
    <n v="2540"/>
    <x v="218"/>
    <x v="0"/>
    <s v="William Fisher"/>
    <n v="66"/>
    <x v="3"/>
    <x v="1"/>
    <s v="San Francisco"/>
    <s v="Gap"/>
    <x v="0"/>
    <s v="United States"/>
    <s v="Gap Inc."/>
    <x v="0"/>
    <s v="D"/>
    <x v="0"/>
    <s v="Director"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10"/>
    <s v="Gao Yunfeng"/>
    <n v="56"/>
    <x v="7"/>
    <x v="5"/>
    <s v="Shenzhen"/>
    <s v="Industrial laser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1"/>
    <s v="Jianming Geng"/>
    <n v="60"/>
    <x v="7"/>
    <x v="5"/>
    <s v="Langfang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3"/>
    <s v="Sven HagstrÃ¶mer"/>
    <n v="79"/>
    <x v="7"/>
    <x v="21"/>
    <s v="Stockholm"/>
    <s v="Financial services"/>
    <x v="3"/>
    <s v="Sweden"/>
    <m/>
    <x v="1"/>
    <s v="D"/>
    <x v="0"/>
    <m/>
    <n v="110.51"/>
    <n v="1.8"/>
    <s v="$530,832,908,738 "/>
    <x v="20"/>
    <n v="126.6"/>
    <n v="82.5"/>
    <n v="27.9"/>
    <n v="49.1"/>
    <x v="21"/>
    <n v="60.128160999999999"/>
    <n v="18.643501000000001"/>
  </r>
  <r>
    <n v="2540"/>
    <x v="218"/>
    <x v="15"/>
    <s v="Clelia Haji-Ioannou"/>
    <n v="52"/>
    <x v="7"/>
    <x v="19"/>
    <s v="Monte Carlo"/>
    <s v="EasyJet"/>
    <x v="15"/>
    <s v="Cyprus"/>
    <m/>
    <x v="0"/>
    <s v="R"/>
    <x v="1"/>
    <m/>
    <m/>
    <m/>
    <s v="$7,184,844,193 "/>
    <x v="10"/>
    <m/>
    <m/>
    <m/>
    <m/>
    <x v="19"/>
    <n v="43.738417599999998"/>
    <n v="7.4246157999999998"/>
  </r>
  <r>
    <n v="2540"/>
    <x v="218"/>
    <x v="15"/>
    <s v="Stelios Haji-Ioannou"/>
    <n v="56"/>
    <x v="7"/>
    <x v="19"/>
    <s v="Monte Carlo"/>
    <s v="EasyJet"/>
    <x v="15"/>
    <s v="Cyprus"/>
    <m/>
    <x v="0"/>
    <s v="D"/>
    <x v="0"/>
    <m/>
    <m/>
    <m/>
    <s v="$7,184,844,193 "/>
    <x v="10"/>
    <m/>
    <m/>
    <m/>
    <m/>
    <x v="19"/>
    <n v="43.738417599999998"/>
    <n v="7.4246157999999998"/>
  </r>
  <r>
    <n v="2540"/>
    <x v="218"/>
    <x v="10"/>
    <s v="Hang Hong"/>
    <n v="55"/>
    <x v="7"/>
    <x v="5"/>
    <s v="Wuxi"/>
    <s v="Machinery"/>
    <x v="10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0"/>
    <s v="He Yamin &amp; family"/>
    <n v="66"/>
    <x v="7"/>
    <x v="5"/>
    <s v="Chengdu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3"/>
    <s v="Ghan Djoe Hiang"/>
    <n v="79"/>
    <x v="7"/>
    <x v="15"/>
    <s v="Jakarta"/>
    <s v="Coal"/>
    <x v="13"/>
    <s v="Indonesia"/>
    <m/>
    <x v="0"/>
    <s v="N"/>
    <x v="1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540"/>
    <x v="218"/>
    <x v="2"/>
    <s v="Hong Feng"/>
    <n v="46"/>
    <x v="7"/>
    <x v="5"/>
    <s v="Beijing"/>
    <s v="Smartphone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0"/>
    <s v="Hong Seok-joh"/>
    <n v="70"/>
    <x v="7"/>
    <x v="32"/>
    <s v="Seoul"/>
    <s v="Convenience stores"/>
    <x v="0"/>
    <s v="South Korea"/>
    <s v="BGF Co. Ltd."/>
    <x v="0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540"/>
    <x v="218"/>
    <x v="14"/>
    <s v="Hu Gengxi &amp; family"/>
    <n v="59"/>
    <x v="7"/>
    <x v="5"/>
    <s v="Shanghai"/>
    <s v="Bio-Pharma"/>
    <x v="14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2"/>
    <s v="Danilo Iervolino"/>
    <n v="45"/>
    <x v="7"/>
    <x v="28"/>
    <s v="Rome"/>
    <s v="Online universities"/>
    <x v="2"/>
    <s v="Italy"/>
    <m/>
    <x v="1"/>
    <s v="N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2540"/>
    <x v="218"/>
    <x v="3"/>
    <s v="Hedda im Brahm-Droege"/>
    <n v="68"/>
    <x v="7"/>
    <x v="7"/>
    <s v="Dusseldorf"/>
    <s v="Investments"/>
    <x v="3"/>
    <s v="Germany"/>
    <m/>
    <x v="1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540"/>
    <x v="218"/>
    <x v="10"/>
    <s v="Inder Jaisinghani"/>
    <n v="70"/>
    <x v="7"/>
    <x v="3"/>
    <s v="Mumbai"/>
    <s v="Cables &amp; wires"/>
    <x v="10"/>
    <s v="India"/>
    <m/>
    <x v="1"/>
    <s v="N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540"/>
    <x v="218"/>
    <x v="17"/>
    <s v="LeBron James"/>
    <n v="38"/>
    <x v="6"/>
    <x v="1"/>
    <s v="Los Angeles"/>
    <s v="Basketball"/>
    <x v="17"/>
    <s v="United States"/>
    <s v="NBA"/>
    <x v="1"/>
    <s v="N"/>
    <x v="0"/>
    <s v="Athlete"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0"/>
    <s v="Johan Johannson"/>
    <n v="56"/>
    <x v="7"/>
    <x v="36"/>
    <s v="Oslo"/>
    <s v="Grocery stores"/>
    <x v="0"/>
    <s v="Norway"/>
    <m/>
    <x v="0"/>
    <s v="D"/>
    <x v="0"/>
    <m/>
    <n v="120.27"/>
    <n v="2.2000000000000002"/>
    <s v="$403,336,363,636 "/>
    <x v="31"/>
    <n v="100.3"/>
    <n v="82.8"/>
    <n v="23.9"/>
    <n v="36.200000000000003"/>
    <x v="34"/>
    <n v="60.472023999999998"/>
    <n v="8.4689460000000008"/>
  </r>
  <r>
    <n v="2540"/>
    <x v="218"/>
    <x v="2"/>
    <s v="Morris Kahn"/>
    <n v="93"/>
    <x v="7"/>
    <x v="27"/>
    <s v="Beit Yanay"/>
    <s v="Software"/>
    <x v="2"/>
    <s v="Israel"/>
    <m/>
    <x v="1"/>
    <s v="E"/>
    <x v="0"/>
    <m/>
    <n v="108.15"/>
    <n v="0.8"/>
    <s v="$395,098,666,122 "/>
    <x v="25"/>
    <n v="104.9"/>
    <n v="82.8"/>
    <n v="23.1"/>
    <n v="25.3"/>
    <x v="26"/>
    <n v="31.046050999999999"/>
    <n v="34.851612000000003"/>
  </r>
  <r>
    <n v="2540"/>
    <x v="218"/>
    <x v="10"/>
    <s v="Ashok Kajaria"/>
    <n v="75"/>
    <x v="7"/>
    <x v="3"/>
    <s v="Delhi"/>
    <s v="Tiles"/>
    <x v="10"/>
    <s v="India"/>
    <m/>
    <x v="1"/>
    <s v="R"/>
    <x v="0"/>
    <m/>
    <n v="180.44"/>
    <n v="7.7"/>
    <s v="$2,611,000,000,000 "/>
    <x v="3"/>
    <n v="113"/>
    <n v="69.400000000000006"/>
    <n v="11.2"/>
    <n v="49.7"/>
    <x v="3"/>
    <n v="20.593684"/>
    <n v="78.962879999999998"/>
  </r>
  <r>
    <n v="2540"/>
    <x v="218"/>
    <x v="3"/>
    <s v="Marcelo Kalim"/>
    <n v="53"/>
    <x v="7"/>
    <x v="30"/>
    <s v="Sao Paulo"/>
    <s v="Banking"/>
    <x v="3"/>
    <s v="Brazil"/>
    <m/>
    <x v="1"/>
    <s v="E"/>
    <x v="0"/>
    <m/>
    <n v="167.4"/>
    <n v="3.7"/>
    <s v="$1,839,758,040,766 "/>
    <x v="28"/>
    <n v="115.4"/>
    <n v="75.7"/>
    <n v="14.2"/>
    <n v="65.099999999999994"/>
    <x v="29"/>
    <n v="-14.235004"/>
    <n v="-51.925280000000001"/>
  </r>
  <r>
    <n v="2540"/>
    <x v="218"/>
    <x v="17"/>
    <s v="Ken Kendrick"/>
    <n v="79"/>
    <x v="7"/>
    <x v="1"/>
    <s v="Paradise Valley"/>
    <s v="Banking, sports team"/>
    <x v="17"/>
    <s v="United States"/>
    <m/>
    <x v="1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2"/>
    <s v="Brad Keywell"/>
    <n v="53"/>
    <x v="7"/>
    <x v="1"/>
    <s v="Chicago"/>
    <s v="Software, investments"/>
    <x v="2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13"/>
    <s v="Muhammed Aziz Khan"/>
    <n v="68"/>
    <x v="7"/>
    <x v="25"/>
    <s v="Singapore"/>
    <s v="Power"/>
    <x v="13"/>
    <s v="Bangladesh"/>
    <m/>
    <x v="1"/>
    <s v="N"/>
    <x v="0"/>
    <m/>
    <n v="114.41"/>
    <n v="0.6"/>
    <s v="$372,062,527,489 "/>
    <x v="23"/>
    <n v="100.6"/>
    <n v="83.1"/>
    <n v="13.1"/>
    <n v="21"/>
    <x v="24"/>
    <n v="1.3520829999999999"/>
    <n v="103.819836"/>
  </r>
  <r>
    <n v="2540"/>
    <x v="218"/>
    <x v="0"/>
    <s v="Kim Jung-woong"/>
    <n v="48"/>
    <x v="7"/>
    <x v="32"/>
    <s v="Seoul"/>
    <s v="Cosmetics"/>
    <x v="0"/>
    <s v="South Korea"/>
    <m/>
    <x v="1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540"/>
    <x v="218"/>
    <x v="6"/>
    <s v="Ihor Kolomoyskyy"/>
    <n v="60"/>
    <x v="7"/>
    <x v="44"/>
    <s v="Kiev"/>
    <s v="Banking, investments"/>
    <x v="6"/>
    <s v="Israel"/>
    <m/>
    <x v="1"/>
    <s v="E"/>
    <x v="0"/>
    <m/>
    <n v="281.66000000000003"/>
    <n v="7.9"/>
    <s v="$153,781,069,118 "/>
    <x v="38"/>
    <n v="99"/>
    <n v="71.599999999999994"/>
    <n v="20.100000000000001"/>
    <n v="45.2"/>
    <x v="40"/>
    <n v="48.379432999999999"/>
    <n v="31.165579999999999"/>
  </r>
  <r>
    <n v="2540"/>
    <x v="218"/>
    <x v="11"/>
    <s v="Kong Jian Min"/>
    <n v="55"/>
    <x v="7"/>
    <x v="5"/>
    <s v="Guangzhou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0"/>
    <s v="Koo Bon-neung"/>
    <n v="74"/>
    <x v="7"/>
    <x v="32"/>
    <s v="Seoul"/>
    <s v="Electronics"/>
    <x v="10"/>
    <s v="South Korea"/>
    <s v="Heesung Electronics"/>
    <x v="0"/>
    <s v="D"/>
    <x v="0"/>
    <m/>
    <n v="115.16"/>
    <n v="0.4"/>
    <s v="$2,029,000,000,000 "/>
    <x v="30"/>
    <n v="98.1"/>
    <n v="82.6"/>
    <n v="15.6"/>
    <n v="33.200000000000003"/>
    <x v="31"/>
    <n v="35.907756999999997"/>
    <n v="127.76692199999999"/>
  </r>
  <r>
    <n v="2540"/>
    <x v="218"/>
    <x v="11"/>
    <s v="Michael Kum"/>
    <n v="78"/>
    <x v="7"/>
    <x v="25"/>
    <s v="Singapore"/>
    <s v="Hotels"/>
    <x v="11"/>
    <s v="Singapore"/>
    <m/>
    <x v="1"/>
    <s v="N"/>
    <x v="0"/>
    <m/>
    <n v="114.41"/>
    <n v="0.6"/>
    <s v="$372,062,527,489 "/>
    <x v="23"/>
    <n v="100.6"/>
    <n v="83.1"/>
    <n v="13.1"/>
    <n v="21"/>
    <x v="24"/>
    <n v="1.3520829999999999"/>
    <n v="103.819836"/>
  </r>
  <r>
    <n v="2540"/>
    <x v="218"/>
    <x v="11"/>
    <s v="Richard Kurtz"/>
    <n v="82"/>
    <x v="7"/>
    <x v="1"/>
    <s v="Palm Beach"/>
    <s v="Real estate"/>
    <x v="11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3"/>
    <s v="Lev Kvetnoi"/>
    <n v="57"/>
    <x v="7"/>
    <x v="17"/>
    <s v="Moscow"/>
    <s v="Cement"/>
    <x v="3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540"/>
    <x v="218"/>
    <x v="3"/>
    <s v="Michiel Le Roux"/>
    <n v="73"/>
    <x v="7"/>
    <x v="29"/>
    <s v="Stellenbosch"/>
    <s v="Banking"/>
    <x v="3"/>
    <s v="South Africa"/>
    <m/>
    <x v="1"/>
    <s v="D"/>
    <x v="0"/>
    <m/>
    <n v="158.93"/>
    <n v="4.0999999999999996"/>
    <s v="$351,431,649,241 "/>
    <x v="27"/>
    <n v="100.9"/>
    <n v="63.9"/>
    <n v="27.5"/>
    <n v="29.2"/>
    <x v="28"/>
    <n v="-30.559481999999999"/>
    <n v="22.937505999999999"/>
  </r>
  <r>
    <n v="2540"/>
    <x v="218"/>
    <x v="2"/>
    <s v="Li Wanqiang"/>
    <n v="45"/>
    <x v="7"/>
    <x v="5"/>
    <s v="Beijing"/>
    <s v="Smartphone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0"/>
    <s v="Liu Baolin"/>
    <n v="69"/>
    <x v="7"/>
    <x v="5"/>
    <s v="Wuhan"/>
    <s v="Pharmacies"/>
    <x v="0"/>
    <s v="China"/>
    <m/>
    <x v="1"/>
    <s v="E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4"/>
    <s v="Loo Choon Yong"/>
    <n v="74"/>
    <x v="7"/>
    <x v="25"/>
    <s v="Singapore"/>
    <s v="Healthcare"/>
    <x v="14"/>
    <s v="Singapore"/>
    <m/>
    <x v="1"/>
    <s v="N"/>
    <x v="0"/>
    <m/>
    <n v="114.41"/>
    <n v="0.6"/>
    <s v="$372,062,527,489 "/>
    <x v="23"/>
    <n v="100.6"/>
    <n v="83.1"/>
    <n v="13.1"/>
    <n v="21"/>
    <x v="24"/>
    <n v="1.3520829999999999"/>
    <n v="103.819836"/>
  </r>
  <r>
    <n v="2540"/>
    <x v="218"/>
    <x v="2"/>
    <s v="Lu Yonghua &amp; family"/>
    <n v="59"/>
    <x v="7"/>
    <x v="5"/>
    <s v="Shanghai"/>
    <s v="Electronics"/>
    <x v="2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0"/>
    <s v="Ma Xiuhui"/>
    <n v="52"/>
    <x v="7"/>
    <x v="5"/>
    <s v="Shanghai"/>
    <s v="LED lighting"/>
    <x v="10"/>
    <s v="China"/>
    <m/>
    <x v="1"/>
    <s v="D"/>
    <x v="1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2"/>
    <s v="Apoorva Mehta"/>
    <n v="36"/>
    <x v="6"/>
    <x v="1"/>
    <s v="San Francisco"/>
    <s v="Grocery delivery service"/>
    <x v="2"/>
    <s v="Canada"/>
    <s v="Instacart"/>
    <x v="1"/>
    <s v="D"/>
    <x v="0"/>
    <s v="Founder"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10"/>
    <s v="Gabriella Meister"/>
    <m/>
    <x v="7"/>
    <x v="7"/>
    <s v="Landsberg am Lech"/>
    <s v="Appliances"/>
    <x v="10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540"/>
    <x v="218"/>
    <x v="10"/>
    <s v="Ulrike Meister"/>
    <n v="56"/>
    <x v="7"/>
    <x v="7"/>
    <s v="Landsberg"/>
    <s v="Appliances"/>
    <x v="10"/>
    <s v="Germany"/>
    <m/>
    <x v="0"/>
    <s v="D"/>
    <x v="1"/>
    <m/>
    <n v="112.85"/>
    <n v="1.4"/>
    <s v="$3,845,630,030,824 "/>
    <x v="7"/>
    <n v="104"/>
    <n v="80.900000000000006"/>
    <n v="11.5"/>
    <n v="48.8"/>
    <x v="7"/>
    <n v="51.165691000000002"/>
    <n v="10.451525999999999"/>
  </r>
  <r>
    <n v="2540"/>
    <x v="218"/>
    <x v="16"/>
    <s v="Andrei Molchanov"/>
    <n v="51"/>
    <x v="7"/>
    <x v="17"/>
    <s v="Moscow"/>
    <s v="Construction materials"/>
    <x v="16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540"/>
    <x v="218"/>
    <x v="10"/>
    <s v="Fulvio MontipÃ² &amp; family"/>
    <n v="78"/>
    <x v="7"/>
    <x v="28"/>
    <s v="Reggio Emilia"/>
    <s v="Hydraulic pumps"/>
    <x v="10"/>
    <s v="Italy"/>
    <m/>
    <x v="1"/>
    <s v="N"/>
    <x v="0"/>
    <m/>
    <n v="110.62"/>
    <n v="0.6"/>
    <s v="$2,001,244,392,042 "/>
    <x v="26"/>
    <n v="101.9"/>
    <n v="82.9"/>
    <n v="24.3"/>
    <n v="59.1"/>
    <x v="27"/>
    <n v="41.871940000000002"/>
    <n v="12.56738"/>
  </r>
  <r>
    <n v="2540"/>
    <x v="218"/>
    <x v="3"/>
    <s v="Stanley Motta"/>
    <n v="77"/>
    <x v="7"/>
    <x v="22"/>
    <m/>
    <s v="Finance"/>
    <x v="3"/>
    <s v="Panama"/>
    <m/>
    <x v="0"/>
    <s v="N"/>
    <x v="0"/>
    <m/>
    <m/>
    <m/>
    <m/>
    <x v="10"/>
    <m/>
    <m/>
    <m/>
    <m/>
    <x v="10"/>
    <m/>
    <m/>
  </r>
  <r>
    <n v="2540"/>
    <x v="218"/>
    <x v="4"/>
    <s v="Tyler Perry"/>
    <n v="53"/>
    <x v="1"/>
    <x v="1"/>
    <s v="Atlanta"/>
    <s v="Movies, television"/>
    <x v="4"/>
    <s v="United States"/>
    <s v="Television"/>
    <x v="1"/>
    <s v="E"/>
    <x v="0"/>
    <s v="Director"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0"/>
    <s v="RÃ©al Plourde"/>
    <m/>
    <x v="7"/>
    <x v="6"/>
    <s v="Westmount"/>
    <s v="Convenience stores"/>
    <x v="0"/>
    <s v="Canada"/>
    <m/>
    <x v="1"/>
    <s v="N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2540"/>
    <x v="218"/>
    <x v="7"/>
    <s v="Vera Rechulski Santo Domingo"/>
    <n v="74"/>
    <x v="7"/>
    <x v="56"/>
    <m/>
    <s v="Beer"/>
    <x v="7"/>
    <s v="Brazil"/>
    <m/>
    <x v="0"/>
    <s v="E"/>
    <x v="1"/>
    <m/>
    <m/>
    <m/>
    <m/>
    <x v="10"/>
    <m/>
    <m/>
    <m/>
    <m/>
    <x v="10"/>
    <m/>
    <m/>
  </r>
  <r>
    <n v="2540"/>
    <x v="218"/>
    <x v="13"/>
    <s v="George Sakellaris"/>
    <n v="76"/>
    <x v="7"/>
    <x v="1"/>
    <s v="Milton"/>
    <s v="Energy services"/>
    <x v="13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4"/>
    <s v="Eddy Kusnadi Sariaatmadja"/>
    <n v="69"/>
    <x v="7"/>
    <x v="15"/>
    <s v="Jakarta"/>
    <s v="Media, tech"/>
    <x v="4"/>
    <s v="Indonesia"/>
    <m/>
    <x v="1"/>
    <s v="D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540"/>
    <x v="218"/>
    <x v="2"/>
    <s v="Neerja Sethi"/>
    <n v="68"/>
    <x v="7"/>
    <x v="1"/>
    <s v="Fisher Island"/>
    <s v="IT consulting, outsourcing"/>
    <x v="2"/>
    <s v="United States"/>
    <m/>
    <x v="1"/>
    <s v="E"/>
    <x v="1"/>
    <m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2"/>
    <s v="Scott Smith"/>
    <n v="73"/>
    <x v="7"/>
    <x v="1"/>
    <s v="Provo"/>
    <s v="Cloud computing"/>
    <x v="2"/>
    <s v="United States"/>
    <m/>
    <x v="1"/>
    <s v="D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15"/>
    <s v="Petter Stordalen &amp; family"/>
    <n v="60"/>
    <x v="7"/>
    <x v="36"/>
    <s v="Oslo"/>
    <s v="Hotels"/>
    <x v="15"/>
    <s v="Norway"/>
    <m/>
    <x v="1"/>
    <s v="D"/>
    <x v="0"/>
    <m/>
    <n v="120.27"/>
    <n v="2.2000000000000002"/>
    <s v="$403,336,363,636 "/>
    <x v="31"/>
    <n v="100.3"/>
    <n v="82.8"/>
    <n v="23.9"/>
    <n v="36.200000000000003"/>
    <x v="34"/>
    <n v="60.472023999999998"/>
    <n v="8.4689460000000008"/>
  </r>
  <r>
    <n v="2540"/>
    <x v="218"/>
    <x v="6"/>
    <s v="Ivan Streshinsky"/>
    <n v="53"/>
    <x v="7"/>
    <x v="17"/>
    <s v="Moscow"/>
    <s v="Metals, telecom"/>
    <x v="6"/>
    <s v="Russia"/>
    <m/>
    <x v="1"/>
    <s v="N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540"/>
    <x v="218"/>
    <x v="3"/>
    <s v="Sergei Sudarikov"/>
    <n v="51"/>
    <x v="7"/>
    <x v="17"/>
    <s v="Moscow"/>
    <s v="Finance, development"/>
    <x v="3"/>
    <s v="Russia"/>
    <m/>
    <x v="1"/>
    <s v="R"/>
    <x v="0"/>
    <m/>
    <n v="180.75"/>
    <n v="4.5"/>
    <s v="$1,699,876,578,871 "/>
    <x v="17"/>
    <n v="102.6"/>
    <n v="72.7"/>
    <n v="11.4"/>
    <n v="46.2"/>
    <x v="17"/>
    <n v="61.524009999999997"/>
    <n v="105.31875599999999"/>
  </r>
  <r>
    <n v="2540"/>
    <x v="218"/>
    <x v="10"/>
    <s v="Wijono Tanoko"/>
    <n v="70"/>
    <x v="7"/>
    <x v="15"/>
    <s v="Surabaya"/>
    <s v="Paints"/>
    <x v="10"/>
    <s v="Indonesia"/>
    <m/>
    <x v="0"/>
    <s v="Split Family Fortune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540"/>
    <x v="218"/>
    <x v="10"/>
    <s v="Haryanto Tjiptodihardjo"/>
    <n v="59"/>
    <x v="7"/>
    <x v="15"/>
    <s v="Jakarta"/>
    <s v="Manufacturing"/>
    <x v="10"/>
    <s v="Indonesia"/>
    <m/>
    <x v="0"/>
    <s v="N"/>
    <x v="0"/>
    <m/>
    <n v="151.18"/>
    <n v="3"/>
    <s v="$1,119,190,780,753 "/>
    <x v="15"/>
    <n v="106.4"/>
    <n v="71.5"/>
    <n v="10.199999999999999"/>
    <n v="30.1"/>
    <x v="15"/>
    <n v="-0.78927499999999995"/>
    <n v="113.92132700000001"/>
  </r>
  <r>
    <n v="2540"/>
    <x v="218"/>
    <x v="7"/>
    <s v="David Tran &amp; family"/>
    <n v="77"/>
    <x v="7"/>
    <x v="1"/>
    <s v="Arcadia"/>
    <s v="Hot sauce"/>
    <x v="7"/>
    <s v="United States"/>
    <m/>
    <x v="1"/>
    <s v="N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4"/>
    <s v="Kenzo Tsujimoto"/>
    <n v="82"/>
    <x v="7"/>
    <x v="12"/>
    <s v="Osaka"/>
    <s v="Video games"/>
    <x v="4"/>
    <s v="Japan"/>
    <m/>
    <x v="1"/>
    <s v="N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540"/>
    <x v="218"/>
    <x v="5"/>
    <s v="Murat Vargi"/>
    <n v="75"/>
    <x v="7"/>
    <x v="47"/>
    <s v="Istanbul"/>
    <s v="Telecom"/>
    <x v="5"/>
    <s v="Turkey"/>
    <m/>
    <x v="1"/>
    <s v="D"/>
    <x v="0"/>
    <m/>
    <n v="234.44"/>
    <n v="15.2"/>
    <s v="$754,411,708,203 "/>
    <x v="40"/>
    <n v="93.2"/>
    <n v="77.400000000000006"/>
    <n v="17.899999999999999"/>
    <n v="42.3"/>
    <x v="42"/>
    <n v="38.963745000000003"/>
    <n v="35.243321999999999"/>
  </r>
  <r>
    <n v="2540"/>
    <x v="218"/>
    <x v="2"/>
    <s v="Shigefumi Wada"/>
    <n v="70"/>
    <x v="7"/>
    <x v="12"/>
    <s v="Nakano, Tokyo"/>
    <s v="Software"/>
    <x v="2"/>
    <s v="Japan"/>
    <m/>
    <x v="1"/>
    <s v="E"/>
    <x v="0"/>
    <m/>
    <n v="105.48"/>
    <n v="0.5"/>
    <s v="$5,081,769,542,380 "/>
    <x v="12"/>
    <n v="98.8"/>
    <n v="84.2"/>
    <n v="11.9"/>
    <n v="46.7"/>
    <x v="12"/>
    <n v="36.204824000000002"/>
    <n v="138.25292400000001"/>
  </r>
  <r>
    <n v="2540"/>
    <x v="218"/>
    <x v="14"/>
    <s v="Wan Feng &amp; family"/>
    <n v="54"/>
    <x v="7"/>
    <x v="5"/>
    <s v="Shenzhen"/>
    <s v="Medical equipment"/>
    <x v="14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"/>
    <s v="Wang Jianfeng &amp; family"/>
    <n v="53"/>
    <x v="7"/>
    <x v="5"/>
    <s v="Ningbo"/>
    <s v="Auto parts"/>
    <x v="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8"/>
    <s v="Masaru Wasami"/>
    <n v="77"/>
    <x v="7"/>
    <x v="22"/>
    <m/>
    <s v="Logistics"/>
    <x v="8"/>
    <s v="Japan"/>
    <m/>
    <x v="1"/>
    <s v="R"/>
    <x v="0"/>
    <m/>
    <m/>
    <m/>
    <m/>
    <x v="10"/>
    <m/>
    <m/>
    <m/>
    <m/>
    <x v="10"/>
    <m/>
    <m/>
  </r>
  <r>
    <n v="2540"/>
    <x v="218"/>
    <x v="3"/>
    <s v="V. Prem Watsa"/>
    <n v="72"/>
    <x v="7"/>
    <x v="6"/>
    <s v="Toronto"/>
    <s v="Insurance, investments"/>
    <x v="3"/>
    <s v="Canada"/>
    <m/>
    <x v="1"/>
    <s v="R"/>
    <x v="0"/>
    <m/>
    <n v="116.76"/>
    <n v="1.9"/>
    <s v="$1,736,425,629,520 "/>
    <x v="6"/>
    <n v="100.9"/>
    <n v="81.900000000000006"/>
    <n v="12.8"/>
    <n v="24.5"/>
    <x v="6"/>
    <n v="56.130366000000002"/>
    <n v="-106.346771"/>
  </r>
  <r>
    <n v="2540"/>
    <x v="218"/>
    <x v="7"/>
    <s v="Wen Pengcheng &amp; family"/>
    <n v="60"/>
    <x v="7"/>
    <x v="5"/>
    <s v="Yunfu"/>
    <s v="Agribusiness"/>
    <x v="7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7"/>
    <s v="Toto Wolff"/>
    <n v="51"/>
    <x v="7"/>
    <x v="19"/>
    <m/>
    <s v="Sports"/>
    <x v="17"/>
    <s v="Austria"/>
    <m/>
    <x v="1"/>
    <s v="N"/>
    <x v="0"/>
    <m/>
    <m/>
    <m/>
    <s v="$7,184,844,193 "/>
    <x v="10"/>
    <m/>
    <m/>
    <m/>
    <m/>
    <x v="19"/>
    <n v="43.738417599999998"/>
    <n v="7.4246157999999998"/>
  </r>
  <r>
    <n v="2540"/>
    <x v="218"/>
    <x v="10"/>
    <s v="Franziska Wuerbser"/>
    <n v="35"/>
    <x v="7"/>
    <x v="22"/>
    <m/>
    <s v="Kitchen appliances"/>
    <x v="10"/>
    <s v="Germany"/>
    <m/>
    <x v="0"/>
    <s v="D"/>
    <x v="1"/>
    <m/>
    <m/>
    <m/>
    <m/>
    <x v="10"/>
    <m/>
    <m/>
    <m/>
    <m/>
    <x v="10"/>
    <m/>
    <m/>
  </r>
  <r>
    <n v="2540"/>
    <x v="218"/>
    <x v="0"/>
    <s v="Xie Bingzheng &amp; family"/>
    <n v="54"/>
    <x v="7"/>
    <x v="5"/>
    <s v="Guangzhou"/>
    <s v="Apparel"/>
    <x v="0"/>
    <s v="China"/>
    <m/>
    <x v="1"/>
    <s v="N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0"/>
    <s v="Xu Gang"/>
    <n v="59"/>
    <x v="7"/>
    <x v="5"/>
    <s v="Jiaozuo"/>
    <s v="Chemicals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0"/>
    <s v="Yan Junxu"/>
    <n v="53"/>
    <x v="7"/>
    <x v="5"/>
    <s v="Taicang"/>
    <s v="Manufacturing"/>
    <x v="10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4"/>
    <s v="Yi Xianzhong &amp; family"/>
    <n v="63"/>
    <x v="7"/>
    <x v="5"/>
    <s v="Guangzhou"/>
    <s v="Pharmaceutical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4"/>
    <s v="Yu Rong"/>
    <n v="51"/>
    <x v="7"/>
    <x v="5"/>
    <s v="Shanghai"/>
    <s v="Health clinics"/>
    <x v="14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7"/>
    <s v="Richard Yuengling, Jr."/>
    <n v="80"/>
    <x v="7"/>
    <x v="1"/>
    <s v="Pottsville"/>
    <s v="Beer"/>
    <x v="7"/>
    <s v="United States"/>
    <m/>
    <x v="0"/>
    <s v="E"/>
    <x v="0"/>
    <m/>
    <n v="117.24"/>
    <n v="7.5"/>
    <s v="$21,427,700,000,000 "/>
    <x v="1"/>
    <n v="101.8"/>
    <n v="78.5"/>
    <n v="9.6"/>
    <n v="36.6"/>
    <x v="1"/>
    <n v="37.090240000000001"/>
    <n v="-95.712890999999999"/>
  </r>
  <r>
    <n v="2540"/>
    <x v="218"/>
    <x v="10"/>
    <s v="Zhang Gongyun"/>
    <n v="60"/>
    <x v="7"/>
    <x v="5"/>
    <s v="Gaomi"/>
    <s v="Tyre manufacturing machinery"/>
    <x v="10"/>
    <s v="China"/>
    <m/>
    <x v="1"/>
    <s v="R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11"/>
    <s v="Zhang Guiping &amp; family"/>
    <n v="71"/>
    <x v="7"/>
    <x v="5"/>
    <s v="Nanjing"/>
    <s v="Real estate"/>
    <x v="11"/>
    <s v="China"/>
    <m/>
    <x v="1"/>
    <s v="D"/>
    <x v="0"/>
    <m/>
    <n v="125.08"/>
    <n v="2.9"/>
    <s v="$19,910,000,000,000 "/>
    <x v="5"/>
    <n v="100.2"/>
    <n v="77"/>
    <n v="9.4"/>
    <n v="59.2"/>
    <x v="5"/>
    <n v="35.861660000000001"/>
    <n v="104.195397"/>
  </r>
  <r>
    <n v="2540"/>
    <x v="218"/>
    <x v="6"/>
    <s v="Inigo Zobel"/>
    <n v="66"/>
    <x v="7"/>
    <x v="34"/>
    <s v="Makati"/>
    <s v="Diversified"/>
    <x v="6"/>
    <s v="Philippines"/>
    <m/>
    <x v="0"/>
    <s v="R"/>
    <x v="0"/>
    <m/>
    <n v="129.61000000000001"/>
    <n v="2.5"/>
    <s v="$376,795,508,680 "/>
    <x v="32"/>
    <n v="107.5"/>
    <n v="71.099999999999994"/>
    <n v="14"/>
    <n v="43.1"/>
    <x v="33"/>
    <n v="12.879721"/>
    <n v="121.7740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5" rowHeaderCaption="category" colHeaderCaption="Gender wise Final worth">
  <location ref="A3:C14" firstHeaderRow="1" firstDataRow="2" firstDataCol="1"/>
  <pivotFields count="27">
    <pivotField showAll="0" defaultSubtotal="0"/>
    <pivotField dataField="1" showAll="0" defaultSubtotal="0"/>
    <pivotField axis="axisRow" showAll="0" measureFilter="1" defaultSubtotal="0">
      <items count="18">
        <item x="1"/>
        <item x="16"/>
        <item x="6"/>
        <item x="13"/>
        <item x="0"/>
        <item x="3"/>
        <item x="7"/>
        <item x="9"/>
        <item x="14"/>
        <item x="8"/>
        <item x="10"/>
        <item x="4"/>
        <item x="12"/>
        <item x="11"/>
        <item x="15"/>
        <item x="17"/>
        <item x="2"/>
        <item x="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10">
    <i>
      <x/>
    </i>
    <i>
      <x v="2"/>
    </i>
    <i>
      <x v="3"/>
    </i>
    <i>
      <x v="4"/>
    </i>
    <i>
      <x v="5"/>
    </i>
    <i>
      <x v="6"/>
    </i>
    <i>
      <x v="8"/>
    </i>
    <i>
      <x v="10"/>
    </i>
    <i>
      <x v="13"/>
    </i>
    <i>
      <x v="16"/>
    </i>
  </rowItems>
  <colFields count="1">
    <field x="14"/>
  </colFields>
  <colItems count="2">
    <i>
      <x/>
    </i>
    <i>
      <x v="1"/>
    </i>
  </colItems>
  <dataFields count="1">
    <dataField name="Final worth" fld="1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5">
  <location ref="A3:B5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2">
    <i>
      <x/>
    </i>
    <i>
      <x v="1"/>
    </i>
  </rowItems>
  <colItems count="1">
    <i/>
  </colItems>
  <dataFields count="1">
    <dataField name="Count of selfMade" fld="1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22" firstHeaderRow="1" firstDataRow="1" firstDataCol="1"/>
  <pivotFields count="2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9">
        <item x="1"/>
        <item x="16"/>
        <item x="6"/>
        <item x="13"/>
        <item x="0"/>
        <item x="3"/>
        <item x="7"/>
        <item x="9"/>
        <item x="14"/>
        <item x="8"/>
        <item x="10"/>
        <item x="4"/>
        <item x="12"/>
        <item x="11"/>
        <item x="15"/>
        <item x="17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9">
    <i>
      <x v="1"/>
    </i>
    <i>
      <x v="7"/>
    </i>
    <i>
      <x v="15"/>
    </i>
    <i>
      <x v="14"/>
    </i>
    <i>
      <x v="17"/>
    </i>
    <i>
      <x v="9"/>
    </i>
    <i>
      <x v="11"/>
    </i>
    <i>
      <x v="12"/>
    </i>
    <i>
      <x v="3"/>
    </i>
    <i>
      <x/>
    </i>
    <i>
      <x v="8"/>
    </i>
    <i>
      <x v="13"/>
    </i>
    <i>
      <x v="2"/>
    </i>
    <i>
      <x v="6"/>
    </i>
    <i>
      <x v="10"/>
    </i>
    <i>
      <x v="5"/>
    </i>
    <i>
      <x v="4"/>
    </i>
    <i>
      <x v="16"/>
    </i>
    <i t="grand">
      <x/>
    </i>
  </rowItems>
  <colItems count="1">
    <i/>
  </colItems>
  <dataFields count="1">
    <dataField name="Sum of finalWorth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showCalcMbrs="0" useAutoFormatting="1" rowGrandTotals="0" colGrandTotals="0" itemPrintTitles="1" createdVersion="3" indent="0" outline="1" outlineData="1" multipleFieldFilters="0" chartFormat="8">
  <location ref="A3:B11" firstHeaderRow="1" firstDataRow="1" firstDataCol="1"/>
  <pivotFields count="27">
    <pivotField showAll="0"/>
    <pivotField showAll="0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9">
        <item x="1"/>
        <item x="16"/>
        <item x="6"/>
        <item x="13"/>
        <item x="0"/>
        <item x="3"/>
        <item x="7"/>
        <item x="9"/>
        <item x="14"/>
        <item x="8"/>
        <item x="10"/>
        <item x="4"/>
        <item x="12"/>
        <item x="11"/>
        <item x="15"/>
        <item x="17"/>
        <item x="2"/>
        <item x="5"/>
        <item t="default"/>
      </items>
    </pivotField>
    <pivotField showAll="0"/>
    <pivotField showAll="0"/>
    <pivotField axis="axisRow" dataField="1" showAll="0">
      <items count="10">
        <item x="8"/>
        <item x="6"/>
        <item x="5"/>
        <item x="1"/>
        <item x="3"/>
        <item x="0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age category" fld="5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3">
  <location ref="A3:B5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Female" x="1"/>
        <item n="Male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2">
    <i>
      <x/>
    </i>
    <i>
      <x v="1"/>
    </i>
  </rowItems>
  <colItems count="1">
    <i/>
  </colItems>
  <dataFields count="1">
    <dataField name="Count of gender" fld="14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20" firstHeaderRow="1" firstDataRow="1" firstDataCol="0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20" firstHeaderRow="1" firstDataRow="1" firstDataCol="0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5">
        <item x="60"/>
        <item x="22"/>
        <item x="24"/>
        <item x="56"/>
        <item x="48"/>
        <item x="54"/>
        <item x="47"/>
        <item x="27"/>
        <item x="40"/>
        <item x="49"/>
        <item x="3"/>
        <item x="45"/>
        <item x="33"/>
        <item x="32"/>
        <item x="52"/>
        <item x="58"/>
        <item x="15"/>
        <item x="16"/>
        <item x="50"/>
        <item x="2"/>
        <item x="29"/>
        <item x="57"/>
        <item x="59"/>
        <item x="21"/>
        <item x="53"/>
        <item x="61"/>
        <item x="5"/>
        <item x="28"/>
        <item x="44"/>
        <item x="63"/>
        <item x="35"/>
        <item x="8"/>
        <item x="13"/>
        <item x="43"/>
        <item x="26"/>
        <item x="55"/>
        <item x="12"/>
        <item x="25"/>
        <item x="42"/>
        <item x="19"/>
        <item x="0"/>
        <item x="20"/>
        <item x="37"/>
        <item x="6"/>
        <item x="7"/>
        <item x="62"/>
        <item x="51"/>
        <item x="9"/>
        <item x="34"/>
        <item x="17"/>
        <item x="31"/>
        <item x="38"/>
        <item x="23"/>
        <item x="36"/>
        <item x="11"/>
        <item x="46"/>
        <item x="1"/>
        <item x="18"/>
        <item x="4"/>
        <item x="41"/>
        <item x="30"/>
        <item x="14"/>
        <item x="3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B16:I26" totalsRowShown="0" headerRowDxfId="1">
  <autoFilter ref="B16:I26"/>
  <tableColumns count="8">
    <tableColumn id="1" name="personName"/>
    <tableColumn id="2" name="gender"/>
    <tableColumn id="3" name="country"/>
    <tableColumn id="4" name="self Made"/>
    <tableColumn id="6" name="source"/>
    <tableColumn id="7" name="industries"/>
    <tableColumn id="8" name="organization"/>
    <tableColumn id="10" name="finalWorth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A11:E13" totalsRowShown="0" headerRowDxfId="0">
  <autoFilter ref="A11:E13"/>
  <tableColumns count="5">
    <tableColumn id="1" name="personName"/>
    <tableColumn id="2" name="age"/>
    <tableColumn id="3" name="country"/>
    <tableColumn id="4" name="category"/>
    <tableColumn id="5" name="finalWor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14"/>
  <sheetViews>
    <sheetView workbookViewId="0">
      <selection activeCell="D6" sqref="D6"/>
    </sheetView>
  </sheetViews>
  <sheetFormatPr defaultRowHeight="14.4"/>
  <cols>
    <col min="1" max="1" width="19.5546875" customWidth="1"/>
    <col min="2" max="2" width="23.5546875" customWidth="1"/>
    <col min="3" max="3" width="8" customWidth="1"/>
    <col min="4" max="4" width="10.77734375" bestFit="1" customWidth="1"/>
  </cols>
  <sheetData>
    <row r="3" spans="1:3">
      <c r="A3" s="2" t="s">
        <v>4856</v>
      </c>
      <c r="B3" s="2" t="s">
        <v>4855</v>
      </c>
    </row>
    <row r="4" spans="1:3">
      <c r="A4" s="2" t="s">
        <v>2</v>
      </c>
      <c r="B4" t="s">
        <v>88</v>
      </c>
      <c r="C4" t="s">
        <v>33</v>
      </c>
    </row>
    <row r="5" spans="1:3">
      <c r="A5" s="3" t="s">
        <v>36</v>
      </c>
      <c r="B5" s="5">
        <v>41000</v>
      </c>
      <c r="C5" s="5">
        <v>484300</v>
      </c>
    </row>
    <row r="6" spans="1:3">
      <c r="A6" s="3" t="s">
        <v>75</v>
      </c>
      <c r="B6" s="5">
        <v>144100</v>
      </c>
      <c r="C6" s="5">
        <v>761100</v>
      </c>
    </row>
    <row r="7" spans="1:3">
      <c r="A7" s="3" t="s">
        <v>250</v>
      </c>
      <c r="B7" s="5">
        <v>45600</v>
      </c>
      <c r="C7" s="5">
        <v>407900</v>
      </c>
    </row>
    <row r="8" spans="1:3">
      <c r="A8" s="3" t="s">
        <v>26</v>
      </c>
      <c r="B8" s="5">
        <v>283800</v>
      </c>
      <c r="C8" s="5">
        <v>1415000</v>
      </c>
    </row>
    <row r="9" spans="1:3">
      <c r="A9" s="3" t="s">
        <v>54</v>
      </c>
      <c r="B9" s="5">
        <v>122400</v>
      </c>
      <c r="C9" s="5">
        <v>1482700</v>
      </c>
    </row>
    <row r="10" spans="1:3">
      <c r="A10" s="3" t="s">
        <v>101</v>
      </c>
      <c r="B10" s="5">
        <v>212400</v>
      </c>
      <c r="C10" s="5">
        <v>744800</v>
      </c>
    </row>
    <row r="11" spans="1:3">
      <c r="A11" s="3" t="s">
        <v>288</v>
      </c>
      <c r="B11" s="5">
        <v>78600</v>
      </c>
      <c r="C11" s="5">
        <v>564600</v>
      </c>
    </row>
    <row r="12" spans="1:3">
      <c r="A12" s="3" t="s">
        <v>217</v>
      </c>
      <c r="B12" s="5">
        <v>108100</v>
      </c>
      <c r="C12" s="5">
        <v>910900</v>
      </c>
    </row>
    <row r="13" spans="1:3">
      <c r="A13" s="3" t="s">
        <v>221</v>
      </c>
      <c r="B13" s="5">
        <v>83800</v>
      </c>
      <c r="C13" s="5">
        <v>573600</v>
      </c>
    </row>
    <row r="14" spans="1:3">
      <c r="A14" s="3" t="s">
        <v>45</v>
      </c>
      <c r="B14" s="5">
        <v>123500</v>
      </c>
      <c r="C14" s="5">
        <v>1754400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N19" sqref="N19"/>
    </sheetView>
  </sheetViews>
  <sheetFormatPr defaultRowHeight="14.4"/>
  <cols>
    <col min="1" max="1" width="12.5546875" bestFit="1" customWidth="1"/>
    <col min="2" max="2" width="16.6640625" bestFit="1" customWidth="1"/>
  </cols>
  <sheetData>
    <row r="3" spans="1:2">
      <c r="A3" s="2" t="s">
        <v>4852</v>
      </c>
      <c r="B3" t="s">
        <v>4859</v>
      </c>
    </row>
    <row r="4" spans="1:2">
      <c r="A4" s="3" t="s">
        <v>4857</v>
      </c>
      <c r="B4">
        <v>828</v>
      </c>
    </row>
    <row r="5" spans="1:2">
      <c r="A5" s="3" t="s">
        <v>4858</v>
      </c>
      <c r="B5">
        <v>1812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22"/>
  <sheetViews>
    <sheetView workbookViewId="0">
      <selection activeCell="Q7" sqref="Q7"/>
    </sheetView>
  </sheetViews>
  <sheetFormatPr defaultRowHeight="14.4"/>
  <cols>
    <col min="1" max="1" width="23.33203125" bestFit="1" customWidth="1"/>
    <col min="2" max="2" width="16.5546875" bestFit="1" customWidth="1"/>
  </cols>
  <sheetData>
    <row r="3" spans="1:2">
      <c r="A3" s="2" t="s">
        <v>4852</v>
      </c>
      <c r="B3" t="s">
        <v>4854</v>
      </c>
    </row>
    <row r="4" spans="1:2">
      <c r="A4" s="3" t="s">
        <v>469</v>
      </c>
      <c r="B4">
        <v>118500</v>
      </c>
    </row>
    <row r="5" spans="1:2">
      <c r="A5" s="3" t="s">
        <v>179</v>
      </c>
      <c r="B5">
        <v>120500</v>
      </c>
    </row>
    <row r="6" spans="1:2">
      <c r="A6" s="3" t="s">
        <v>478</v>
      </c>
      <c r="B6">
        <v>134500</v>
      </c>
    </row>
    <row r="7" spans="1:2">
      <c r="A7" s="3" t="s">
        <v>308</v>
      </c>
      <c r="B7">
        <v>173400</v>
      </c>
    </row>
    <row r="8" spans="1:2">
      <c r="A8" s="3" t="s">
        <v>68</v>
      </c>
      <c r="B8">
        <v>203500</v>
      </c>
    </row>
    <row r="9" spans="1:2">
      <c r="A9" s="3" t="s">
        <v>154</v>
      </c>
      <c r="B9">
        <v>239500</v>
      </c>
    </row>
    <row r="10" spans="1:2">
      <c r="A10" s="3" t="s">
        <v>63</v>
      </c>
      <c r="B10">
        <v>427500</v>
      </c>
    </row>
    <row r="11" spans="1:2">
      <c r="A11" s="3" t="s">
        <v>236</v>
      </c>
      <c r="B11">
        <v>446800</v>
      </c>
    </row>
    <row r="12" spans="1:2">
      <c r="A12" s="3" t="s">
        <v>250</v>
      </c>
      <c r="B12">
        <v>453500</v>
      </c>
    </row>
    <row r="13" spans="1:2">
      <c r="A13" s="3" t="s">
        <v>36</v>
      </c>
      <c r="B13">
        <v>525300</v>
      </c>
    </row>
    <row r="14" spans="1:2">
      <c r="A14" s="3" t="s">
        <v>288</v>
      </c>
      <c r="B14">
        <v>643200</v>
      </c>
    </row>
    <row r="15" spans="1:2">
      <c r="A15" s="3" t="s">
        <v>221</v>
      </c>
      <c r="B15">
        <v>657400</v>
      </c>
    </row>
    <row r="16" spans="1:2">
      <c r="A16" s="3" t="s">
        <v>75</v>
      </c>
      <c r="B16">
        <v>905200</v>
      </c>
    </row>
    <row r="17" spans="1:2">
      <c r="A17" s="3" t="s">
        <v>101</v>
      </c>
      <c r="B17">
        <v>957200</v>
      </c>
    </row>
    <row r="18" spans="1:2">
      <c r="A18" s="3" t="s">
        <v>217</v>
      </c>
      <c r="B18">
        <v>1019000</v>
      </c>
    </row>
    <row r="19" spans="1:2">
      <c r="A19" s="3" t="s">
        <v>54</v>
      </c>
      <c r="B19">
        <v>1605100</v>
      </c>
    </row>
    <row r="20" spans="1:2">
      <c r="A20" s="3" t="s">
        <v>26</v>
      </c>
      <c r="B20">
        <v>1698800</v>
      </c>
    </row>
    <row r="21" spans="1:2">
      <c r="A21" s="3" t="s">
        <v>45</v>
      </c>
      <c r="B21">
        <v>1877900</v>
      </c>
    </row>
    <row r="22" spans="1:2">
      <c r="A22" s="3" t="s">
        <v>4853</v>
      </c>
      <c r="B22">
        <v>12206800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1"/>
  <sheetViews>
    <sheetView topLeftCell="A2" workbookViewId="0">
      <selection activeCell="G17" sqref="G17"/>
    </sheetView>
  </sheetViews>
  <sheetFormatPr defaultRowHeight="14.4"/>
  <cols>
    <col min="1" max="1" width="12.5546875" bestFit="1" customWidth="1"/>
    <col min="2" max="2" width="19.77734375" bestFit="1" customWidth="1"/>
  </cols>
  <sheetData>
    <row r="3" spans="1:2">
      <c r="A3" s="2" t="s">
        <v>4852</v>
      </c>
      <c r="B3" t="s">
        <v>4861</v>
      </c>
    </row>
    <row r="4" spans="1:2">
      <c r="A4" s="3" t="s">
        <v>4860</v>
      </c>
      <c r="B4" s="5">
        <v>1</v>
      </c>
    </row>
    <row r="5" spans="1:2">
      <c r="A5" s="3" t="s">
        <v>4851</v>
      </c>
      <c r="B5" s="5">
        <v>15</v>
      </c>
    </row>
    <row r="6" spans="1:2">
      <c r="A6" s="3" t="s">
        <v>4850</v>
      </c>
      <c r="B6" s="5">
        <v>26</v>
      </c>
    </row>
    <row r="7" spans="1:2">
      <c r="A7" s="3" t="s">
        <v>4846</v>
      </c>
      <c r="B7" s="5">
        <v>67</v>
      </c>
    </row>
    <row r="8" spans="1:2">
      <c r="A8" s="3" t="s">
        <v>4848</v>
      </c>
      <c r="B8" s="5">
        <v>101</v>
      </c>
    </row>
    <row r="9" spans="1:2">
      <c r="A9" s="3" t="s">
        <v>4845</v>
      </c>
      <c r="B9" s="5">
        <v>84</v>
      </c>
    </row>
    <row r="10" spans="1:2">
      <c r="A10" s="3" t="s">
        <v>4849</v>
      </c>
      <c r="B10" s="5">
        <v>55</v>
      </c>
    </row>
    <row r="11" spans="1:2">
      <c r="A11" s="3" t="s">
        <v>4847</v>
      </c>
      <c r="B11" s="5">
        <v>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I13" sqref="I13"/>
    </sheetView>
  </sheetViews>
  <sheetFormatPr defaultRowHeight="14.4"/>
  <cols>
    <col min="1" max="1" width="12.5546875" bestFit="1" customWidth="1"/>
    <col min="2" max="2" width="14.77734375" bestFit="1" customWidth="1"/>
  </cols>
  <sheetData>
    <row r="3" spans="1:2">
      <c r="A3" s="2" t="s">
        <v>4852</v>
      </c>
      <c r="B3" t="s">
        <v>4865</v>
      </c>
    </row>
    <row r="4" spans="1:2">
      <c r="A4" s="3" t="s">
        <v>4866</v>
      </c>
      <c r="B4">
        <v>337</v>
      </c>
    </row>
    <row r="5" spans="1:2">
      <c r="A5" s="3" t="s">
        <v>4867</v>
      </c>
      <c r="B5">
        <v>2303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C20"/>
  <sheetViews>
    <sheetView workbookViewId="0">
      <selection activeCell="R13" sqref="R13"/>
    </sheetView>
  </sheetViews>
  <sheetFormatPr defaultRowHeight="14.4"/>
  <sheetData>
    <row r="3" spans="1:3">
      <c r="A3" s="6"/>
      <c r="B3" s="7"/>
      <c r="C3" s="8"/>
    </row>
    <row r="4" spans="1:3">
      <c r="A4" s="9"/>
      <c r="B4" s="10"/>
      <c r="C4" s="11"/>
    </row>
    <row r="5" spans="1:3">
      <c r="A5" s="9"/>
      <c r="B5" s="10"/>
      <c r="C5" s="11"/>
    </row>
    <row r="6" spans="1:3">
      <c r="A6" s="9"/>
      <c r="B6" s="10"/>
      <c r="C6" s="11"/>
    </row>
    <row r="7" spans="1:3">
      <c r="A7" s="9"/>
      <c r="B7" s="10"/>
      <c r="C7" s="11"/>
    </row>
    <row r="8" spans="1:3">
      <c r="A8" s="9"/>
      <c r="B8" s="10"/>
      <c r="C8" s="11"/>
    </row>
    <row r="9" spans="1:3">
      <c r="A9" s="9"/>
      <c r="B9" s="10"/>
      <c r="C9" s="11"/>
    </row>
    <row r="10" spans="1:3">
      <c r="A10" s="9"/>
      <c r="B10" s="10"/>
      <c r="C10" s="11"/>
    </row>
    <row r="11" spans="1:3">
      <c r="A11" s="9"/>
      <c r="B11" s="10"/>
      <c r="C11" s="11"/>
    </row>
    <row r="12" spans="1:3">
      <c r="A12" s="9"/>
      <c r="B12" s="10"/>
      <c r="C12" s="11"/>
    </row>
    <row r="13" spans="1:3">
      <c r="A13" s="9"/>
      <c r="B13" s="10"/>
      <c r="C13" s="11"/>
    </row>
    <row r="14" spans="1:3">
      <c r="A14" s="9"/>
      <c r="B14" s="10"/>
      <c r="C14" s="11"/>
    </row>
    <row r="15" spans="1:3">
      <c r="A15" s="9"/>
      <c r="B15" s="10"/>
      <c r="C15" s="11"/>
    </row>
    <row r="16" spans="1:3">
      <c r="A16" s="9"/>
      <c r="B16" s="10"/>
      <c r="C16" s="11"/>
    </row>
    <row r="17" spans="1:3">
      <c r="A17" s="9"/>
      <c r="B17" s="10"/>
      <c r="C17" s="11"/>
    </row>
    <row r="18" spans="1:3">
      <c r="A18" s="9"/>
      <c r="B18" s="10"/>
      <c r="C18" s="11"/>
    </row>
    <row r="19" spans="1:3">
      <c r="A19" s="9"/>
      <c r="B19" s="10"/>
      <c r="C19" s="11"/>
    </row>
    <row r="20" spans="1:3">
      <c r="A20" s="12"/>
      <c r="B20" s="13"/>
      <c r="C20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C20"/>
  <sheetViews>
    <sheetView workbookViewId="0">
      <selection activeCell="O17" sqref="O17"/>
    </sheetView>
  </sheetViews>
  <sheetFormatPr defaultRowHeight="14.4"/>
  <cols>
    <col min="1" max="1" width="12.5546875" bestFit="1" customWidth="1"/>
  </cols>
  <sheetData>
    <row r="3" spans="1:3">
      <c r="A3" s="6"/>
      <c r="B3" s="7"/>
      <c r="C3" s="8"/>
    </row>
    <row r="4" spans="1:3">
      <c r="A4" s="9"/>
      <c r="B4" s="10"/>
      <c r="C4" s="11"/>
    </row>
    <row r="5" spans="1:3">
      <c r="A5" s="9"/>
      <c r="B5" s="10"/>
      <c r="C5" s="11"/>
    </row>
    <row r="6" spans="1:3">
      <c r="A6" s="9"/>
      <c r="B6" s="10"/>
      <c r="C6" s="11"/>
    </row>
    <row r="7" spans="1:3">
      <c r="A7" s="9"/>
      <c r="B7" s="10"/>
      <c r="C7" s="11"/>
    </row>
    <row r="8" spans="1:3">
      <c r="A8" s="9"/>
      <c r="B8" s="10"/>
      <c r="C8" s="11"/>
    </row>
    <row r="9" spans="1:3">
      <c r="A9" s="9"/>
      <c r="B9" s="10"/>
      <c r="C9" s="11"/>
    </row>
    <row r="10" spans="1:3">
      <c r="A10" s="9"/>
      <c r="B10" s="10"/>
      <c r="C10" s="11"/>
    </row>
    <row r="11" spans="1:3">
      <c r="A11" s="9"/>
      <c r="B11" s="10"/>
      <c r="C11" s="11"/>
    </row>
    <row r="12" spans="1:3">
      <c r="A12" s="9"/>
      <c r="B12" s="10"/>
      <c r="C12" s="11"/>
    </row>
    <row r="13" spans="1:3">
      <c r="A13" s="9"/>
      <c r="B13" s="10"/>
      <c r="C13" s="11"/>
    </row>
    <row r="14" spans="1:3">
      <c r="A14" s="9"/>
      <c r="B14" s="10"/>
      <c r="C14" s="11"/>
    </row>
    <row r="15" spans="1:3">
      <c r="A15" s="9"/>
      <c r="B15" s="10"/>
      <c r="C15" s="11"/>
    </row>
    <row r="16" spans="1:3">
      <c r="A16" s="9"/>
      <c r="B16" s="10"/>
      <c r="C16" s="11"/>
    </row>
    <row r="17" spans="1:3">
      <c r="A17" s="9"/>
      <c r="B17" s="10"/>
      <c r="C17" s="11"/>
    </row>
    <row r="18" spans="1:3">
      <c r="A18" s="9"/>
      <c r="B18" s="10"/>
      <c r="C18" s="11"/>
    </row>
    <row r="19" spans="1:3">
      <c r="A19" s="9"/>
      <c r="B19" s="10"/>
      <c r="C19" s="11"/>
    </row>
    <row r="20" spans="1:3">
      <c r="A20" s="12"/>
      <c r="B20" s="13"/>
      <c r="C20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1"/>
  <dimension ref="A1:AB2641"/>
  <sheetViews>
    <sheetView tabSelected="1" zoomScale="145" zoomScaleNormal="145" workbookViewId="0">
      <selection activeCell="D7" sqref="D7"/>
    </sheetView>
  </sheetViews>
  <sheetFormatPr defaultRowHeight="14.4"/>
  <cols>
    <col min="2" max="2" width="12.21875" bestFit="1" customWidth="1"/>
    <col min="3" max="3" width="23.33203125" bestFit="1" customWidth="1"/>
    <col min="4" max="4" width="37.5546875" bestFit="1" customWidth="1"/>
    <col min="5" max="5" width="6.77734375" customWidth="1"/>
    <col min="6" max="6" width="11.77734375" bestFit="1" customWidth="1"/>
    <col min="7" max="7" width="20.77734375" bestFit="1" customWidth="1"/>
    <col min="8" max="8" width="23" bestFit="1" customWidth="1"/>
    <col min="9" max="9" width="31.6640625" bestFit="1" customWidth="1"/>
    <col min="10" max="10" width="23.33203125" bestFit="1" customWidth="1"/>
    <col min="11" max="11" width="20.88671875" bestFit="1" customWidth="1"/>
    <col min="12" max="12" width="40.5546875" bestFit="1" customWidth="1"/>
    <col min="13" max="13" width="11" bestFit="1" customWidth="1"/>
    <col min="16" max="16" width="31.5546875" customWidth="1"/>
    <col min="17" max="17" width="11" bestFit="1" customWidth="1"/>
    <col min="18" max="18" width="18.33203125" bestFit="1" customWidth="1"/>
    <col min="19" max="19" width="18.44140625" bestFit="1" customWidth="1"/>
    <col min="20" max="20" width="32.6640625" bestFit="1" customWidth="1"/>
    <col min="21" max="21" width="32.6640625" customWidth="1"/>
    <col min="22" max="22" width="40.88671875" bestFit="1" customWidth="1"/>
    <col min="23" max="23" width="22" bestFit="1" customWidth="1"/>
    <col min="24" max="24" width="27" bestFit="1" customWidth="1"/>
    <col min="25" max="25" width="20.5546875" bestFit="1" customWidth="1"/>
    <col min="26" max="26" width="20.21875" bestFit="1" customWidth="1"/>
    <col min="27" max="27" width="17.33203125" bestFit="1" customWidth="1"/>
    <col min="28" max="28" width="16.6640625" bestFit="1" customWidth="1"/>
  </cols>
  <sheetData>
    <row r="1" spans="1:2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4844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4868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>
      <c r="A2">
        <v>1</v>
      </c>
      <c r="B2">
        <v>211000</v>
      </c>
      <c r="C2" t="s">
        <v>26</v>
      </c>
      <c r="D2" t="s">
        <v>27</v>
      </c>
      <c r="E2">
        <v>74</v>
      </c>
      <c r="F2" t="str">
        <f t="shared" ref="F2:F33" si="0">IF(E2&gt;=90,"90-100",IF(E2&gt;=80,"80-90",IF(E2&gt;=70,"70-80",IF(E2&gt;=60,"60-70",IF(E2&gt;=50,"50-60",IF(E2&gt;=40,"40-50",IF(E2&gt;=30,"30-40","20-30")))))))</f>
        <v>70-80</v>
      </c>
      <c r="G2" t="s">
        <v>28</v>
      </c>
      <c r="H2" t="s">
        <v>29</v>
      </c>
      <c r="I2" t="s">
        <v>30</v>
      </c>
      <c r="J2" t="s">
        <v>26</v>
      </c>
      <c r="K2" t="s">
        <v>28</v>
      </c>
      <c r="L2" t="s">
        <v>31</v>
      </c>
      <c r="M2" t="b">
        <v>0</v>
      </c>
      <c r="N2" t="s">
        <v>32</v>
      </c>
      <c r="O2" t="s">
        <v>4867</v>
      </c>
      <c r="P2" t="s">
        <v>34</v>
      </c>
      <c r="Q2">
        <v>110.05</v>
      </c>
      <c r="R2">
        <v>1.1000000000000001</v>
      </c>
      <c r="S2" t="s">
        <v>35</v>
      </c>
      <c r="T2">
        <v>65.599999999999994</v>
      </c>
      <c r="U2" t="str">
        <f>IF(T2&gt;=100,"above 100",IF(T2&gt;=80,"80-100",IF(T2&gt;=60,"60-80",IF(T2&gt;=40,"40-60",IF(T2&gt;=20,"20-60","0-20")))))</f>
        <v>60-80</v>
      </c>
      <c r="V2">
        <v>102.5</v>
      </c>
      <c r="W2">
        <v>82.5</v>
      </c>
      <c r="X2">
        <v>24.2</v>
      </c>
      <c r="Y2">
        <v>60.7</v>
      </c>
      <c r="Z2">
        <v>67059887</v>
      </c>
      <c r="AA2">
        <v>46.227637999999999</v>
      </c>
      <c r="AB2">
        <v>2.213749</v>
      </c>
    </row>
    <row r="3" spans="1:28">
      <c r="A3">
        <v>2</v>
      </c>
      <c r="B3">
        <v>180000</v>
      </c>
      <c r="C3" t="s">
        <v>36</v>
      </c>
      <c r="D3" t="s">
        <v>37</v>
      </c>
      <c r="E3">
        <v>51</v>
      </c>
      <c r="F3" t="str">
        <f t="shared" si="0"/>
        <v>50-60</v>
      </c>
      <c r="G3" t="s">
        <v>38</v>
      </c>
      <c r="H3" t="s">
        <v>39</v>
      </c>
      <c r="I3" t="s">
        <v>40</v>
      </c>
      <c r="J3" t="s">
        <v>36</v>
      </c>
      <c r="K3" t="s">
        <v>38</v>
      </c>
      <c r="L3" t="s">
        <v>41</v>
      </c>
      <c r="M3" t="b">
        <v>1</v>
      </c>
      <c r="N3" t="s">
        <v>42</v>
      </c>
      <c r="O3" t="s">
        <v>4867</v>
      </c>
      <c r="P3" t="s">
        <v>43</v>
      </c>
      <c r="Q3">
        <v>117.24</v>
      </c>
      <c r="R3">
        <v>7.5</v>
      </c>
      <c r="S3" t="s">
        <v>44</v>
      </c>
      <c r="T3">
        <v>88.2</v>
      </c>
      <c r="U3" t="str">
        <f t="shared" ref="U3:U11" si="1">IF(T3&gt;=100,"above 100",IF(T3&gt;=80,"80-100",IF(T3&gt;=60,"60-80",IF(T3&gt;=40,"40-60",IF(T3&gt;=20,"20-60","0-20")))))</f>
        <v>80-100</v>
      </c>
      <c r="V3">
        <v>101.8</v>
      </c>
      <c r="W3">
        <v>78.5</v>
      </c>
      <c r="X3">
        <v>9.6</v>
      </c>
      <c r="Y3">
        <v>36.6</v>
      </c>
      <c r="Z3">
        <v>328239523</v>
      </c>
      <c r="AA3">
        <v>37.090240000000001</v>
      </c>
      <c r="AB3">
        <v>-95.712890999999999</v>
      </c>
    </row>
    <row r="4" spans="1:28">
      <c r="A4">
        <v>3</v>
      </c>
      <c r="B4">
        <v>114000</v>
      </c>
      <c r="C4" t="s">
        <v>45</v>
      </c>
      <c r="D4" t="s">
        <v>46</v>
      </c>
      <c r="E4">
        <v>59</v>
      </c>
      <c r="F4" t="str">
        <f t="shared" si="0"/>
        <v>50-60</v>
      </c>
      <c r="G4" t="s">
        <v>38</v>
      </c>
      <c r="H4" t="s">
        <v>47</v>
      </c>
      <c r="I4" t="s">
        <v>48</v>
      </c>
      <c r="J4" t="s">
        <v>45</v>
      </c>
      <c r="K4" t="s">
        <v>38</v>
      </c>
      <c r="L4" t="s">
        <v>48</v>
      </c>
      <c r="M4" t="b">
        <v>1</v>
      </c>
      <c r="N4" t="s">
        <v>42</v>
      </c>
      <c r="O4" t="s">
        <v>4867</v>
      </c>
      <c r="P4" t="s">
        <v>49</v>
      </c>
      <c r="Q4">
        <v>117.24</v>
      </c>
      <c r="R4">
        <v>7.5</v>
      </c>
      <c r="S4" t="s">
        <v>44</v>
      </c>
      <c r="T4">
        <v>88.2</v>
      </c>
      <c r="U4" t="str">
        <f t="shared" si="1"/>
        <v>80-100</v>
      </c>
      <c r="V4">
        <v>101.8</v>
      </c>
      <c r="W4">
        <v>78.5</v>
      </c>
      <c r="X4">
        <v>9.6</v>
      </c>
      <c r="Y4">
        <v>36.6</v>
      </c>
      <c r="Z4">
        <v>328239523</v>
      </c>
      <c r="AA4">
        <v>37.090240000000001</v>
      </c>
      <c r="AB4">
        <v>-95.712890999999999</v>
      </c>
    </row>
    <row r="5" spans="1:28">
      <c r="A5">
        <v>4</v>
      </c>
      <c r="B5">
        <v>107000</v>
      </c>
      <c r="C5" t="s">
        <v>45</v>
      </c>
      <c r="D5" t="s">
        <v>50</v>
      </c>
      <c r="E5">
        <v>78</v>
      </c>
      <c r="F5" t="str">
        <f t="shared" si="0"/>
        <v>70-80</v>
      </c>
      <c r="G5" t="s">
        <v>38</v>
      </c>
      <c r="H5" t="s">
        <v>51</v>
      </c>
      <c r="I5" t="s">
        <v>52</v>
      </c>
      <c r="J5" t="s">
        <v>45</v>
      </c>
      <c r="K5" t="s">
        <v>38</v>
      </c>
      <c r="L5" t="s">
        <v>52</v>
      </c>
      <c r="M5" t="b">
        <v>1</v>
      </c>
      <c r="N5" t="s">
        <v>32</v>
      </c>
      <c r="O5" t="s">
        <v>4867</v>
      </c>
      <c r="P5" t="s">
        <v>53</v>
      </c>
      <c r="Q5">
        <v>117.24</v>
      </c>
      <c r="R5">
        <v>7.5</v>
      </c>
      <c r="S5" t="s">
        <v>44</v>
      </c>
      <c r="T5">
        <v>88.2</v>
      </c>
      <c r="U5" t="str">
        <f t="shared" si="1"/>
        <v>80-100</v>
      </c>
      <c r="V5">
        <v>101.8</v>
      </c>
      <c r="W5">
        <v>78.5</v>
      </c>
      <c r="X5">
        <v>9.6</v>
      </c>
      <c r="Y5">
        <v>36.6</v>
      </c>
      <c r="Z5">
        <v>328239523</v>
      </c>
      <c r="AA5">
        <v>37.090240000000001</v>
      </c>
      <c r="AB5">
        <v>-95.712890999999999</v>
      </c>
    </row>
    <row r="6" spans="1:28">
      <c r="A6">
        <v>5</v>
      </c>
      <c r="B6">
        <v>106000</v>
      </c>
      <c r="C6" t="s">
        <v>54</v>
      </c>
      <c r="D6" t="s">
        <v>55</v>
      </c>
      <c r="E6">
        <v>92</v>
      </c>
      <c r="F6" t="str">
        <f t="shared" si="0"/>
        <v>90-100</v>
      </c>
      <c r="G6" t="s">
        <v>38</v>
      </c>
      <c r="H6" t="s">
        <v>56</v>
      </c>
      <c r="I6" t="s">
        <v>57</v>
      </c>
      <c r="J6" t="s">
        <v>54</v>
      </c>
      <c r="K6" t="s">
        <v>38</v>
      </c>
      <c r="L6" t="s">
        <v>58</v>
      </c>
      <c r="M6" t="b">
        <v>1</v>
      </c>
      <c r="N6" t="s">
        <v>42</v>
      </c>
      <c r="O6" t="s">
        <v>4867</v>
      </c>
      <c r="P6" t="s">
        <v>43</v>
      </c>
      <c r="Q6">
        <v>117.24</v>
      </c>
      <c r="R6">
        <v>7.5</v>
      </c>
      <c r="S6" t="s">
        <v>44</v>
      </c>
      <c r="T6">
        <v>88.2</v>
      </c>
      <c r="U6" t="str">
        <f t="shared" si="1"/>
        <v>80-100</v>
      </c>
      <c r="V6">
        <v>101.8</v>
      </c>
      <c r="W6">
        <v>78.5</v>
      </c>
      <c r="X6">
        <v>9.6</v>
      </c>
      <c r="Y6">
        <v>36.6</v>
      </c>
      <c r="Z6">
        <v>328239523</v>
      </c>
      <c r="AA6">
        <v>37.090240000000001</v>
      </c>
      <c r="AB6">
        <v>-95.712890999999999</v>
      </c>
    </row>
    <row r="7" spans="1:28">
      <c r="A7">
        <v>6</v>
      </c>
      <c r="B7">
        <v>104000</v>
      </c>
      <c r="C7" t="s">
        <v>45</v>
      </c>
      <c r="D7" t="s">
        <v>59</v>
      </c>
      <c r="E7">
        <v>67</v>
      </c>
      <c r="F7" t="str">
        <f t="shared" si="0"/>
        <v>60-70</v>
      </c>
      <c r="G7" t="s">
        <v>38</v>
      </c>
      <c r="H7" t="s">
        <v>47</v>
      </c>
      <c r="I7" t="s">
        <v>60</v>
      </c>
      <c r="J7" t="s">
        <v>45</v>
      </c>
      <c r="K7" t="s">
        <v>38</v>
      </c>
      <c r="L7" t="s">
        <v>61</v>
      </c>
      <c r="M7" t="b">
        <v>1</v>
      </c>
      <c r="N7" t="s">
        <v>42</v>
      </c>
      <c r="O7" t="s">
        <v>4867</v>
      </c>
      <c r="P7" t="s">
        <v>62</v>
      </c>
      <c r="Q7">
        <v>117.24</v>
      </c>
      <c r="R7">
        <v>7.5</v>
      </c>
      <c r="S7" t="s">
        <v>44</v>
      </c>
      <c r="T7">
        <v>88.2</v>
      </c>
      <c r="U7" t="str">
        <f t="shared" si="1"/>
        <v>80-100</v>
      </c>
      <c r="V7">
        <v>101.8</v>
      </c>
      <c r="W7">
        <v>78.5</v>
      </c>
      <c r="X7">
        <v>9.6</v>
      </c>
      <c r="Y7">
        <v>36.6</v>
      </c>
      <c r="Z7">
        <v>328239523</v>
      </c>
      <c r="AA7">
        <v>37.090240000000001</v>
      </c>
      <c r="AB7">
        <v>-95.712890999999999</v>
      </c>
    </row>
    <row r="8" spans="1:28">
      <c r="A8">
        <v>7</v>
      </c>
      <c r="B8">
        <v>94500</v>
      </c>
      <c r="C8" t="s">
        <v>63</v>
      </c>
      <c r="D8" t="s">
        <v>64</v>
      </c>
      <c r="E8">
        <v>81</v>
      </c>
      <c r="F8" t="str">
        <f t="shared" si="0"/>
        <v>80-90</v>
      </c>
      <c r="G8" t="s">
        <v>38</v>
      </c>
      <c r="H8" t="s">
        <v>65</v>
      </c>
      <c r="I8" t="s">
        <v>66</v>
      </c>
      <c r="J8" t="s">
        <v>63</v>
      </c>
      <c r="K8" t="s">
        <v>38</v>
      </c>
      <c r="L8" t="s">
        <v>67</v>
      </c>
      <c r="M8" t="b">
        <v>1</v>
      </c>
      <c r="N8" t="s">
        <v>32</v>
      </c>
      <c r="O8" t="s">
        <v>4867</v>
      </c>
      <c r="P8" t="s">
        <v>43</v>
      </c>
      <c r="Q8">
        <v>117.24</v>
      </c>
      <c r="R8">
        <v>7.5</v>
      </c>
      <c r="S8" t="s">
        <v>44</v>
      </c>
      <c r="T8">
        <v>88.2</v>
      </c>
      <c r="U8" t="str">
        <f t="shared" si="1"/>
        <v>80-100</v>
      </c>
      <c r="V8">
        <v>101.8</v>
      </c>
      <c r="W8">
        <v>78.5</v>
      </c>
      <c r="X8">
        <v>9.6</v>
      </c>
      <c r="Y8">
        <v>36.6</v>
      </c>
      <c r="Z8">
        <v>328239523</v>
      </c>
      <c r="AA8">
        <v>37.090240000000001</v>
      </c>
      <c r="AB8">
        <v>-95.712890999999999</v>
      </c>
    </row>
    <row r="9" spans="1:28">
      <c r="A9">
        <v>8</v>
      </c>
      <c r="B9">
        <v>93000</v>
      </c>
      <c r="C9" t="s">
        <v>68</v>
      </c>
      <c r="D9" t="s">
        <v>69</v>
      </c>
      <c r="E9">
        <v>83</v>
      </c>
      <c r="F9" t="str">
        <f t="shared" si="0"/>
        <v>80-90</v>
      </c>
      <c r="G9" t="s">
        <v>70</v>
      </c>
      <c r="H9" t="s">
        <v>71</v>
      </c>
      <c r="I9" t="s">
        <v>68</v>
      </c>
      <c r="J9" t="s">
        <v>68</v>
      </c>
      <c r="K9" t="s">
        <v>70</v>
      </c>
      <c r="L9" t="s">
        <v>72</v>
      </c>
      <c r="M9" t="b">
        <v>1</v>
      </c>
      <c r="N9" t="s">
        <v>32</v>
      </c>
      <c r="O9" t="s">
        <v>4867</v>
      </c>
      <c r="P9" t="s">
        <v>73</v>
      </c>
      <c r="Q9">
        <v>141.54</v>
      </c>
      <c r="R9">
        <v>3.6</v>
      </c>
      <c r="S9" t="s">
        <v>74</v>
      </c>
      <c r="T9">
        <v>40.200000000000003</v>
      </c>
      <c r="U9" t="str">
        <f t="shared" si="1"/>
        <v>40-60</v>
      </c>
      <c r="V9">
        <v>105.8</v>
      </c>
      <c r="W9">
        <v>75</v>
      </c>
      <c r="X9">
        <v>13.1</v>
      </c>
      <c r="Y9">
        <v>55.1</v>
      </c>
      <c r="Z9">
        <v>126014024</v>
      </c>
      <c r="AA9">
        <v>23.634501</v>
      </c>
      <c r="AB9">
        <v>-102.552784</v>
      </c>
    </row>
    <row r="10" spans="1:28">
      <c r="A10">
        <v>9</v>
      </c>
      <c r="B10">
        <v>83400</v>
      </c>
      <c r="C10" t="s">
        <v>75</v>
      </c>
      <c r="D10" t="s">
        <v>76</v>
      </c>
      <c r="E10">
        <v>65</v>
      </c>
      <c r="F10" t="str">
        <f t="shared" si="0"/>
        <v>60-70</v>
      </c>
      <c r="G10" t="s">
        <v>77</v>
      </c>
      <c r="H10" t="s">
        <v>78</v>
      </c>
      <c r="I10" t="s">
        <v>75</v>
      </c>
      <c r="J10" t="s">
        <v>75</v>
      </c>
      <c r="K10" t="s">
        <v>77</v>
      </c>
      <c r="L10" t="s">
        <v>79</v>
      </c>
      <c r="M10" t="b">
        <v>0</v>
      </c>
      <c r="N10" t="s">
        <v>42</v>
      </c>
      <c r="O10" t="s">
        <v>4867</v>
      </c>
      <c r="P10" t="s">
        <v>80</v>
      </c>
      <c r="Q10">
        <v>180.44</v>
      </c>
      <c r="R10">
        <v>7.7</v>
      </c>
      <c r="S10" t="s">
        <v>81</v>
      </c>
      <c r="T10">
        <v>28.1</v>
      </c>
      <c r="U10" t="str">
        <f t="shared" si="1"/>
        <v>20-60</v>
      </c>
      <c r="V10">
        <v>113</v>
      </c>
      <c r="W10">
        <v>69.400000000000006</v>
      </c>
      <c r="X10">
        <v>11.2</v>
      </c>
      <c r="Y10">
        <v>49.7</v>
      </c>
      <c r="Z10">
        <v>1366417754</v>
      </c>
      <c r="AA10">
        <v>20.593684</v>
      </c>
      <c r="AB10">
        <v>78.962879999999998</v>
      </c>
    </row>
    <row r="11" spans="1:28">
      <c r="A11">
        <v>10</v>
      </c>
      <c r="B11">
        <v>80700</v>
      </c>
      <c r="C11" t="s">
        <v>45</v>
      </c>
      <c r="D11" t="s">
        <v>82</v>
      </c>
      <c r="E11">
        <v>67</v>
      </c>
      <c r="F11" t="str">
        <f t="shared" si="0"/>
        <v>60-70</v>
      </c>
      <c r="G11" t="s">
        <v>38</v>
      </c>
      <c r="H11" t="s">
        <v>83</v>
      </c>
      <c r="I11" t="s">
        <v>60</v>
      </c>
      <c r="J11" t="s">
        <v>45</v>
      </c>
      <c r="K11" t="s">
        <v>38</v>
      </c>
      <c r="L11" t="s">
        <v>84</v>
      </c>
      <c r="M11" t="b">
        <v>1</v>
      </c>
      <c r="N11" t="s">
        <v>42</v>
      </c>
      <c r="O11" t="s">
        <v>4867</v>
      </c>
      <c r="P11" t="s">
        <v>85</v>
      </c>
      <c r="Q11">
        <v>117.24</v>
      </c>
      <c r="R11">
        <v>7.5</v>
      </c>
      <c r="S11" t="s">
        <v>44</v>
      </c>
      <c r="T11">
        <v>88.2</v>
      </c>
      <c r="U11" t="str">
        <f t="shared" si="1"/>
        <v>80-100</v>
      </c>
      <c r="V11">
        <v>101.8</v>
      </c>
      <c r="W11">
        <v>78.5</v>
      </c>
      <c r="X11">
        <v>9.6</v>
      </c>
      <c r="Y11">
        <v>36.6</v>
      </c>
      <c r="Z11">
        <v>328239523</v>
      </c>
      <c r="AA11">
        <v>37.090240000000001</v>
      </c>
      <c r="AB11">
        <v>-95.712890999999999</v>
      </c>
    </row>
    <row r="12" spans="1:28" hidden="1">
      <c r="A12">
        <v>11</v>
      </c>
      <c r="B12">
        <v>80500</v>
      </c>
      <c r="C12" t="s">
        <v>26</v>
      </c>
      <c r="D12" t="s">
        <v>86</v>
      </c>
      <c r="E12">
        <v>69</v>
      </c>
      <c r="F12" t="str">
        <f t="shared" si="0"/>
        <v>60-70</v>
      </c>
      <c r="G12" t="s">
        <v>28</v>
      </c>
      <c r="H12" t="s">
        <v>29</v>
      </c>
      <c r="I12" t="s">
        <v>87</v>
      </c>
      <c r="J12" t="s">
        <v>26</v>
      </c>
      <c r="K12" t="s">
        <v>28</v>
      </c>
      <c r="M12" t="b">
        <v>0</v>
      </c>
      <c r="N12" t="s">
        <v>32</v>
      </c>
      <c r="O12" t="s">
        <v>88</v>
      </c>
      <c r="Q12">
        <v>110.05</v>
      </c>
      <c r="R12">
        <v>1.1000000000000001</v>
      </c>
      <c r="S12" t="s">
        <v>35</v>
      </c>
      <c r="T12">
        <v>65.599999999999994</v>
      </c>
      <c r="V12">
        <v>102.5</v>
      </c>
      <c r="W12">
        <v>82.5</v>
      </c>
      <c r="X12">
        <v>24.2</v>
      </c>
      <c r="Y12">
        <v>60.7</v>
      </c>
      <c r="Z12">
        <v>67059887</v>
      </c>
      <c r="AA12">
        <v>46.227637999999999</v>
      </c>
      <c r="AB12">
        <v>2.213749</v>
      </c>
    </row>
    <row r="13" spans="1:28">
      <c r="A13">
        <v>12</v>
      </c>
      <c r="B13">
        <v>79200</v>
      </c>
      <c r="C13" t="s">
        <v>45</v>
      </c>
      <c r="D13" t="s">
        <v>89</v>
      </c>
      <c r="E13">
        <v>50</v>
      </c>
      <c r="F13" t="str">
        <f t="shared" si="0"/>
        <v>50-60</v>
      </c>
      <c r="G13" t="s">
        <v>38</v>
      </c>
      <c r="H13" t="s">
        <v>90</v>
      </c>
      <c r="I13" t="s">
        <v>91</v>
      </c>
      <c r="J13" t="s">
        <v>45</v>
      </c>
      <c r="K13" t="s">
        <v>38</v>
      </c>
      <c r="L13" t="s">
        <v>92</v>
      </c>
      <c r="M13" t="b">
        <v>1</v>
      </c>
      <c r="N13" t="s">
        <v>42</v>
      </c>
      <c r="O13" t="s">
        <v>4867</v>
      </c>
      <c r="P13" t="s">
        <v>93</v>
      </c>
      <c r="Q13">
        <v>117.24</v>
      </c>
      <c r="R13">
        <v>7.5</v>
      </c>
      <c r="S13" t="s">
        <v>44</v>
      </c>
      <c r="T13">
        <v>88.2</v>
      </c>
      <c r="U13" t="str">
        <f>IF(T13&gt;=100,"above 100",IF(T13&gt;=80,"80-100",IF(T13&gt;=60,"60-80",IF(T13&gt;=40,"40-60",IF(T13&gt;=20,"20-60","0-20")))))</f>
        <v>80-100</v>
      </c>
      <c r="V13">
        <v>101.8</v>
      </c>
      <c r="W13">
        <v>78.5</v>
      </c>
      <c r="X13">
        <v>9.6</v>
      </c>
      <c r="Y13">
        <v>36.6</v>
      </c>
      <c r="Z13">
        <v>328239523</v>
      </c>
      <c r="AA13">
        <v>37.090240000000001</v>
      </c>
      <c r="AB13">
        <v>-95.712890999999999</v>
      </c>
    </row>
    <row r="14" spans="1:28" hidden="1">
      <c r="A14">
        <v>13</v>
      </c>
      <c r="B14">
        <v>77300</v>
      </c>
      <c r="C14" t="s">
        <v>26</v>
      </c>
      <c r="D14" t="s">
        <v>94</v>
      </c>
      <c r="E14">
        <v>87</v>
      </c>
      <c r="F14" t="str">
        <f t="shared" si="0"/>
        <v>80-90</v>
      </c>
      <c r="G14" t="s">
        <v>95</v>
      </c>
      <c r="H14" t="s">
        <v>96</v>
      </c>
      <c r="I14" t="s">
        <v>97</v>
      </c>
      <c r="J14" t="s">
        <v>26</v>
      </c>
      <c r="K14" t="s">
        <v>95</v>
      </c>
      <c r="M14" t="b">
        <v>1</v>
      </c>
      <c r="N14" t="s">
        <v>32</v>
      </c>
      <c r="O14" t="s">
        <v>33</v>
      </c>
      <c r="Q14">
        <v>110.96</v>
      </c>
      <c r="R14">
        <v>0.7</v>
      </c>
      <c r="S14" t="s">
        <v>98</v>
      </c>
      <c r="T14">
        <v>88.9</v>
      </c>
      <c r="V14">
        <v>102.7</v>
      </c>
      <c r="W14">
        <v>83.3</v>
      </c>
      <c r="X14">
        <v>14.2</v>
      </c>
      <c r="Y14">
        <v>47</v>
      </c>
      <c r="Z14">
        <v>47076781</v>
      </c>
      <c r="AA14">
        <v>40.463667000000001</v>
      </c>
      <c r="AB14">
        <v>-3.7492200000000002</v>
      </c>
    </row>
    <row r="15" spans="1:28">
      <c r="A15">
        <v>14</v>
      </c>
      <c r="B15">
        <v>76000</v>
      </c>
      <c r="C15" t="s">
        <v>45</v>
      </c>
      <c r="D15" t="s">
        <v>99</v>
      </c>
      <c r="E15">
        <v>49</v>
      </c>
      <c r="F15" t="str">
        <f t="shared" si="0"/>
        <v>40-50</v>
      </c>
      <c r="G15" t="s">
        <v>38</v>
      </c>
      <c r="H15" t="s">
        <v>100</v>
      </c>
      <c r="I15" t="s">
        <v>91</v>
      </c>
      <c r="J15" t="s">
        <v>45</v>
      </c>
      <c r="K15" t="s">
        <v>38</v>
      </c>
      <c r="L15" t="s">
        <v>92</v>
      </c>
      <c r="M15" t="b">
        <v>1</v>
      </c>
      <c r="N15" t="s">
        <v>42</v>
      </c>
      <c r="O15" t="s">
        <v>4867</v>
      </c>
      <c r="P15" t="s">
        <v>93</v>
      </c>
      <c r="Q15">
        <v>117.24</v>
      </c>
      <c r="R15">
        <v>7.5</v>
      </c>
      <c r="S15" t="s">
        <v>44</v>
      </c>
      <c r="T15">
        <v>88.2</v>
      </c>
      <c r="U15" t="str">
        <f>IF(T15&gt;=100,"above 100",IF(T15&gt;=80,"80-100",IF(T15&gt;=60,"60-80",IF(T15&gt;=40,"40-60",IF(T15&gt;=20,"20-60","0-20")))))</f>
        <v>80-100</v>
      </c>
      <c r="V15">
        <v>101.8</v>
      </c>
      <c r="W15">
        <v>78.5</v>
      </c>
      <c r="X15">
        <v>9.6</v>
      </c>
      <c r="Y15">
        <v>36.6</v>
      </c>
      <c r="Z15">
        <v>328239523</v>
      </c>
      <c r="AA15">
        <v>37.090240000000001</v>
      </c>
      <c r="AB15">
        <v>-95.712890999999999</v>
      </c>
    </row>
    <row r="16" spans="1:28" hidden="1">
      <c r="A16">
        <v>15</v>
      </c>
      <c r="B16">
        <v>68000</v>
      </c>
      <c r="C16" t="s">
        <v>101</v>
      </c>
      <c r="D16" t="s">
        <v>102</v>
      </c>
      <c r="E16">
        <v>68</v>
      </c>
      <c r="F16" t="str">
        <f t="shared" si="0"/>
        <v>60-70</v>
      </c>
      <c r="G16" t="s">
        <v>103</v>
      </c>
      <c r="H16" t="s">
        <v>104</v>
      </c>
      <c r="I16" t="s">
        <v>105</v>
      </c>
      <c r="J16" t="s">
        <v>101</v>
      </c>
      <c r="K16" t="s">
        <v>103</v>
      </c>
      <c r="M16" t="b">
        <v>1</v>
      </c>
      <c r="N16" t="s">
        <v>32</v>
      </c>
      <c r="O16" t="s">
        <v>33</v>
      </c>
      <c r="Q16">
        <v>125.08</v>
      </c>
      <c r="R16">
        <v>2.9</v>
      </c>
      <c r="S16" t="s">
        <v>106</v>
      </c>
      <c r="T16">
        <v>50.6</v>
      </c>
      <c r="V16">
        <v>100.2</v>
      </c>
      <c r="W16">
        <v>77</v>
      </c>
      <c r="X16">
        <v>9.4</v>
      </c>
      <c r="Y16">
        <v>59.2</v>
      </c>
      <c r="Z16">
        <v>1397715000</v>
      </c>
      <c r="AA16">
        <v>35.861660000000001</v>
      </c>
      <c r="AB16">
        <v>104.195397</v>
      </c>
    </row>
    <row r="17" spans="1:28">
      <c r="A17">
        <v>16</v>
      </c>
      <c r="B17">
        <v>64400</v>
      </c>
      <c r="C17" t="s">
        <v>45</v>
      </c>
      <c r="D17" t="s">
        <v>107</v>
      </c>
      <c r="E17">
        <v>38</v>
      </c>
      <c r="F17" t="str">
        <f t="shared" si="0"/>
        <v>30-40</v>
      </c>
      <c r="G17" t="s">
        <v>38</v>
      </c>
      <c r="H17" t="s">
        <v>90</v>
      </c>
      <c r="I17" t="s">
        <v>108</v>
      </c>
      <c r="J17" t="s">
        <v>45</v>
      </c>
      <c r="K17" t="s">
        <v>38</v>
      </c>
      <c r="L17" t="s">
        <v>109</v>
      </c>
      <c r="M17" t="b">
        <v>1</v>
      </c>
      <c r="N17" t="s">
        <v>42</v>
      </c>
      <c r="O17" t="s">
        <v>4867</v>
      </c>
      <c r="P17" t="s">
        <v>110</v>
      </c>
      <c r="Q17">
        <v>117.24</v>
      </c>
      <c r="R17">
        <v>7.5</v>
      </c>
      <c r="S17" t="s">
        <v>44</v>
      </c>
      <c r="T17">
        <v>88.2</v>
      </c>
      <c r="U17" t="str">
        <f t="shared" ref="U17:U18" si="2">IF(T17&gt;=100,"above 100",IF(T17&gt;=80,"80-100",IF(T17&gt;=60,"60-80",IF(T17&gt;=40,"40-60",IF(T17&gt;=20,"20-60","0-20")))))</f>
        <v>80-100</v>
      </c>
      <c r="V17">
        <v>101.8</v>
      </c>
      <c r="W17">
        <v>78.5</v>
      </c>
      <c r="X17">
        <v>9.6</v>
      </c>
      <c r="Y17">
        <v>36.6</v>
      </c>
      <c r="Z17">
        <v>328239523</v>
      </c>
      <c r="AA17">
        <v>37.090240000000001</v>
      </c>
      <c r="AB17">
        <v>-95.712890999999999</v>
      </c>
    </row>
    <row r="18" spans="1:28">
      <c r="A18">
        <v>17</v>
      </c>
      <c r="B18">
        <v>59000</v>
      </c>
      <c r="C18" t="s">
        <v>75</v>
      </c>
      <c r="D18" t="s">
        <v>111</v>
      </c>
      <c r="E18">
        <v>87</v>
      </c>
      <c r="F18" t="str">
        <f t="shared" si="0"/>
        <v>80-90</v>
      </c>
      <c r="G18" t="s">
        <v>38</v>
      </c>
      <c r="H18" t="s">
        <v>112</v>
      </c>
      <c r="I18" t="s">
        <v>113</v>
      </c>
      <c r="J18" t="s">
        <v>75</v>
      </c>
      <c r="K18" t="s">
        <v>38</v>
      </c>
      <c r="L18" t="s">
        <v>114</v>
      </c>
      <c r="M18" t="b">
        <v>0</v>
      </c>
      <c r="N18" t="s">
        <v>42</v>
      </c>
      <c r="O18" t="s">
        <v>4867</v>
      </c>
      <c r="P18" t="s">
        <v>34</v>
      </c>
      <c r="Q18">
        <v>117.24</v>
      </c>
      <c r="R18">
        <v>7.5</v>
      </c>
      <c r="S18" t="s">
        <v>44</v>
      </c>
      <c r="T18">
        <v>88.2</v>
      </c>
      <c r="U18" t="str">
        <f t="shared" si="2"/>
        <v>80-100</v>
      </c>
      <c r="V18">
        <v>101.8</v>
      </c>
      <c r="W18">
        <v>78.5</v>
      </c>
      <c r="X18">
        <v>9.6</v>
      </c>
      <c r="Y18">
        <v>36.6</v>
      </c>
      <c r="Z18">
        <v>328239523</v>
      </c>
      <c r="AA18">
        <v>37.090240000000001</v>
      </c>
      <c r="AB18">
        <v>-95.712890999999999</v>
      </c>
    </row>
    <row r="19" spans="1:28" hidden="1">
      <c r="A19">
        <v>17</v>
      </c>
      <c r="B19">
        <v>59000</v>
      </c>
      <c r="C19" t="s">
        <v>75</v>
      </c>
      <c r="D19" t="s">
        <v>115</v>
      </c>
      <c r="E19">
        <v>60</v>
      </c>
      <c r="F19" t="str">
        <f t="shared" si="0"/>
        <v>60-70</v>
      </c>
      <c r="G19" t="s">
        <v>38</v>
      </c>
      <c r="H19" t="s">
        <v>65</v>
      </c>
      <c r="I19" t="s">
        <v>113</v>
      </c>
      <c r="J19" t="s">
        <v>75</v>
      </c>
      <c r="K19" t="s">
        <v>38</v>
      </c>
      <c r="M19" t="b">
        <v>0</v>
      </c>
      <c r="N19" t="s">
        <v>42</v>
      </c>
      <c r="O19" t="s">
        <v>88</v>
      </c>
      <c r="Q19">
        <v>117.24</v>
      </c>
      <c r="R19">
        <v>7.5</v>
      </c>
      <c r="S19" t="s">
        <v>44</v>
      </c>
      <c r="T19">
        <v>88.2</v>
      </c>
      <c r="V19">
        <v>101.8</v>
      </c>
      <c r="W19">
        <v>78.5</v>
      </c>
      <c r="X19">
        <v>9.6</v>
      </c>
      <c r="Y19">
        <v>36.6</v>
      </c>
      <c r="Z19">
        <v>328239523</v>
      </c>
      <c r="AA19">
        <v>37.090240000000001</v>
      </c>
      <c r="AB19">
        <v>-95.712890999999999</v>
      </c>
    </row>
    <row r="20" spans="1:28">
      <c r="A20">
        <v>19</v>
      </c>
      <c r="B20">
        <v>58800</v>
      </c>
      <c r="C20" t="s">
        <v>26</v>
      </c>
      <c r="D20" t="s">
        <v>116</v>
      </c>
      <c r="E20">
        <v>74</v>
      </c>
      <c r="F20" t="str">
        <f t="shared" si="0"/>
        <v>70-80</v>
      </c>
      <c r="G20" t="s">
        <v>38</v>
      </c>
      <c r="H20" t="s">
        <v>117</v>
      </c>
      <c r="I20" t="s">
        <v>118</v>
      </c>
      <c r="J20" t="s">
        <v>26</v>
      </c>
      <c r="K20" t="s">
        <v>38</v>
      </c>
      <c r="L20" t="s">
        <v>119</v>
      </c>
      <c r="M20" t="b">
        <v>0</v>
      </c>
      <c r="N20" t="s">
        <v>42</v>
      </c>
      <c r="O20" t="s">
        <v>4867</v>
      </c>
      <c r="P20" t="s">
        <v>34</v>
      </c>
      <c r="Q20">
        <v>117.24</v>
      </c>
      <c r="R20">
        <v>7.5</v>
      </c>
      <c r="S20" t="s">
        <v>44</v>
      </c>
      <c r="T20">
        <v>88.2</v>
      </c>
      <c r="U20" t="str">
        <f t="shared" ref="U20:U24" si="3">IF(T20&gt;=100,"above 100",IF(T20&gt;=80,"80-100",IF(T20&gt;=60,"60-80",IF(T20&gt;=40,"40-60",IF(T20&gt;=20,"20-60","0-20")))))</f>
        <v>80-100</v>
      </c>
      <c r="V20">
        <v>101.8</v>
      </c>
      <c r="W20">
        <v>78.5</v>
      </c>
      <c r="X20">
        <v>9.6</v>
      </c>
      <c r="Y20">
        <v>36.6</v>
      </c>
      <c r="Z20">
        <v>328239523</v>
      </c>
      <c r="AA20">
        <v>37.090240000000001</v>
      </c>
      <c r="AB20">
        <v>-95.712890999999999</v>
      </c>
    </row>
    <row r="21" spans="1:28">
      <c r="A21">
        <v>20</v>
      </c>
      <c r="B21">
        <v>57600</v>
      </c>
      <c r="C21" t="s">
        <v>26</v>
      </c>
      <c r="D21" t="s">
        <v>120</v>
      </c>
      <c r="E21">
        <v>78</v>
      </c>
      <c r="F21" t="str">
        <f t="shared" si="0"/>
        <v>70-80</v>
      </c>
      <c r="G21" t="s">
        <v>38</v>
      </c>
      <c r="H21" t="s">
        <v>117</v>
      </c>
      <c r="I21" t="s">
        <v>118</v>
      </c>
      <c r="J21" t="s">
        <v>26</v>
      </c>
      <c r="K21" t="s">
        <v>38</v>
      </c>
      <c r="L21" t="s">
        <v>118</v>
      </c>
      <c r="M21" t="b">
        <v>0</v>
      </c>
      <c r="N21" t="s">
        <v>42</v>
      </c>
      <c r="O21" t="s">
        <v>4867</v>
      </c>
      <c r="P21" t="s">
        <v>121</v>
      </c>
      <c r="Q21">
        <v>117.24</v>
      </c>
      <c r="R21">
        <v>7.5</v>
      </c>
      <c r="S21" t="s">
        <v>44</v>
      </c>
      <c r="T21">
        <v>88.2</v>
      </c>
      <c r="U21" t="str">
        <f t="shared" si="3"/>
        <v>80-100</v>
      </c>
      <c r="V21">
        <v>101.8</v>
      </c>
      <c r="W21">
        <v>78.5</v>
      </c>
      <c r="X21">
        <v>9.6</v>
      </c>
      <c r="Y21">
        <v>36.6</v>
      </c>
      <c r="Z21">
        <v>328239523</v>
      </c>
      <c r="AA21">
        <v>37.090240000000001</v>
      </c>
      <c r="AB21">
        <v>-95.712890999999999</v>
      </c>
    </row>
    <row r="22" spans="1:28">
      <c r="A22">
        <v>21</v>
      </c>
      <c r="B22">
        <v>56700</v>
      </c>
      <c r="C22" t="s">
        <v>26</v>
      </c>
      <c r="D22" t="s">
        <v>122</v>
      </c>
      <c r="E22">
        <v>73</v>
      </c>
      <c r="F22" t="str">
        <f t="shared" si="0"/>
        <v>70-80</v>
      </c>
      <c r="G22" t="s">
        <v>38</v>
      </c>
      <c r="H22" t="s">
        <v>123</v>
      </c>
      <c r="I22" t="s">
        <v>118</v>
      </c>
      <c r="J22" t="s">
        <v>26</v>
      </c>
      <c r="K22" t="s">
        <v>38</v>
      </c>
      <c r="L22" t="s">
        <v>124</v>
      </c>
      <c r="M22" t="b">
        <v>0</v>
      </c>
      <c r="N22" t="s">
        <v>42</v>
      </c>
      <c r="O22" t="s">
        <v>4866</v>
      </c>
      <c r="P22" t="s">
        <v>125</v>
      </c>
      <c r="Q22">
        <v>117.24</v>
      </c>
      <c r="R22">
        <v>7.5</v>
      </c>
      <c r="S22" t="s">
        <v>44</v>
      </c>
      <c r="T22">
        <v>88.2</v>
      </c>
      <c r="U22" t="str">
        <f t="shared" si="3"/>
        <v>80-100</v>
      </c>
      <c r="V22">
        <v>101.8</v>
      </c>
      <c r="W22">
        <v>78.5</v>
      </c>
      <c r="X22">
        <v>9.6</v>
      </c>
      <c r="Y22">
        <v>36.6</v>
      </c>
      <c r="Z22">
        <v>328239523</v>
      </c>
      <c r="AA22">
        <v>37.090240000000001</v>
      </c>
      <c r="AB22">
        <v>-95.712890999999999</v>
      </c>
    </row>
    <row r="23" spans="1:28">
      <c r="A23">
        <v>22</v>
      </c>
      <c r="B23">
        <v>54400</v>
      </c>
      <c r="C23" t="s">
        <v>63</v>
      </c>
      <c r="D23" t="s">
        <v>126</v>
      </c>
      <c r="E23">
        <v>65</v>
      </c>
      <c r="F23" t="str">
        <f t="shared" si="0"/>
        <v>60-70</v>
      </c>
      <c r="G23" t="s">
        <v>127</v>
      </c>
      <c r="H23" t="s">
        <v>128</v>
      </c>
      <c r="I23" t="s">
        <v>129</v>
      </c>
      <c r="J23" t="s">
        <v>63</v>
      </c>
      <c r="K23" t="s">
        <v>127</v>
      </c>
      <c r="L23" t="s">
        <v>130</v>
      </c>
      <c r="M23" t="b">
        <v>0</v>
      </c>
      <c r="N23" t="s">
        <v>32</v>
      </c>
      <c r="O23" t="s">
        <v>4867</v>
      </c>
      <c r="P23" t="s">
        <v>131</v>
      </c>
      <c r="Q23">
        <v>116.76</v>
      </c>
      <c r="R23">
        <v>1.9</v>
      </c>
      <c r="S23" t="s">
        <v>132</v>
      </c>
      <c r="T23">
        <v>68.900000000000006</v>
      </c>
      <c r="U23" t="str">
        <f t="shared" si="3"/>
        <v>60-80</v>
      </c>
      <c r="V23">
        <v>100.9</v>
      </c>
      <c r="W23">
        <v>81.900000000000006</v>
      </c>
      <c r="X23">
        <v>12.8</v>
      </c>
      <c r="Y23">
        <v>24.5</v>
      </c>
      <c r="Z23">
        <v>36991981</v>
      </c>
      <c r="AA23">
        <v>56.130366000000002</v>
      </c>
      <c r="AB23">
        <v>-106.346771</v>
      </c>
    </row>
    <row r="24" spans="1:28">
      <c r="A24">
        <v>23</v>
      </c>
      <c r="B24">
        <v>50100</v>
      </c>
      <c r="C24" t="s">
        <v>45</v>
      </c>
      <c r="D24" t="s">
        <v>133</v>
      </c>
      <c r="E24">
        <v>58</v>
      </c>
      <c r="F24" t="str">
        <f t="shared" si="0"/>
        <v>50-60</v>
      </c>
      <c r="G24" t="s">
        <v>38</v>
      </c>
      <c r="H24" t="s">
        <v>39</v>
      </c>
      <c r="I24" t="s">
        <v>134</v>
      </c>
      <c r="J24" t="s">
        <v>45</v>
      </c>
      <c r="K24" t="s">
        <v>38</v>
      </c>
      <c r="L24" t="s">
        <v>135</v>
      </c>
      <c r="M24" t="b">
        <v>1</v>
      </c>
      <c r="N24" t="s">
        <v>42</v>
      </c>
      <c r="O24" t="s">
        <v>4867</v>
      </c>
      <c r="P24" t="s">
        <v>34</v>
      </c>
      <c r="Q24">
        <v>117.24</v>
      </c>
      <c r="R24">
        <v>7.5</v>
      </c>
      <c r="S24" t="s">
        <v>44</v>
      </c>
      <c r="T24">
        <v>88.2</v>
      </c>
      <c r="U24" t="str">
        <f t="shared" si="3"/>
        <v>80-100</v>
      </c>
      <c r="V24">
        <v>101.8</v>
      </c>
      <c r="W24">
        <v>78.5</v>
      </c>
      <c r="X24">
        <v>9.6</v>
      </c>
      <c r="Y24">
        <v>36.6</v>
      </c>
      <c r="Z24">
        <v>328239523</v>
      </c>
      <c r="AA24">
        <v>37.090240000000001</v>
      </c>
      <c r="AB24">
        <v>-95.712890999999999</v>
      </c>
    </row>
    <row r="25" spans="1:28" hidden="1">
      <c r="A25">
        <v>24</v>
      </c>
      <c r="B25">
        <v>47200</v>
      </c>
      <c r="C25" t="s">
        <v>75</v>
      </c>
      <c r="D25" t="s">
        <v>136</v>
      </c>
      <c r="E25">
        <v>60</v>
      </c>
      <c r="F25" t="str">
        <f t="shared" si="0"/>
        <v>60-70</v>
      </c>
      <c r="G25" t="s">
        <v>77</v>
      </c>
      <c r="H25" t="s">
        <v>137</v>
      </c>
      <c r="I25" t="s">
        <v>138</v>
      </c>
      <c r="J25" t="s">
        <v>75</v>
      </c>
      <c r="K25" t="s">
        <v>77</v>
      </c>
      <c r="M25" t="b">
        <v>1</v>
      </c>
      <c r="N25" t="s">
        <v>42</v>
      </c>
      <c r="O25" t="s">
        <v>33</v>
      </c>
      <c r="Q25">
        <v>180.44</v>
      </c>
      <c r="R25">
        <v>7.7</v>
      </c>
      <c r="S25" t="s">
        <v>81</v>
      </c>
      <c r="T25">
        <v>28.1</v>
      </c>
      <c r="V25">
        <v>113</v>
      </c>
      <c r="W25">
        <v>69.400000000000006</v>
      </c>
      <c r="X25">
        <v>11.2</v>
      </c>
      <c r="Y25">
        <v>49.7</v>
      </c>
      <c r="Z25">
        <v>1366417754</v>
      </c>
      <c r="AA25">
        <v>20.593684</v>
      </c>
      <c r="AB25">
        <v>78.962879999999998</v>
      </c>
    </row>
    <row r="26" spans="1:28">
      <c r="A26">
        <v>25</v>
      </c>
      <c r="B26">
        <v>45100</v>
      </c>
      <c r="C26" t="s">
        <v>26</v>
      </c>
      <c r="D26" t="s">
        <v>139</v>
      </c>
      <c r="E26">
        <v>85</v>
      </c>
      <c r="F26" t="str">
        <f t="shared" si="0"/>
        <v>80-90</v>
      </c>
      <c r="G26" t="s">
        <v>38</v>
      </c>
      <c r="H26" t="s">
        <v>140</v>
      </c>
      <c r="I26" t="s">
        <v>141</v>
      </c>
      <c r="J26" t="s">
        <v>26</v>
      </c>
      <c r="K26" t="s">
        <v>38</v>
      </c>
      <c r="L26" t="s">
        <v>141</v>
      </c>
      <c r="M26" t="b">
        <v>1</v>
      </c>
      <c r="N26" t="s">
        <v>42</v>
      </c>
      <c r="O26" t="s">
        <v>4867</v>
      </c>
      <c r="P26" t="s">
        <v>131</v>
      </c>
      <c r="Q26">
        <v>117.24</v>
      </c>
      <c r="R26">
        <v>7.5</v>
      </c>
      <c r="S26" t="s">
        <v>44</v>
      </c>
      <c r="T26">
        <v>88.2</v>
      </c>
      <c r="U26" t="str">
        <f t="shared" ref="U26:U27" si="4">IF(T26&gt;=100,"above 100",IF(T26&gt;=80,"80-100",IF(T26&gt;=60,"60-80",IF(T26&gt;=40,"40-60",IF(T26&gt;=20,"20-60","0-20")))))</f>
        <v>80-100</v>
      </c>
      <c r="V26">
        <v>101.8</v>
      </c>
      <c r="W26">
        <v>78.5</v>
      </c>
      <c r="X26">
        <v>9.6</v>
      </c>
      <c r="Y26">
        <v>36.6</v>
      </c>
      <c r="Z26">
        <v>328239523</v>
      </c>
      <c r="AA26">
        <v>37.090240000000001</v>
      </c>
      <c r="AB26">
        <v>-95.712890999999999</v>
      </c>
    </row>
    <row r="27" spans="1:28">
      <c r="A27">
        <v>26</v>
      </c>
      <c r="B27">
        <v>45000</v>
      </c>
      <c r="C27" t="s">
        <v>45</v>
      </c>
      <c r="D27" t="s">
        <v>142</v>
      </c>
      <c r="E27">
        <v>39</v>
      </c>
      <c r="F27" t="str">
        <f t="shared" si="0"/>
        <v>30-40</v>
      </c>
      <c r="G27" t="s">
        <v>103</v>
      </c>
      <c r="H27" t="s">
        <v>143</v>
      </c>
      <c r="I27" t="s">
        <v>144</v>
      </c>
      <c r="J27" t="s">
        <v>45</v>
      </c>
      <c r="K27" t="s">
        <v>103</v>
      </c>
      <c r="L27" t="s">
        <v>145</v>
      </c>
      <c r="M27" t="b">
        <v>1</v>
      </c>
      <c r="N27" t="s">
        <v>42</v>
      </c>
      <c r="O27" t="s">
        <v>4867</v>
      </c>
      <c r="P27" t="s">
        <v>146</v>
      </c>
      <c r="Q27">
        <v>125.08</v>
      </c>
      <c r="R27">
        <v>2.9</v>
      </c>
      <c r="S27" t="s">
        <v>106</v>
      </c>
      <c r="T27">
        <v>50.6</v>
      </c>
      <c r="U27" t="str">
        <f t="shared" si="4"/>
        <v>40-60</v>
      </c>
      <c r="V27">
        <v>100.2</v>
      </c>
      <c r="W27">
        <v>77</v>
      </c>
      <c r="X27">
        <v>9.4</v>
      </c>
      <c r="Y27">
        <v>59.2</v>
      </c>
      <c r="Z27">
        <v>1397715000</v>
      </c>
      <c r="AA27">
        <v>35.861660000000001</v>
      </c>
      <c r="AB27">
        <v>104.195397</v>
      </c>
    </row>
    <row r="28" spans="1:28" hidden="1">
      <c r="A28">
        <v>27</v>
      </c>
      <c r="B28">
        <v>42900</v>
      </c>
      <c r="C28" t="s">
        <v>26</v>
      </c>
      <c r="D28" t="s">
        <v>147</v>
      </c>
      <c r="E28">
        <v>83</v>
      </c>
      <c r="F28" t="str">
        <f t="shared" si="0"/>
        <v>80-90</v>
      </c>
      <c r="G28" t="s">
        <v>148</v>
      </c>
      <c r="H28" t="s">
        <v>149</v>
      </c>
      <c r="I28" t="s">
        <v>150</v>
      </c>
      <c r="J28" t="s">
        <v>26</v>
      </c>
      <c r="K28" t="s">
        <v>148</v>
      </c>
      <c r="M28" t="b">
        <v>0</v>
      </c>
      <c r="N28" t="s">
        <v>42</v>
      </c>
      <c r="O28" t="s">
        <v>33</v>
      </c>
      <c r="Q28">
        <v>112.85</v>
      </c>
      <c r="R28">
        <v>1.4</v>
      </c>
      <c r="S28" t="s">
        <v>151</v>
      </c>
      <c r="T28">
        <v>70.2</v>
      </c>
      <c r="V28">
        <v>104</v>
      </c>
      <c r="W28">
        <v>80.900000000000006</v>
      </c>
      <c r="X28">
        <v>11.5</v>
      </c>
      <c r="Y28">
        <v>48.8</v>
      </c>
      <c r="Z28">
        <v>83132799</v>
      </c>
      <c r="AA28">
        <v>51.165691000000002</v>
      </c>
      <c r="AB28">
        <v>10.451525999999999</v>
      </c>
    </row>
    <row r="29" spans="1:28" hidden="1">
      <c r="A29">
        <v>28</v>
      </c>
      <c r="B29">
        <v>40100</v>
      </c>
      <c r="C29" t="s">
        <v>26</v>
      </c>
      <c r="D29" t="s">
        <v>152</v>
      </c>
      <c r="E29">
        <v>86</v>
      </c>
      <c r="F29" t="str">
        <f t="shared" si="0"/>
        <v>80-90</v>
      </c>
      <c r="G29" t="s">
        <v>28</v>
      </c>
      <c r="H29" t="s">
        <v>29</v>
      </c>
      <c r="I29" t="s">
        <v>153</v>
      </c>
      <c r="J29" t="s">
        <v>26</v>
      </c>
      <c r="K29" t="s">
        <v>28</v>
      </c>
      <c r="M29" t="b">
        <v>1</v>
      </c>
      <c r="N29" t="s">
        <v>42</v>
      </c>
      <c r="O29" t="s">
        <v>33</v>
      </c>
      <c r="Q29">
        <v>110.05</v>
      </c>
      <c r="R29">
        <v>1.1000000000000001</v>
      </c>
      <c r="S29" t="s">
        <v>35</v>
      </c>
      <c r="T29">
        <v>65.599999999999994</v>
      </c>
      <c r="V29">
        <v>102.5</v>
      </c>
      <c r="W29">
        <v>82.5</v>
      </c>
      <c r="X29">
        <v>24.2</v>
      </c>
      <c r="Y29">
        <v>60.7</v>
      </c>
      <c r="Z29">
        <v>67059887</v>
      </c>
      <c r="AA29">
        <v>46.227637999999999</v>
      </c>
      <c r="AB29">
        <v>2.213749</v>
      </c>
    </row>
    <row r="30" spans="1:28" hidden="1">
      <c r="A30">
        <v>29</v>
      </c>
      <c r="B30">
        <v>39100</v>
      </c>
      <c r="C30" t="s">
        <v>154</v>
      </c>
      <c r="D30" t="s">
        <v>155</v>
      </c>
      <c r="E30">
        <v>85</v>
      </c>
      <c r="F30" t="str">
        <f t="shared" si="0"/>
        <v>80-90</v>
      </c>
      <c r="G30" t="s">
        <v>156</v>
      </c>
      <c r="H30" t="s">
        <v>157</v>
      </c>
      <c r="I30" t="s">
        <v>158</v>
      </c>
      <c r="J30" t="s">
        <v>154</v>
      </c>
      <c r="K30" t="s">
        <v>148</v>
      </c>
      <c r="M30" t="b">
        <v>0</v>
      </c>
      <c r="N30" t="s">
        <v>32</v>
      </c>
      <c r="O30" t="s">
        <v>33</v>
      </c>
      <c r="Q30">
        <v>99.55</v>
      </c>
      <c r="R30">
        <v>0.4</v>
      </c>
      <c r="S30" t="s">
        <v>159</v>
      </c>
      <c r="T30">
        <v>59.6</v>
      </c>
      <c r="V30">
        <v>105.2</v>
      </c>
      <c r="W30">
        <v>83.6</v>
      </c>
      <c r="X30">
        <v>10.1</v>
      </c>
      <c r="Y30">
        <v>28.8</v>
      </c>
      <c r="Z30">
        <v>8574832</v>
      </c>
      <c r="AA30">
        <v>46.818187999999999</v>
      </c>
      <c r="AB30">
        <v>8.2275120000000008</v>
      </c>
    </row>
    <row r="31" spans="1:28" hidden="1">
      <c r="A31">
        <v>30</v>
      </c>
      <c r="B31">
        <v>38900</v>
      </c>
      <c r="C31" t="s">
        <v>101</v>
      </c>
      <c r="D31" t="s">
        <v>160</v>
      </c>
      <c r="E31">
        <v>58</v>
      </c>
      <c r="F31" t="str">
        <f t="shared" si="0"/>
        <v>50-60</v>
      </c>
      <c r="G31" t="s">
        <v>161</v>
      </c>
      <c r="H31" t="s">
        <v>162</v>
      </c>
      <c r="I31" t="s">
        <v>163</v>
      </c>
      <c r="J31" t="s">
        <v>101</v>
      </c>
      <c r="K31" t="s">
        <v>164</v>
      </c>
      <c r="M31" t="b">
        <v>0</v>
      </c>
      <c r="N31" t="s">
        <v>32</v>
      </c>
      <c r="O31" t="s">
        <v>33</v>
      </c>
      <c r="Q31">
        <v>117.11</v>
      </c>
      <c r="R31">
        <v>1.4</v>
      </c>
      <c r="S31" t="s">
        <v>165</v>
      </c>
      <c r="T31">
        <v>79.7</v>
      </c>
      <c r="V31">
        <v>103.9</v>
      </c>
      <c r="W31">
        <v>81.599999999999994</v>
      </c>
      <c r="X31">
        <v>24</v>
      </c>
      <c r="Y31">
        <v>55.4</v>
      </c>
      <c r="Z31">
        <v>11484055</v>
      </c>
      <c r="AA31">
        <v>50.503886999999999</v>
      </c>
      <c r="AB31">
        <v>4.4699359999999997</v>
      </c>
    </row>
    <row r="32" spans="1:28" hidden="1">
      <c r="A32">
        <v>31</v>
      </c>
      <c r="B32">
        <v>38300</v>
      </c>
      <c r="C32" t="s">
        <v>101</v>
      </c>
      <c r="D32" t="s">
        <v>166</v>
      </c>
      <c r="E32">
        <v>83</v>
      </c>
      <c r="F32" t="str">
        <f t="shared" si="0"/>
        <v>80-90</v>
      </c>
      <c r="G32" t="s">
        <v>38</v>
      </c>
      <c r="H32" t="s">
        <v>167</v>
      </c>
      <c r="I32" t="s">
        <v>168</v>
      </c>
      <c r="J32" t="s">
        <v>101</v>
      </c>
      <c r="K32" t="s">
        <v>38</v>
      </c>
      <c r="M32" t="b">
        <v>0</v>
      </c>
      <c r="N32" t="s">
        <v>32</v>
      </c>
      <c r="O32" t="s">
        <v>88</v>
      </c>
      <c r="Q32">
        <v>117.24</v>
      </c>
      <c r="R32">
        <v>7.5</v>
      </c>
      <c r="S32" t="s">
        <v>44</v>
      </c>
      <c r="T32">
        <v>88.2</v>
      </c>
      <c r="V32">
        <v>101.8</v>
      </c>
      <c r="W32">
        <v>78.5</v>
      </c>
      <c r="X32">
        <v>9.6</v>
      </c>
      <c r="Y32">
        <v>36.6</v>
      </c>
      <c r="Z32">
        <v>328239523</v>
      </c>
      <c r="AA32">
        <v>37.090240000000001</v>
      </c>
      <c r="AB32">
        <v>-95.712890999999999</v>
      </c>
    </row>
    <row r="33" spans="1:28" hidden="1">
      <c r="A33">
        <v>31</v>
      </c>
      <c r="B33">
        <v>38300</v>
      </c>
      <c r="C33" t="s">
        <v>101</v>
      </c>
      <c r="D33" t="s">
        <v>169</v>
      </c>
      <c r="E33">
        <v>87</v>
      </c>
      <c r="F33" t="str">
        <f t="shared" si="0"/>
        <v>80-90</v>
      </c>
      <c r="G33" t="s">
        <v>38</v>
      </c>
      <c r="H33" t="s">
        <v>170</v>
      </c>
      <c r="I33" t="s">
        <v>168</v>
      </c>
      <c r="J33" t="s">
        <v>101</v>
      </c>
      <c r="K33" t="s">
        <v>38</v>
      </c>
      <c r="M33" t="b">
        <v>0</v>
      </c>
      <c r="N33" t="s">
        <v>32</v>
      </c>
      <c r="O33" t="s">
        <v>33</v>
      </c>
      <c r="Q33">
        <v>117.24</v>
      </c>
      <c r="R33">
        <v>7.5</v>
      </c>
      <c r="S33" t="s">
        <v>44</v>
      </c>
      <c r="T33">
        <v>88.2</v>
      </c>
      <c r="V33">
        <v>101.8</v>
      </c>
      <c r="W33">
        <v>78.5</v>
      </c>
      <c r="X33">
        <v>9.6</v>
      </c>
      <c r="Y33">
        <v>36.6</v>
      </c>
      <c r="Z33">
        <v>328239523</v>
      </c>
      <c r="AA33">
        <v>37.090240000000001</v>
      </c>
      <c r="AB33">
        <v>-95.712890999999999</v>
      </c>
    </row>
    <row r="34" spans="1:28" hidden="1">
      <c r="A34">
        <v>33</v>
      </c>
      <c r="B34">
        <v>38000</v>
      </c>
      <c r="C34" t="s">
        <v>75</v>
      </c>
      <c r="D34" t="s">
        <v>171</v>
      </c>
      <c r="E34">
        <v>94</v>
      </c>
      <c r="F34" t="str">
        <f t="shared" ref="F34:F65" si="5">IF(E34&gt;=90,"90-100",IF(E34&gt;=80,"80-90",IF(E34&gt;=70,"70-80",IF(E34&gt;=60,"60-70",IF(E34&gt;=50,"50-60",IF(E34&gt;=40,"40-50",IF(E34&gt;=30,"30-40","20-30")))))))</f>
        <v>90-100</v>
      </c>
      <c r="G34" t="s">
        <v>172</v>
      </c>
      <c r="I34" t="s">
        <v>75</v>
      </c>
      <c r="J34" t="s">
        <v>75</v>
      </c>
      <c r="K34" t="s">
        <v>172</v>
      </c>
      <c r="L34" t="s">
        <v>173</v>
      </c>
      <c r="M34" t="b">
        <v>1</v>
      </c>
      <c r="N34" t="s">
        <v>32</v>
      </c>
      <c r="O34" t="s">
        <v>33</v>
      </c>
      <c r="P34" t="s">
        <v>174</v>
      </c>
    </row>
    <row r="35" spans="1:28">
      <c r="A35">
        <v>34</v>
      </c>
      <c r="B35">
        <v>35300</v>
      </c>
      <c r="C35" t="s">
        <v>45</v>
      </c>
      <c r="D35" t="s">
        <v>175</v>
      </c>
      <c r="E35">
        <v>51</v>
      </c>
      <c r="F35" t="str">
        <f t="shared" si="5"/>
        <v>50-60</v>
      </c>
      <c r="G35" t="s">
        <v>103</v>
      </c>
      <c r="H35" t="s">
        <v>176</v>
      </c>
      <c r="I35" t="s">
        <v>177</v>
      </c>
      <c r="J35" t="s">
        <v>45</v>
      </c>
      <c r="K35" t="s">
        <v>103</v>
      </c>
      <c r="L35" t="s">
        <v>178</v>
      </c>
      <c r="M35" t="b">
        <v>1</v>
      </c>
      <c r="N35" t="s">
        <v>42</v>
      </c>
      <c r="O35" t="s">
        <v>4867</v>
      </c>
      <c r="P35" t="s">
        <v>34</v>
      </c>
      <c r="Q35">
        <v>125.08</v>
      </c>
      <c r="R35">
        <v>2.9</v>
      </c>
      <c r="S35" t="s">
        <v>106</v>
      </c>
      <c r="T35">
        <v>50.6</v>
      </c>
      <c r="U35" t="str">
        <f>IF(T35&gt;=100,"above 100",IF(T35&gt;=80,"80-100",IF(T35&gt;=60,"60-80",IF(T35&gt;=40,"40-60",IF(T35&gt;=20,"20-60","0-20")))))</f>
        <v>40-60</v>
      </c>
      <c r="V35">
        <v>100.2</v>
      </c>
      <c r="W35">
        <v>77</v>
      </c>
      <c r="X35">
        <v>9.4</v>
      </c>
      <c r="Y35">
        <v>59.2</v>
      </c>
      <c r="Z35">
        <v>1397715000</v>
      </c>
      <c r="AA35">
        <v>35.861660000000001</v>
      </c>
      <c r="AB35">
        <v>104.195397</v>
      </c>
    </row>
    <row r="36" spans="1:28" hidden="1">
      <c r="A36">
        <v>35</v>
      </c>
      <c r="B36">
        <v>35000</v>
      </c>
      <c r="C36" t="s">
        <v>179</v>
      </c>
      <c r="D36" t="s">
        <v>180</v>
      </c>
      <c r="E36">
        <v>77</v>
      </c>
      <c r="F36" t="str">
        <f t="shared" si="5"/>
        <v>70-80</v>
      </c>
      <c r="G36" t="s">
        <v>38</v>
      </c>
      <c r="H36" t="s">
        <v>181</v>
      </c>
      <c r="I36" t="s">
        <v>182</v>
      </c>
      <c r="J36" t="s">
        <v>179</v>
      </c>
      <c r="K36" t="s">
        <v>38</v>
      </c>
      <c r="M36" t="b">
        <v>0</v>
      </c>
      <c r="N36" t="s">
        <v>32</v>
      </c>
      <c r="O36" t="s">
        <v>88</v>
      </c>
      <c r="Q36">
        <v>117.24</v>
      </c>
      <c r="R36">
        <v>7.5</v>
      </c>
      <c r="S36" t="s">
        <v>44</v>
      </c>
      <c r="T36">
        <v>88.2</v>
      </c>
      <c r="V36">
        <v>101.8</v>
      </c>
      <c r="W36">
        <v>78.5</v>
      </c>
      <c r="X36">
        <v>9.6</v>
      </c>
      <c r="Y36">
        <v>36.6</v>
      </c>
      <c r="Z36">
        <v>328239523</v>
      </c>
      <c r="AA36">
        <v>37.090240000000001</v>
      </c>
      <c r="AB36">
        <v>-95.712890999999999</v>
      </c>
    </row>
    <row r="37" spans="1:28">
      <c r="A37">
        <v>35</v>
      </c>
      <c r="B37">
        <v>35000</v>
      </c>
      <c r="C37" t="s">
        <v>54</v>
      </c>
      <c r="D37" t="s">
        <v>183</v>
      </c>
      <c r="E37">
        <v>54</v>
      </c>
      <c r="F37" t="str">
        <f t="shared" si="5"/>
        <v>50-60</v>
      </c>
      <c r="G37" t="s">
        <v>38</v>
      </c>
      <c r="H37" t="s">
        <v>184</v>
      </c>
      <c r="I37" t="s">
        <v>185</v>
      </c>
      <c r="J37" t="s">
        <v>54</v>
      </c>
      <c r="K37" t="s">
        <v>38</v>
      </c>
      <c r="L37" t="s">
        <v>186</v>
      </c>
      <c r="M37" t="b">
        <v>1</v>
      </c>
      <c r="N37" t="s">
        <v>32</v>
      </c>
      <c r="O37" t="s">
        <v>4867</v>
      </c>
      <c r="P37" t="s">
        <v>187</v>
      </c>
      <c r="Q37">
        <v>117.24</v>
      </c>
      <c r="R37">
        <v>7.5</v>
      </c>
      <c r="S37" t="s">
        <v>44</v>
      </c>
      <c r="T37">
        <v>88.2</v>
      </c>
      <c r="U37" t="str">
        <f>IF(T37&gt;=100,"above 100",IF(T37&gt;=80,"80-100",IF(T37&gt;=60,"60-80",IF(T37&gt;=40,"40-60",IF(T37&gt;=20,"20-60","0-20")))))</f>
        <v>80-100</v>
      </c>
      <c r="V37">
        <v>101.8</v>
      </c>
      <c r="W37">
        <v>78.5</v>
      </c>
      <c r="X37">
        <v>9.6</v>
      </c>
      <c r="Y37">
        <v>36.6</v>
      </c>
      <c r="Z37">
        <v>328239523</v>
      </c>
      <c r="AA37">
        <v>37.090240000000001</v>
      </c>
      <c r="AB37">
        <v>-95.712890999999999</v>
      </c>
    </row>
    <row r="38" spans="1:28" hidden="1">
      <c r="A38">
        <v>37</v>
      </c>
      <c r="B38">
        <v>34700</v>
      </c>
      <c r="C38" t="s">
        <v>101</v>
      </c>
      <c r="D38" t="s">
        <v>188</v>
      </c>
      <c r="E38">
        <v>30</v>
      </c>
      <c r="F38" t="str">
        <f t="shared" si="5"/>
        <v>30-40</v>
      </c>
      <c r="G38" t="s">
        <v>189</v>
      </c>
      <c r="H38" t="s">
        <v>190</v>
      </c>
      <c r="I38" t="s">
        <v>191</v>
      </c>
      <c r="J38" t="s">
        <v>101</v>
      </c>
      <c r="K38" t="s">
        <v>189</v>
      </c>
      <c r="M38" t="b">
        <v>0</v>
      </c>
      <c r="N38" t="s">
        <v>192</v>
      </c>
      <c r="O38" t="s">
        <v>33</v>
      </c>
      <c r="Q38">
        <v>118.06</v>
      </c>
      <c r="R38">
        <v>1.5</v>
      </c>
      <c r="S38" t="s">
        <v>193</v>
      </c>
      <c r="T38">
        <v>85.1</v>
      </c>
      <c r="V38">
        <v>103.1</v>
      </c>
      <c r="W38">
        <v>81.599999999999994</v>
      </c>
      <c r="X38">
        <v>25.4</v>
      </c>
      <c r="Y38">
        <v>51.4</v>
      </c>
      <c r="Z38">
        <v>8877067</v>
      </c>
      <c r="AA38">
        <v>47.516230999999998</v>
      </c>
      <c r="AB38">
        <v>14.550072</v>
      </c>
    </row>
    <row r="39" spans="1:28" hidden="1">
      <c r="A39">
        <v>38</v>
      </c>
      <c r="B39">
        <v>33400</v>
      </c>
      <c r="C39" t="s">
        <v>36</v>
      </c>
      <c r="D39" t="s">
        <v>194</v>
      </c>
      <c r="E39">
        <v>54</v>
      </c>
      <c r="F39" t="str">
        <f t="shared" si="5"/>
        <v>50-60</v>
      </c>
      <c r="G39" t="s">
        <v>103</v>
      </c>
      <c r="H39" t="s">
        <v>195</v>
      </c>
      <c r="I39" t="s">
        <v>196</v>
      </c>
      <c r="J39" t="s">
        <v>36</v>
      </c>
      <c r="K39" t="s">
        <v>172</v>
      </c>
      <c r="M39" t="b">
        <v>1</v>
      </c>
      <c r="N39" t="s">
        <v>42</v>
      </c>
      <c r="O39" t="s">
        <v>33</v>
      </c>
      <c r="Q39">
        <v>125.08</v>
      </c>
      <c r="R39">
        <v>2.9</v>
      </c>
      <c r="S39" t="s">
        <v>106</v>
      </c>
      <c r="T39">
        <v>50.6</v>
      </c>
      <c r="V39">
        <v>100.2</v>
      </c>
      <c r="W39">
        <v>77</v>
      </c>
      <c r="X39">
        <v>9.4</v>
      </c>
      <c r="Y39">
        <v>59.2</v>
      </c>
      <c r="Z39">
        <v>1397715000</v>
      </c>
      <c r="AA39">
        <v>35.861660000000001</v>
      </c>
      <c r="AB39">
        <v>104.195397</v>
      </c>
    </row>
    <row r="40" spans="1:28" hidden="1">
      <c r="A40">
        <v>39</v>
      </c>
      <c r="B40">
        <v>32600</v>
      </c>
      <c r="C40" t="s">
        <v>26</v>
      </c>
      <c r="D40" t="s">
        <v>197</v>
      </c>
      <c r="E40">
        <v>74</v>
      </c>
      <c r="F40" t="str">
        <f t="shared" si="5"/>
        <v>70-80</v>
      </c>
      <c r="G40" t="s">
        <v>198</v>
      </c>
      <c r="H40" t="s">
        <v>199</v>
      </c>
      <c r="I40" t="s">
        <v>200</v>
      </c>
      <c r="J40" t="s">
        <v>26</v>
      </c>
      <c r="K40" t="s">
        <v>198</v>
      </c>
      <c r="M40" t="b">
        <v>1</v>
      </c>
      <c r="N40" t="s">
        <v>32</v>
      </c>
      <c r="O40" t="s">
        <v>33</v>
      </c>
      <c r="Q40">
        <v>105.48</v>
      </c>
      <c r="R40">
        <v>0.5</v>
      </c>
      <c r="S40" t="s">
        <v>201</v>
      </c>
      <c r="T40">
        <v>63.2</v>
      </c>
      <c r="V40">
        <v>98.8</v>
      </c>
      <c r="W40">
        <v>84.2</v>
      </c>
      <c r="X40">
        <v>11.9</v>
      </c>
      <c r="Y40">
        <v>46.7</v>
      </c>
      <c r="Z40">
        <v>126226568</v>
      </c>
      <c r="AA40">
        <v>36.204824000000002</v>
      </c>
      <c r="AB40">
        <v>138.25292400000001</v>
      </c>
    </row>
    <row r="41" spans="1:28" hidden="1">
      <c r="A41">
        <v>40</v>
      </c>
      <c r="B41">
        <v>32100</v>
      </c>
      <c r="C41" t="s">
        <v>75</v>
      </c>
      <c r="D41" t="s">
        <v>202</v>
      </c>
      <c r="E41">
        <v>65</v>
      </c>
      <c r="F41" t="str">
        <f t="shared" si="5"/>
        <v>60-70</v>
      </c>
      <c r="G41" t="s">
        <v>203</v>
      </c>
      <c r="H41" t="s">
        <v>204</v>
      </c>
      <c r="I41" t="s">
        <v>205</v>
      </c>
      <c r="J41" t="s">
        <v>75</v>
      </c>
      <c r="K41" t="s">
        <v>38</v>
      </c>
      <c r="M41" t="b">
        <v>1</v>
      </c>
      <c r="N41" t="s">
        <v>42</v>
      </c>
      <c r="O41" t="s">
        <v>33</v>
      </c>
      <c r="Q41">
        <v>119.62</v>
      </c>
      <c r="R41">
        <v>1.7</v>
      </c>
      <c r="S41" t="s">
        <v>206</v>
      </c>
      <c r="T41">
        <v>60</v>
      </c>
      <c r="V41">
        <v>101.2</v>
      </c>
      <c r="W41">
        <v>81.3</v>
      </c>
      <c r="X41">
        <v>25.5</v>
      </c>
      <c r="Y41">
        <v>30.6</v>
      </c>
      <c r="Z41">
        <v>66834405</v>
      </c>
      <c r="AA41">
        <v>55.378050999999999</v>
      </c>
      <c r="AB41">
        <v>-3.4359730000000002</v>
      </c>
    </row>
    <row r="42" spans="1:28" hidden="1">
      <c r="A42">
        <v>41</v>
      </c>
      <c r="B42">
        <v>31600</v>
      </c>
      <c r="C42" t="s">
        <v>26</v>
      </c>
      <c r="D42" t="s">
        <v>207</v>
      </c>
      <c r="E42">
        <v>74</v>
      </c>
      <c r="F42" t="str">
        <f t="shared" si="5"/>
        <v>70-80</v>
      </c>
      <c r="G42" t="s">
        <v>38</v>
      </c>
      <c r="H42" t="s">
        <v>65</v>
      </c>
      <c r="I42" t="s">
        <v>208</v>
      </c>
      <c r="J42" t="s">
        <v>26</v>
      </c>
      <c r="K42" t="s">
        <v>28</v>
      </c>
      <c r="M42" t="b">
        <v>0</v>
      </c>
      <c r="N42" t="s">
        <v>32</v>
      </c>
      <c r="O42" t="s">
        <v>33</v>
      </c>
      <c r="Q42">
        <v>117.24</v>
      </c>
      <c r="R42">
        <v>7.5</v>
      </c>
      <c r="S42" t="s">
        <v>44</v>
      </c>
      <c r="T42">
        <v>88.2</v>
      </c>
      <c r="V42">
        <v>101.8</v>
      </c>
      <c r="W42">
        <v>78.5</v>
      </c>
      <c r="X42">
        <v>9.6</v>
      </c>
      <c r="Y42">
        <v>36.6</v>
      </c>
      <c r="Z42">
        <v>328239523</v>
      </c>
      <c r="AA42">
        <v>37.090240000000001</v>
      </c>
      <c r="AB42">
        <v>-95.712890999999999</v>
      </c>
    </row>
    <row r="43" spans="1:28" hidden="1">
      <c r="A43">
        <v>41</v>
      </c>
      <c r="B43">
        <v>31600</v>
      </c>
      <c r="C43" t="s">
        <v>26</v>
      </c>
      <c r="D43" t="s">
        <v>209</v>
      </c>
      <c r="E43">
        <v>72</v>
      </c>
      <c r="F43" t="str">
        <f t="shared" si="5"/>
        <v>70-80</v>
      </c>
      <c r="G43" t="s">
        <v>38</v>
      </c>
      <c r="H43" t="s">
        <v>65</v>
      </c>
      <c r="I43" t="s">
        <v>208</v>
      </c>
      <c r="J43" t="s">
        <v>26</v>
      </c>
      <c r="K43" t="s">
        <v>28</v>
      </c>
      <c r="M43" t="b">
        <v>0</v>
      </c>
      <c r="N43" t="s">
        <v>32</v>
      </c>
      <c r="O43" t="s">
        <v>33</v>
      </c>
      <c r="Q43">
        <v>117.24</v>
      </c>
      <c r="R43">
        <v>7.5</v>
      </c>
      <c r="S43" t="s">
        <v>44</v>
      </c>
      <c r="T43">
        <v>88.2</v>
      </c>
      <c r="V43">
        <v>101.8</v>
      </c>
      <c r="W43">
        <v>78.5</v>
      </c>
      <c r="X43">
        <v>9.6</v>
      </c>
      <c r="Y43">
        <v>36.6</v>
      </c>
      <c r="Z43">
        <v>328239523</v>
      </c>
      <c r="AA43">
        <v>37.090240000000001</v>
      </c>
      <c r="AB43">
        <v>-95.712890999999999</v>
      </c>
    </row>
    <row r="44" spans="1:28" hidden="1">
      <c r="A44">
        <v>43</v>
      </c>
      <c r="B44">
        <v>31200</v>
      </c>
      <c r="C44" t="s">
        <v>154</v>
      </c>
      <c r="D44" t="s">
        <v>210</v>
      </c>
      <c r="E44">
        <v>82</v>
      </c>
      <c r="F44" t="str">
        <f t="shared" si="5"/>
        <v>80-90</v>
      </c>
      <c r="G44" t="s">
        <v>156</v>
      </c>
      <c r="H44" t="s">
        <v>211</v>
      </c>
      <c r="I44" t="s">
        <v>158</v>
      </c>
      <c r="J44" t="s">
        <v>154</v>
      </c>
      <c r="K44" t="s">
        <v>156</v>
      </c>
      <c r="M44" t="b">
        <v>1</v>
      </c>
      <c r="N44" t="s">
        <v>212</v>
      </c>
      <c r="O44" t="s">
        <v>33</v>
      </c>
      <c r="Q44">
        <v>99.55</v>
      </c>
      <c r="R44">
        <v>0.4</v>
      </c>
      <c r="S44" t="s">
        <v>159</v>
      </c>
      <c r="T44">
        <v>59.6</v>
      </c>
      <c r="V44">
        <v>105.2</v>
      </c>
      <c r="W44">
        <v>83.6</v>
      </c>
      <c r="X44">
        <v>10.1</v>
      </c>
      <c r="Y44">
        <v>28.8</v>
      </c>
      <c r="Z44">
        <v>8574832</v>
      </c>
      <c r="AA44">
        <v>46.818187999999999</v>
      </c>
      <c r="AB44">
        <v>8.2275120000000008</v>
      </c>
    </row>
    <row r="45" spans="1:28" hidden="1">
      <c r="A45">
        <v>43</v>
      </c>
      <c r="B45">
        <v>31200</v>
      </c>
      <c r="C45" t="s">
        <v>154</v>
      </c>
      <c r="D45" t="s">
        <v>213</v>
      </c>
      <c r="E45">
        <v>78</v>
      </c>
      <c r="F45" t="str">
        <f t="shared" si="5"/>
        <v>70-80</v>
      </c>
      <c r="G45" t="s">
        <v>156</v>
      </c>
      <c r="H45" t="s">
        <v>211</v>
      </c>
      <c r="I45" t="s">
        <v>158</v>
      </c>
      <c r="J45" t="s">
        <v>154</v>
      </c>
      <c r="K45" t="s">
        <v>156</v>
      </c>
      <c r="M45" t="b">
        <v>1</v>
      </c>
      <c r="N45" t="s">
        <v>212</v>
      </c>
      <c r="O45" t="s">
        <v>88</v>
      </c>
      <c r="Q45">
        <v>99.55</v>
      </c>
      <c r="R45">
        <v>0.4</v>
      </c>
      <c r="S45" t="s">
        <v>159</v>
      </c>
      <c r="T45">
        <v>59.6</v>
      </c>
      <c r="V45">
        <v>105.2</v>
      </c>
      <c r="W45">
        <v>83.6</v>
      </c>
      <c r="X45">
        <v>10.1</v>
      </c>
      <c r="Y45">
        <v>28.8</v>
      </c>
      <c r="Z45">
        <v>8574832</v>
      </c>
      <c r="AA45">
        <v>46.818187999999999</v>
      </c>
      <c r="AB45">
        <v>8.2275120000000008</v>
      </c>
    </row>
    <row r="46" spans="1:28" hidden="1">
      <c r="A46">
        <v>45</v>
      </c>
      <c r="B46">
        <v>30200</v>
      </c>
      <c r="C46" t="s">
        <v>45</v>
      </c>
      <c r="D46" t="s">
        <v>214</v>
      </c>
      <c r="E46">
        <v>43</v>
      </c>
      <c r="F46" t="str">
        <f t="shared" si="5"/>
        <v>40-50</v>
      </c>
      <c r="G46" t="s">
        <v>103</v>
      </c>
      <c r="H46" t="s">
        <v>215</v>
      </c>
      <c r="I46" t="s">
        <v>216</v>
      </c>
      <c r="J46" t="s">
        <v>45</v>
      </c>
      <c r="K46" t="s">
        <v>103</v>
      </c>
      <c r="M46" t="b">
        <v>1</v>
      </c>
      <c r="N46" t="s">
        <v>32</v>
      </c>
      <c r="O46" t="s">
        <v>33</v>
      </c>
      <c r="Q46">
        <v>125.08</v>
      </c>
      <c r="R46">
        <v>2.9</v>
      </c>
      <c r="S46" t="s">
        <v>106</v>
      </c>
      <c r="T46">
        <v>50.6</v>
      </c>
      <c r="V46">
        <v>100.2</v>
      </c>
      <c r="W46">
        <v>77</v>
      </c>
      <c r="X46">
        <v>9.4</v>
      </c>
      <c r="Y46">
        <v>59.2</v>
      </c>
      <c r="Z46">
        <v>1397715000</v>
      </c>
      <c r="AA46">
        <v>35.861660000000001</v>
      </c>
      <c r="AB46">
        <v>104.195397</v>
      </c>
    </row>
    <row r="47" spans="1:28" hidden="1">
      <c r="A47">
        <v>46</v>
      </c>
      <c r="B47">
        <v>29700</v>
      </c>
      <c r="C47" t="s">
        <v>217</v>
      </c>
      <c r="D47" t="s">
        <v>218</v>
      </c>
      <c r="E47">
        <v>87</v>
      </c>
      <c r="F47" t="str">
        <f t="shared" si="5"/>
        <v>80-90</v>
      </c>
      <c r="G47" t="s">
        <v>148</v>
      </c>
      <c r="H47" t="s">
        <v>219</v>
      </c>
      <c r="I47" t="s">
        <v>220</v>
      </c>
      <c r="J47" t="s">
        <v>217</v>
      </c>
      <c r="K47" t="s">
        <v>148</v>
      </c>
      <c r="M47" t="b">
        <v>1</v>
      </c>
      <c r="N47" t="s">
        <v>32</v>
      </c>
      <c r="O47" t="s">
        <v>33</v>
      </c>
      <c r="Q47">
        <v>112.85</v>
      </c>
      <c r="R47">
        <v>1.4</v>
      </c>
      <c r="S47" t="s">
        <v>151</v>
      </c>
      <c r="T47">
        <v>70.2</v>
      </c>
      <c r="V47">
        <v>104</v>
      </c>
      <c r="W47">
        <v>80.900000000000006</v>
      </c>
      <c r="X47">
        <v>11.5</v>
      </c>
      <c r="Y47">
        <v>48.8</v>
      </c>
      <c r="Z47">
        <v>83132799</v>
      </c>
      <c r="AA47">
        <v>51.165691000000002</v>
      </c>
      <c r="AB47">
        <v>10.451525999999999</v>
      </c>
    </row>
    <row r="48" spans="1:28" hidden="1">
      <c r="A48">
        <v>47</v>
      </c>
      <c r="B48">
        <v>29500</v>
      </c>
      <c r="C48" t="s">
        <v>221</v>
      </c>
      <c r="D48" t="s">
        <v>222</v>
      </c>
      <c r="E48">
        <v>95</v>
      </c>
      <c r="F48" t="str">
        <f t="shared" si="5"/>
        <v>90-100</v>
      </c>
      <c r="G48" t="s">
        <v>172</v>
      </c>
      <c r="H48" t="s">
        <v>172</v>
      </c>
      <c r="I48" t="s">
        <v>223</v>
      </c>
      <c r="J48" t="s">
        <v>221</v>
      </c>
      <c r="K48" t="s">
        <v>172</v>
      </c>
      <c r="M48" t="b">
        <v>1</v>
      </c>
      <c r="N48" t="s">
        <v>42</v>
      </c>
      <c r="O48" t="s">
        <v>33</v>
      </c>
    </row>
    <row r="49" spans="1:28" hidden="1">
      <c r="A49">
        <v>48</v>
      </c>
      <c r="B49">
        <v>28500</v>
      </c>
      <c r="C49" t="s">
        <v>54</v>
      </c>
      <c r="D49" t="s">
        <v>224</v>
      </c>
      <c r="E49">
        <v>64</v>
      </c>
      <c r="F49" t="str">
        <f t="shared" si="5"/>
        <v>60-70</v>
      </c>
      <c r="G49" t="s">
        <v>38</v>
      </c>
      <c r="H49" t="s">
        <v>225</v>
      </c>
      <c r="I49" t="s">
        <v>226</v>
      </c>
      <c r="J49" t="s">
        <v>54</v>
      </c>
      <c r="K49" t="s">
        <v>38</v>
      </c>
      <c r="M49" t="b">
        <v>1</v>
      </c>
      <c r="N49" t="s">
        <v>32</v>
      </c>
      <c r="O49" t="s">
        <v>33</v>
      </c>
      <c r="Q49">
        <v>117.24</v>
      </c>
      <c r="R49">
        <v>7.5</v>
      </c>
      <c r="S49" t="s">
        <v>44</v>
      </c>
      <c r="T49">
        <v>88.2</v>
      </c>
      <c r="V49">
        <v>101.8</v>
      </c>
      <c r="W49">
        <v>78.5</v>
      </c>
      <c r="X49">
        <v>9.6</v>
      </c>
      <c r="Y49">
        <v>36.6</v>
      </c>
      <c r="Z49">
        <v>328239523</v>
      </c>
      <c r="AA49">
        <v>37.090240000000001</v>
      </c>
      <c r="AB49">
        <v>-95.712890999999999</v>
      </c>
    </row>
    <row r="50" spans="1:28">
      <c r="A50">
        <v>49</v>
      </c>
      <c r="B50">
        <v>28100</v>
      </c>
      <c r="C50" t="s">
        <v>54</v>
      </c>
      <c r="D50" t="s">
        <v>227</v>
      </c>
      <c r="E50">
        <v>84</v>
      </c>
      <c r="F50" t="str">
        <f t="shared" si="5"/>
        <v>80-90</v>
      </c>
      <c r="G50" t="s">
        <v>38</v>
      </c>
      <c r="H50" t="s">
        <v>228</v>
      </c>
      <c r="I50" t="s">
        <v>185</v>
      </c>
      <c r="J50" t="s">
        <v>54</v>
      </c>
      <c r="K50" t="s">
        <v>38</v>
      </c>
      <c r="L50" t="s">
        <v>229</v>
      </c>
      <c r="M50" t="b">
        <v>1</v>
      </c>
      <c r="N50" t="s">
        <v>42</v>
      </c>
      <c r="O50" t="s">
        <v>4867</v>
      </c>
      <c r="P50" t="s">
        <v>146</v>
      </c>
      <c r="Q50">
        <v>117.24</v>
      </c>
      <c r="R50">
        <v>7.5</v>
      </c>
      <c r="S50" t="s">
        <v>44</v>
      </c>
      <c r="T50">
        <v>88.2</v>
      </c>
      <c r="U50" t="str">
        <f t="shared" ref="U50:U51" si="6">IF(T50&gt;=100,"above 100",IF(T50&gt;=80,"80-100",IF(T50&gt;=60,"60-80",IF(T50&gt;=40,"40-60",IF(T50&gt;=20,"20-60","0-20")))))</f>
        <v>80-100</v>
      </c>
      <c r="V50">
        <v>101.8</v>
      </c>
      <c r="W50">
        <v>78.5</v>
      </c>
      <c r="X50">
        <v>9.6</v>
      </c>
      <c r="Y50">
        <v>36.6</v>
      </c>
      <c r="Z50">
        <v>328239523</v>
      </c>
      <c r="AA50">
        <v>37.090240000000001</v>
      </c>
      <c r="AB50">
        <v>-95.712890999999999</v>
      </c>
    </row>
    <row r="51" spans="1:28">
      <c r="A51">
        <v>50</v>
      </c>
      <c r="B51">
        <v>27800</v>
      </c>
      <c r="C51" t="s">
        <v>54</v>
      </c>
      <c r="D51" t="s">
        <v>230</v>
      </c>
      <c r="E51">
        <v>76</v>
      </c>
      <c r="F51" t="str">
        <f t="shared" si="5"/>
        <v>70-80</v>
      </c>
      <c r="G51" t="s">
        <v>38</v>
      </c>
      <c r="H51" t="s">
        <v>65</v>
      </c>
      <c r="I51" t="s">
        <v>231</v>
      </c>
      <c r="J51" t="s">
        <v>54</v>
      </c>
      <c r="K51" t="s">
        <v>38</v>
      </c>
      <c r="L51" t="s">
        <v>232</v>
      </c>
      <c r="M51" t="b">
        <v>1</v>
      </c>
      <c r="N51" t="s">
        <v>42</v>
      </c>
      <c r="O51" t="s">
        <v>4867</v>
      </c>
      <c r="P51" t="s">
        <v>34</v>
      </c>
      <c r="Q51">
        <v>117.24</v>
      </c>
      <c r="R51">
        <v>7.5</v>
      </c>
      <c r="S51" t="s">
        <v>44</v>
      </c>
      <c r="T51">
        <v>88.2</v>
      </c>
      <c r="U51" t="str">
        <f t="shared" si="6"/>
        <v>80-100</v>
      </c>
      <c r="V51">
        <v>101.8</v>
      </c>
      <c r="W51">
        <v>78.5</v>
      </c>
      <c r="X51">
        <v>9.6</v>
      </c>
      <c r="Y51">
        <v>36.6</v>
      </c>
      <c r="Z51">
        <v>328239523</v>
      </c>
      <c r="AA51">
        <v>37.090240000000001</v>
      </c>
      <c r="AB51">
        <v>-95.712890999999999</v>
      </c>
    </row>
    <row r="52" spans="1:28" hidden="1">
      <c r="A52">
        <v>51</v>
      </c>
      <c r="B52">
        <v>27400</v>
      </c>
      <c r="C52" t="s">
        <v>36</v>
      </c>
      <c r="D52" t="s">
        <v>233</v>
      </c>
      <c r="E52">
        <v>60</v>
      </c>
      <c r="F52" t="str">
        <f t="shared" si="5"/>
        <v>60-70</v>
      </c>
      <c r="G52" t="s">
        <v>148</v>
      </c>
      <c r="H52" t="s">
        <v>234</v>
      </c>
      <c r="I52" t="s">
        <v>235</v>
      </c>
      <c r="J52" t="s">
        <v>36</v>
      </c>
      <c r="K52" t="s">
        <v>148</v>
      </c>
      <c r="M52" t="b">
        <v>0</v>
      </c>
      <c r="N52" t="s">
        <v>32</v>
      </c>
      <c r="O52" t="s">
        <v>88</v>
      </c>
      <c r="Q52">
        <v>112.85</v>
      </c>
      <c r="R52">
        <v>1.4</v>
      </c>
      <c r="S52" t="s">
        <v>151</v>
      </c>
      <c r="T52">
        <v>70.2</v>
      </c>
      <c r="V52">
        <v>104</v>
      </c>
      <c r="W52">
        <v>80.900000000000006</v>
      </c>
      <c r="X52">
        <v>11.5</v>
      </c>
      <c r="Y52">
        <v>48.8</v>
      </c>
      <c r="Z52">
        <v>83132799</v>
      </c>
      <c r="AA52">
        <v>51.165691000000002</v>
      </c>
      <c r="AB52">
        <v>10.451525999999999</v>
      </c>
    </row>
    <row r="53" spans="1:28">
      <c r="A53">
        <v>52</v>
      </c>
      <c r="B53">
        <v>27000</v>
      </c>
      <c r="C53" t="s">
        <v>236</v>
      </c>
      <c r="D53" t="s">
        <v>237</v>
      </c>
      <c r="E53">
        <v>69</v>
      </c>
      <c r="F53" t="str">
        <f t="shared" si="5"/>
        <v>60-70</v>
      </c>
      <c r="G53" t="s">
        <v>238</v>
      </c>
      <c r="H53" t="s">
        <v>239</v>
      </c>
      <c r="I53" t="s">
        <v>240</v>
      </c>
      <c r="J53" t="s">
        <v>236</v>
      </c>
      <c r="K53" t="s">
        <v>238</v>
      </c>
      <c r="L53" t="s">
        <v>241</v>
      </c>
      <c r="M53" t="b">
        <v>0</v>
      </c>
      <c r="N53" t="s">
        <v>42</v>
      </c>
      <c r="O53" t="s">
        <v>4866</v>
      </c>
      <c r="P53" t="s">
        <v>242</v>
      </c>
      <c r="Q53">
        <v>119.8</v>
      </c>
      <c r="R53">
        <v>1.6</v>
      </c>
      <c r="S53" t="s">
        <v>243</v>
      </c>
      <c r="T53">
        <v>113.1</v>
      </c>
      <c r="U53" t="str">
        <f>IF(T53&gt;=100,"above 100",IF(T53&gt;=80,"80-100",IF(T53&gt;=60,"60-80",IF(T53&gt;=40,"40-60",IF(T53&gt;=20,"20-60","0-20")))))</f>
        <v>above 100</v>
      </c>
      <c r="V53">
        <v>100.3</v>
      </c>
      <c r="W53">
        <v>82.7</v>
      </c>
      <c r="X53">
        <v>23</v>
      </c>
      <c r="Y53">
        <v>47.4</v>
      </c>
      <c r="Z53">
        <v>25766605</v>
      </c>
      <c r="AA53">
        <v>-25.274398000000001</v>
      </c>
      <c r="AB53">
        <v>133.775136</v>
      </c>
    </row>
    <row r="54" spans="1:28" hidden="1">
      <c r="A54">
        <v>53</v>
      </c>
      <c r="B54">
        <v>26700</v>
      </c>
      <c r="C54" t="s">
        <v>45</v>
      </c>
      <c r="D54" t="s">
        <v>244</v>
      </c>
      <c r="E54">
        <v>51</v>
      </c>
      <c r="F54" t="str">
        <f t="shared" si="5"/>
        <v>50-60</v>
      </c>
      <c r="G54" t="s">
        <v>103</v>
      </c>
      <c r="H54" t="s">
        <v>104</v>
      </c>
      <c r="I54" t="s">
        <v>245</v>
      </c>
      <c r="J54" t="s">
        <v>45</v>
      </c>
      <c r="K54" t="s">
        <v>103</v>
      </c>
      <c r="M54" t="b">
        <v>1</v>
      </c>
      <c r="N54" t="s">
        <v>32</v>
      </c>
      <c r="O54" t="s">
        <v>33</v>
      </c>
      <c r="Q54">
        <v>125.08</v>
      </c>
      <c r="R54">
        <v>2.9</v>
      </c>
      <c r="S54" t="s">
        <v>106</v>
      </c>
      <c r="T54">
        <v>50.6</v>
      </c>
      <c r="V54">
        <v>100.2</v>
      </c>
      <c r="W54">
        <v>77</v>
      </c>
      <c r="X54">
        <v>9.4</v>
      </c>
      <c r="Y54">
        <v>59.2</v>
      </c>
      <c r="Z54">
        <v>1397715000</v>
      </c>
      <c r="AA54">
        <v>35.861660000000001</v>
      </c>
      <c r="AB54">
        <v>104.195397</v>
      </c>
    </row>
    <row r="55" spans="1:28" hidden="1">
      <c r="A55">
        <v>54</v>
      </c>
      <c r="B55">
        <v>26600</v>
      </c>
      <c r="C55" t="s">
        <v>236</v>
      </c>
      <c r="D55" t="s">
        <v>246</v>
      </c>
      <c r="E55">
        <v>69</v>
      </c>
      <c r="F55" t="str">
        <f t="shared" si="5"/>
        <v>60-70</v>
      </c>
      <c r="G55" t="s">
        <v>70</v>
      </c>
      <c r="H55" t="s">
        <v>71</v>
      </c>
      <c r="I55" t="s">
        <v>240</v>
      </c>
      <c r="J55" t="s">
        <v>236</v>
      </c>
      <c r="K55" t="s">
        <v>70</v>
      </c>
      <c r="M55" t="b">
        <v>0</v>
      </c>
      <c r="N55" t="s">
        <v>42</v>
      </c>
      <c r="O55" t="s">
        <v>33</v>
      </c>
      <c r="Q55">
        <v>141.54</v>
      </c>
      <c r="R55">
        <v>3.6</v>
      </c>
      <c r="S55" t="s">
        <v>74</v>
      </c>
      <c r="T55">
        <v>40.200000000000003</v>
      </c>
      <c r="V55">
        <v>105.8</v>
      </c>
      <c r="W55">
        <v>75</v>
      </c>
      <c r="X55">
        <v>13.1</v>
      </c>
      <c r="Y55">
        <v>55.1</v>
      </c>
      <c r="Z55">
        <v>126014024</v>
      </c>
      <c r="AA55">
        <v>23.634501</v>
      </c>
      <c r="AB55">
        <v>-102.552784</v>
      </c>
    </row>
    <row r="56" spans="1:28" hidden="1">
      <c r="A56">
        <v>55</v>
      </c>
      <c r="B56">
        <v>25600</v>
      </c>
      <c r="C56" t="s">
        <v>45</v>
      </c>
      <c r="D56" t="s">
        <v>247</v>
      </c>
      <c r="E56">
        <v>77</v>
      </c>
      <c r="F56" t="str">
        <f t="shared" si="5"/>
        <v>70-80</v>
      </c>
      <c r="G56" t="s">
        <v>77</v>
      </c>
      <c r="H56" t="s">
        <v>248</v>
      </c>
      <c r="I56" t="s">
        <v>249</v>
      </c>
      <c r="J56" t="s">
        <v>45</v>
      </c>
      <c r="K56" t="s">
        <v>77</v>
      </c>
      <c r="M56" t="b">
        <v>1</v>
      </c>
      <c r="N56" t="s">
        <v>42</v>
      </c>
      <c r="O56" t="s">
        <v>33</v>
      </c>
      <c r="Q56">
        <v>180.44</v>
      </c>
      <c r="R56">
        <v>7.7</v>
      </c>
      <c r="S56" t="s">
        <v>81</v>
      </c>
      <c r="T56">
        <v>28.1</v>
      </c>
      <c r="V56">
        <v>113</v>
      </c>
      <c r="W56">
        <v>69.400000000000006</v>
      </c>
      <c r="X56">
        <v>11.2</v>
      </c>
      <c r="Y56">
        <v>49.7</v>
      </c>
      <c r="Z56">
        <v>1366417754</v>
      </c>
      <c r="AA56">
        <v>20.593684</v>
      </c>
      <c r="AB56">
        <v>78.962879999999998</v>
      </c>
    </row>
    <row r="57" spans="1:28" hidden="1">
      <c r="A57">
        <v>56</v>
      </c>
      <c r="B57">
        <v>25500</v>
      </c>
      <c r="C57" t="s">
        <v>250</v>
      </c>
      <c r="D57" t="s">
        <v>251</v>
      </c>
      <c r="E57">
        <v>74</v>
      </c>
      <c r="F57" t="str">
        <f t="shared" si="5"/>
        <v>70-80</v>
      </c>
      <c r="G57" t="s">
        <v>252</v>
      </c>
      <c r="H57" t="s">
        <v>253</v>
      </c>
      <c r="I57" t="s">
        <v>254</v>
      </c>
      <c r="J57" t="s">
        <v>250</v>
      </c>
      <c r="K57" t="s">
        <v>252</v>
      </c>
      <c r="M57" t="b">
        <v>1</v>
      </c>
      <c r="N57" t="s">
        <v>32</v>
      </c>
      <c r="O57" t="s">
        <v>33</v>
      </c>
      <c r="Q57">
        <v>151.18</v>
      </c>
      <c r="R57">
        <v>3</v>
      </c>
      <c r="S57" t="s">
        <v>255</v>
      </c>
      <c r="T57">
        <v>36.299999999999997</v>
      </c>
      <c r="V57">
        <v>106.4</v>
      </c>
      <c r="W57">
        <v>71.5</v>
      </c>
      <c r="X57">
        <v>10.199999999999999</v>
      </c>
      <c r="Y57">
        <v>30.1</v>
      </c>
      <c r="Z57">
        <v>270203917</v>
      </c>
      <c r="AA57">
        <v>-0.78927499999999995</v>
      </c>
      <c r="AB57">
        <v>113.92132700000001</v>
      </c>
    </row>
    <row r="58" spans="1:28" hidden="1">
      <c r="A58">
        <v>57</v>
      </c>
      <c r="B58">
        <v>25300</v>
      </c>
      <c r="C58" t="s">
        <v>54</v>
      </c>
      <c r="D58" t="s">
        <v>256</v>
      </c>
      <c r="E58">
        <v>78</v>
      </c>
      <c r="F58" t="str">
        <f t="shared" si="5"/>
        <v>70-80</v>
      </c>
      <c r="G58" t="s">
        <v>38</v>
      </c>
      <c r="H58" t="s">
        <v>257</v>
      </c>
      <c r="I58" t="s">
        <v>258</v>
      </c>
      <c r="J58" t="s">
        <v>54</v>
      </c>
      <c r="K58" t="s">
        <v>38</v>
      </c>
      <c r="M58" t="b">
        <v>1</v>
      </c>
      <c r="N58" t="s">
        <v>32</v>
      </c>
      <c r="O58" t="s">
        <v>33</v>
      </c>
      <c r="Q58">
        <v>117.24</v>
      </c>
      <c r="R58">
        <v>7.5</v>
      </c>
      <c r="S58" t="s">
        <v>44</v>
      </c>
      <c r="T58">
        <v>88.2</v>
      </c>
      <c r="V58">
        <v>101.8</v>
      </c>
      <c r="W58">
        <v>78.5</v>
      </c>
      <c r="X58">
        <v>9.6</v>
      </c>
      <c r="Y58">
        <v>36.6</v>
      </c>
      <c r="Z58">
        <v>328239523</v>
      </c>
      <c r="AA58">
        <v>37.090240000000001</v>
      </c>
      <c r="AB58">
        <v>-95.712890999999999</v>
      </c>
    </row>
    <row r="59" spans="1:28" hidden="1">
      <c r="A59">
        <v>58</v>
      </c>
      <c r="B59">
        <v>25200</v>
      </c>
      <c r="C59" t="s">
        <v>236</v>
      </c>
      <c r="D59" t="s">
        <v>259</v>
      </c>
      <c r="E59">
        <v>51</v>
      </c>
      <c r="F59" t="str">
        <f t="shared" si="5"/>
        <v>50-60</v>
      </c>
      <c r="G59" t="s">
        <v>260</v>
      </c>
      <c r="H59" t="s">
        <v>261</v>
      </c>
      <c r="I59" t="s">
        <v>262</v>
      </c>
      <c r="J59" t="s">
        <v>236</v>
      </c>
      <c r="K59" t="s">
        <v>263</v>
      </c>
      <c r="M59" t="b">
        <v>1</v>
      </c>
      <c r="N59" t="s">
        <v>32</v>
      </c>
      <c r="O59" t="s">
        <v>33</v>
      </c>
      <c r="Q59">
        <v>114.52</v>
      </c>
      <c r="R59">
        <v>-1.9</v>
      </c>
      <c r="S59" t="s">
        <v>264</v>
      </c>
      <c r="T59">
        <v>36.799999999999997</v>
      </c>
      <c r="V59">
        <v>108.4</v>
      </c>
      <c r="W59">
        <v>77.8</v>
      </c>
      <c r="X59">
        <v>0.1</v>
      </c>
      <c r="Y59">
        <v>15.9</v>
      </c>
      <c r="Z59">
        <v>9770529</v>
      </c>
      <c r="AA59">
        <v>23.424075999999999</v>
      </c>
      <c r="AB59">
        <v>53.847817999999997</v>
      </c>
    </row>
    <row r="60" spans="1:28" hidden="1">
      <c r="A60">
        <v>59</v>
      </c>
      <c r="B60">
        <v>24600</v>
      </c>
      <c r="C60" t="s">
        <v>36</v>
      </c>
      <c r="D60" t="s">
        <v>265</v>
      </c>
      <c r="E60">
        <v>56</v>
      </c>
      <c r="F60" t="str">
        <f t="shared" si="5"/>
        <v>50-60</v>
      </c>
      <c r="G60" t="s">
        <v>148</v>
      </c>
      <c r="H60" t="s">
        <v>266</v>
      </c>
      <c r="I60" t="s">
        <v>267</v>
      </c>
      <c r="J60" t="s">
        <v>36</v>
      </c>
      <c r="K60" t="s">
        <v>148</v>
      </c>
      <c r="M60" t="b">
        <v>0</v>
      </c>
      <c r="N60" t="s">
        <v>32</v>
      </c>
      <c r="O60" t="s">
        <v>33</v>
      </c>
      <c r="Q60">
        <v>112.85</v>
      </c>
      <c r="R60">
        <v>1.4</v>
      </c>
      <c r="S60" t="s">
        <v>151</v>
      </c>
      <c r="T60">
        <v>70.2</v>
      </c>
      <c r="V60">
        <v>104</v>
      </c>
      <c r="W60">
        <v>80.900000000000006</v>
      </c>
      <c r="X60">
        <v>11.5</v>
      </c>
      <c r="Y60">
        <v>48.8</v>
      </c>
      <c r="Z60">
        <v>83132799</v>
      </c>
      <c r="AA60">
        <v>51.165691000000002</v>
      </c>
      <c r="AB60">
        <v>10.451525999999999</v>
      </c>
    </row>
    <row r="61" spans="1:28" hidden="1">
      <c r="A61">
        <v>60</v>
      </c>
      <c r="B61">
        <v>24400</v>
      </c>
      <c r="C61" t="s">
        <v>45</v>
      </c>
      <c r="D61" t="s">
        <v>268</v>
      </c>
      <c r="E61">
        <v>52</v>
      </c>
      <c r="F61" t="str">
        <f t="shared" si="5"/>
        <v>50-60</v>
      </c>
      <c r="G61" t="s">
        <v>38</v>
      </c>
      <c r="H61" t="s">
        <v>269</v>
      </c>
      <c r="I61" t="s">
        <v>48</v>
      </c>
      <c r="J61" t="s">
        <v>45</v>
      </c>
      <c r="K61" t="s">
        <v>38</v>
      </c>
      <c r="M61" t="b">
        <v>0</v>
      </c>
      <c r="N61" t="s">
        <v>42</v>
      </c>
      <c r="O61" t="s">
        <v>88</v>
      </c>
      <c r="P61" t="s">
        <v>125</v>
      </c>
      <c r="Q61">
        <v>117.24</v>
      </c>
      <c r="R61">
        <v>7.5</v>
      </c>
      <c r="S61" t="s">
        <v>44</v>
      </c>
      <c r="T61">
        <v>88.2</v>
      </c>
      <c r="V61">
        <v>101.8</v>
      </c>
      <c r="W61">
        <v>78.5</v>
      </c>
      <c r="X61">
        <v>9.6</v>
      </c>
      <c r="Y61">
        <v>36.6</v>
      </c>
      <c r="Z61">
        <v>328239523</v>
      </c>
      <c r="AA61">
        <v>37.090240000000001</v>
      </c>
      <c r="AB61">
        <v>-95.712890999999999</v>
      </c>
    </row>
    <row r="62" spans="1:28" hidden="1">
      <c r="A62">
        <v>61</v>
      </c>
      <c r="B62">
        <v>24200</v>
      </c>
      <c r="C62" t="s">
        <v>54</v>
      </c>
      <c r="D62" t="s">
        <v>270</v>
      </c>
      <c r="E62">
        <v>82</v>
      </c>
      <c r="F62" t="str">
        <f t="shared" si="5"/>
        <v>80-90</v>
      </c>
      <c r="G62" t="s">
        <v>252</v>
      </c>
      <c r="H62" t="s">
        <v>271</v>
      </c>
      <c r="I62" t="s">
        <v>272</v>
      </c>
      <c r="J62" t="s">
        <v>54</v>
      </c>
      <c r="K62" t="s">
        <v>252</v>
      </c>
      <c r="M62" t="b">
        <v>0</v>
      </c>
      <c r="N62" t="s">
        <v>32</v>
      </c>
      <c r="O62" t="s">
        <v>33</v>
      </c>
      <c r="Q62">
        <v>151.18</v>
      </c>
      <c r="R62">
        <v>3</v>
      </c>
      <c r="S62" t="s">
        <v>255</v>
      </c>
      <c r="T62">
        <v>36.299999999999997</v>
      </c>
      <c r="V62">
        <v>106.4</v>
      </c>
      <c r="W62">
        <v>71.5</v>
      </c>
      <c r="X62">
        <v>10.199999999999999</v>
      </c>
      <c r="Y62">
        <v>30.1</v>
      </c>
      <c r="Z62">
        <v>270203917</v>
      </c>
      <c r="AA62">
        <v>-0.78927499999999995</v>
      </c>
      <c r="AB62">
        <v>113.92132700000001</v>
      </c>
    </row>
    <row r="63" spans="1:28" hidden="1">
      <c r="A63">
        <v>62</v>
      </c>
      <c r="B63">
        <v>23700</v>
      </c>
      <c r="C63" t="s">
        <v>236</v>
      </c>
      <c r="D63" t="s">
        <v>273</v>
      </c>
      <c r="E63">
        <v>62</v>
      </c>
      <c r="F63" t="str">
        <f t="shared" si="5"/>
        <v>60-70</v>
      </c>
      <c r="G63" t="s">
        <v>263</v>
      </c>
      <c r="H63" t="s">
        <v>274</v>
      </c>
      <c r="I63" t="s">
        <v>275</v>
      </c>
      <c r="J63" t="s">
        <v>236</v>
      </c>
      <c r="K63" t="s">
        <v>263</v>
      </c>
      <c r="M63" t="b">
        <v>1</v>
      </c>
      <c r="N63" t="s">
        <v>32</v>
      </c>
      <c r="O63" t="s">
        <v>33</v>
      </c>
      <c r="Q63">
        <v>180.75</v>
      </c>
      <c r="R63">
        <v>4.5</v>
      </c>
      <c r="S63" t="s">
        <v>276</v>
      </c>
      <c r="T63">
        <v>81.900000000000006</v>
      </c>
      <c r="V63">
        <v>102.6</v>
      </c>
      <c r="W63">
        <v>72.7</v>
      </c>
      <c r="X63">
        <v>11.4</v>
      </c>
      <c r="Y63">
        <v>46.2</v>
      </c>
      <c r="Z63">
        <v>144373535</v>
      </c>
      <c r="AA63">
        <v>61.524009999999997</v>
      </c>
      <c r="AB63">
        <v>105.31875599999999</v>
      </c>
    </row>
    <row r="64" spans="1:28" hidden="1">
      <c r="A64">
        <v>63</v>
      </c>
      <c r="B64">
        <v>23500</v>
      </c>
      <c r="C64" t="s">
        <v>45</v>
      </c>
      <c r="D64" t="s">
        <v>277</v>
      </c>
      <c r="E64">
        <v>58</v>
      </c>
      <c r="F64" t="str">
        <f t="shared" si="5"/>
        <v>50-60</v>
      </c>
      <c r="G64" t="s">
        <v>103</v>
      </c>
      <c r="H64" t="s">
        <v>104</v>
      </c>
      <c r="I64" t="s">
        <v>216</v>
      </c>
      <c r="J64" t="s">
        <v>45</v>
      </c>
      <c r="K64" t="s">
        <v>103</v>
      </c>
      <c r="M64" t="b">
        <v>1</v>
      </c>
      <c r="N64" t="s">
        <v>32</v>
      </c>
      <c r="O64" t="s">
        <v>33</v>
      </c>
      <c r="Q64">
        <v>125.08</v>
      </c>
      <c r="R64">
        <v>2.9</v>
      </c>
      <c r="S64" t="s">
        <v>106</v>
      </c>
      <c r="T64">
        <v>50.6</v>
      </c>
      <c r="V64">
        <v>100.2</v>
      </c>
      <c r="W64">
        <v>77</v>
      </c>
      <c r="X64">
        <v>9.4</v>
      </c>
      <c r="Y64">
        <v>59.2</v>
      </c>
      <c r="Z64">
        <v>1397715000</v>
      </c>
      <c r="AA64">
        <v>35.861660000000001</v>
      </c>
      <c r="AB64">
        <v>104.195397</v>
      </c>
    </row>
    <row r="65" spans="1:28" hidden="1">
      <c r="A65">
        <v>64</v>
      </c>
      <c r="B65">
        <v>23400</v>
      </c>
      <c r="C65" t="s">
        <v>217</v>
      </c>
      <c r="D65" t="s">
        <v>278</v>
      </c>
      <c r="E65">
        <v>80</v>
      </c>
      <c r="F65" t="str">
        <f t="shared" si="5"/>
        <v>80-90</v>
      </c>
      <c r="G65" t="s">
        <v>103</v>
      </c>
      <c r="H65" t="s">
        <v>279</v>
      </c>
      <c r="I65" t="s">
        <v>280</v>
      </c>
      <c r="J65" t="s">
        <v>217</v>
      </c>
      <c r="K65" t="s">
        <v>103</v>
      </c>
      <c r="M65" t="b">
        <v>1</v>
      </c>
      <c r="N65" t="s">
        <v>42</v>
      </c>
      <c r="O65" t="s">
        <v>33</v>
      </c>
      <c r="Q65">
        <v>125.08</v>
      </c>
      <c r="R65">
        <v>2.9</v>
      </c>
      <c r="S65" t="s">
        <v>106</v>
      </c>
      <c r="T65">
        <v>50.6</v>
      </c>
      <c r="V65">
        <v>100.2</v>
      </c>
      <c r="W65">
        <v>77</v>
      </c>
      <c r="X65">
        <v>9.4</v>
      </c>
      <c r="Y65">
        <v>59.2</v>
      </c>
      <c r="Z65">
        <v>1397715000</v>
      </c>
      <c r="AA65">
        <v>35.861660000000001</v>
      </c>
      <c r="AB65">
        <v>104.195397</v>
      </c>
    </row>
    <row r="66" spans="1:28" hidden="1">
      <c r="A66">
        <v>65</v>
      </c>
      <c r="B66">
        <v>23100</v>
      </c>
      <c r="C66" t="s">
        <v>236</v>
      </c>
      <c r="D66" t="s">
        <v>281</v>
      </c>
      <c r="E66">
        <v>80</v>
      </c>
      <c r="F66" t="str">
        <f t="shared" ref="F66:F97" si="7">IF(E66&gt;=90,"90-100",IF(E66&gt;=80,"80-90",IF(E66&gt;=70,"70-80",IF(E66&gt;=60,"60-70",IF(E66&gt;=50,"50-60",IF(E66&gt;=40,"40-50",IF(E66&gt;=30,"30-40","20-30")))))))</f>
        <v>80-90</v>
      </c>
      <c r="G66" t="s">
        <v>282</v>
      </c>
      <c r="H66" t="s">
        <v>283</v>
      </c>
      <c r="I66" t="s">
        <v>240</v>
      </c>
      <c r="J66" t="s">
        <v>236</v>
      </c>
      <c r="K66" t="s">
        <v>282</v>
      </c>
      <c r="M66" t="b">
        <v>0</v>
      </c>
      <c r="N66" t="s">
        <v>32</v>
      </c>
      <c r="O66" t="s">
        <v>88</v>
      </c>
      <c r="Q66">
        <v>131.91</v>
      </c>
      <c r="R66">
        <v>2.6</v>
      </c>
      <c r="S66" t="s">
        <v>284</v>
      </c>
      <c r="T66">
        <v>88.5</v>
      </c>
      <c r="V66">
        <v>101.4</v>
      </c>
      <c r="W66">
        <v>80</v>
      </c>
      <c r="X66">
        <v>18.2</v>
      </c>
      <c r="Y66">
        <v>34</v>
      </c>
      <c r="Z66">
        <v>18952038</v>
      </c>
      <c r="AA66">
        <v>-35.675147000000003</v>
      </c>
      <c r="AB66">
        <v>-71.542968999999999</v>
      </c>
    </row>
    <row r="67" spans="1:28" hidden="1">
      <c r="A67">
        <v>65</v>
      </c>
      <c r="B67">
        <v>23100</v>
      </c>
      <c r="C67" t="s">
        <v>217</v>
      </c>
      <c r="D67" t="s">
        <v>285</v>
      </c>
      <c r="E67">
        <v>83</v>
      </c>
      <c r="F67" t="str">
        <f t="shared" si="7"/>
        <v>80-90</v>
      </c>
      <c r="G67" t="s">
        <v>252</v>
      </c>
      <c r="H67" t="s">
        <v>271</v>
      </c>
      <c r="I67" t="s">
        <v>272</v>
      </c>
      <c r="J67" t="s">
        <v>217</v>
      </c>
      <c r="K67" t="s">
        <v>252</v>
      </c>
      <c r="M67" t="b">
        <v>0</v>
      </c>
      <c r="N67" t="s">
        <v>32</v>
      </c>
      <c r="O67" t="s">
        <v>33</v>
      </c>
      <c r="Q67">
        <v>151.18</v>
      </c>
      <c r="R67">
        <v>3</v>
      </c>
      <c r="S67" t="s">
        <v>255</v>
      </c>
      <c r="T67">
        <v>36.299999999999997</v>
      </c>
      <c r="V67">
        <v>106.4</v>
      </c>
      <c r="W67">
        <v>71.5</v>
      </c>
      <c r="X67">
        <v>10.199999999999999</v>
      </c>
      <c r="Y67">
        <v>30.1</v>
      </c>
      <c r="Z67">
        <v>270203917</v>
      </c>
      <c r="AA67">
        <v>-0.78927499999999995</v>
      </c>
      <c r="AB67">
        <v>113.92132700000001</v>
      </c>
    </row>
    <row r="68" spans="1:28" hidden="1">
      <c r="A68">
        <v>67</v>
      </c>
      <c r="B68">
        <v>22900</v>
      </c>
      <c r="C68" t="s">
        <v>217</v>
      </c>
      <c r="D68" t="s">
        <v>286</v>
      </c>
      <c r="E68">
        <v>70</v>
      </c>
      <c r="F68" t="str">
        <f t="shared" si="7"/>
        <v>70-80</v>
      </c>
      <c r="G68" t="s">
        <v>203</v>
      </c>
      <c r="H68" t="s">
        <v>204</v>
      </c>
      <c r="I68" t="s">
        <v>287</v>
      </c>
      <c r="J68" t="s">
        <v>217</v>
      </c>
      <c r="K68" t="s">
        <v>203</v>
      </c>
      <c r="M68" t="b">
        <v>1</v>
      </c>
      <c r="N68" t="s">
        <v>32</v>
      </c>
      <c r="O68" t="s">
        <v>33</v>
      </c>
      <c r="Q68">
        <v>119.62</v>
      </c>
      <c r="R68">
        <v>1.7</v>
      </c>
      <c r="S68" t="s">
        <v>206</v>
      </c>
      <c r="T68">
        <v>60</v>
      </c>
      <c r="V68">
        <v>101.2</v>
      </c>
      <c r="W68">
        <v>81.3</v>
      </c>
      <c r="X68">
        <v>25.5</v>
      </c>
      <c r="Y68">
        <v>30.6</v>
      </c>
      <c r="Z68">
        <v>66834405</v>
      </c>
      <c r="AA68">
        <v>55.378050999999999</v>
      </c>
      <c r="AB68">
        <v>-3.4359730000000002</v>
      </c>
    </row>
    <row r="69" spans="1:28" hidden="1">
      <c r="A69">
        <v>68</v>
      </c>
      <c r="B69">
        <v>22600</v>
      </c>
      <c r="C69" t="s">
        <v>288</v>
      </c>
      <c r="D69" t="s">
        <v>289</v>
      </c>
      <c r="E69">
        <v>81</v>
      </c>
      <c r="F69" t="str">
        <f t="shared" si="7"/>
        <v>80-90</v>
      </c>
      <c r="G69" t="s">
        <v>77</v>
      </c>
      <c r="H69" t="s">
        <v>290</v>
      </c>
      <c r="I69" t="s">
        <v>291</v>
      </c>
      <c r="J69" t="s">
        <v>288</v>
      </c>
      <c r="K69" t="s">
        <v>77</v>
      </c>
      <c r="M69" t="b">
        <v>0</v>
      </c>
      <c r="N69" t="s">
        <v>42</v>
      </c>
      <c r="O69" t="s">
        <v>33</v>
      </c>
      <c r="Q69">
        <v>180.44</v>
      </c>
      <c r="R69">
        <v>7.7</v>
      </c>
      <c r="S69" t="s">
        <v>81</v>
      </c>
      <c r="T69">
        <v>28.1</v>
      </c>
      <c r="V69">
        <v>113</v>
      </c>
      <c r="W69">
        <v>69.400000000000006</v>
      </c>
      <c r="X69">
        <v>11.2</v>
      </c>
      <c r="Y69">
        <v>49.7</v>
      </c>
      <c r="Z69">
        <v>1366417754</v>
      </c>
      <c r="AA69">
        <v>20.593684</v>
      </c>
      <c r="AB69">
        <v>78.962879999999998</v>
      </c>
    </row>
    <row r="70" spans="1:28">
      <c r="A70">
        <v>69</v>
      </c>
      <c r="B70">
        <v>22400</v>
      </c>
      <c r="C70" t="s">
        <v>68</v>
      </c>
      <c r="D70" t="s">
        <v>292</v>
      </c>
      <c r="E70">
        <v>65</v>
      </c>
      <c r="F70" t="str">
        <f t="shared" si="7"/>
        <v>60-70</v>
      </c>
      <c r="G70" t="s">
        <v>198</v>
      </c>
      <c r="H70" t="s">
        <v>199</v>
      </c>
      <c r="I70" t="s">
        <v>293</v>
      </c>
      <c r="J70" t="s">
        <v>68</v>
      </c>
      <c r="K70" t="s">
        <v>198</v>
      </c>
      <c r="L70" t="s">
        <v>294</v>
      </c>
      <c r="M70" t="b">
        <v>1</v>
      </c>
      <c r="N70" t="s">
        <v>32</v>
      </c>
      <c r="O70" t="s">
        <v>4867</v>
      </c>
      <c r="P70" t="s">
        <v>43</v>
      </c>
      <c r="Q70">
        <v>105.48</v>
      </c>
      <c r="R70">
        <v>0.5</v>
      </c>
      <c r="S70" t="s">
        <v>201</v>
      </c>
      <c r="T70">
        <v>63.2</v>
      </c>
      <c r="U70" t="str">
        <f>IF(T70&gt;=100,"above 100",IF(T70&gt;=80,"80-100",IF(T70&gt;=60,"60-80",IF(T70&gt;=40,"40-60",IF(T70&gt;=20,"20-60","0-20")))))</f>
        <v>60-80</v>
      </c>
      <c r="V70">
        <v>98.8</v>
      </c>
      <c r="W70">
        <v>84.2</v>
      </c>
      <c r="X70">
        <v>11.9</v>
      </c>
      <c r="Y70">
        <v>46.7</v>
      </c>
      <c r="Z70">
        <v>126226568</v>
      </c>
      <c r="AA70">
        <v>36.204824000000002</v>
      </c>
      <c r="AB70">
        <v>138.25292400000001</v>
      </c>
    </row>
    <row r="71" spans="1:28" hidden="1">
      <c r="A71">
        <v>70</v>
      </c>
      <c r="B71">
        <v>22100</v>
      </c>
      <c r="C71" t="s">
        <v>236</v>
      </c>
      <c r="D71" t="s">
        <v>295</v>
      </c>
      <c r="E71">
        <v>66</v>
      </c>
      <c r="F71" t="str">
        <f t="shared" si="7"/>
        <v>60-70</v>
      </c>
      <c r="G71" t="s">
        <v>263</v>
      </c>
      <c r="H71" t="s">
        <v>274</v>
      </c>
      <c r="I71" t="s">
        <v>296</v>
      </c>
      <c r="J71" t="s">
        <v>236</v>
      </c>
      <c r="K71" t="s">
        <v>263</v>
      </c>
      <c r="M71" t="b">
        <v>1</v>
      </c>
      <c r="N71" t="s">
        <v>32</v>
      </c>
      <c r="O71" t="s">
        <v>33</v>
      </c>
      <c r="Q71">
        <v>180.75</v>
      </c>
      <c r="R71">
        <v>4.5</v>
      </c>
      <c r="S71" t="s">
        <v>276</v>
      </c>
      <c r="T71">
        <v>81.900000000000006</v>
      </c>
      <c r="V71">
        <v>102.6</v>
      </c>
      <c r="W71">
        <v>72.7</v>
      </c>
      <c r="X71">
        <v>11.4</v>
      </c>
      <c r="Y71">
        <v>46.2</v>
      </c>
      <c r="Z71">
        <v>144373535</v>
      </c>
      <c r="AA71">
        <v>61.524009999999997</v>
      </c>
      <c r="AB71">
        <v>105.31875599999999</v>
      </c>
    </row>
    <row r="72" spans="1:28" hidden="1">
      <c r="A72">
        <v>71</v>
      </c>
      <c r="B72">
        <v>22000</v>
      </c>
      <c r="C72" t="s">
        <v>101</v>
      </c>
      <c r="D72" t="s">
        <v>297</v>
      </c>
      <c r="E72">
        <v>52</v>
      </c>
      <c r="F72" t="str">
        <f t="shared" si="7"/>
        <v>50-60</v>
      </c>
      <c r="G72" t="s">
        <v>28</v>
      </c>
      <c r="H72" t="s">
        <v>298</v>
      </c>
      <c r="I72" t="s">
        <v>299</v>
      </c>
      <c r="J72" t="s">
        <v>101</v>
      </c>
      <c r="K72" t="s">
        <v>28</v>
      </c>
      <c r="M72" t="b">
        <v>0</v>
      </c>
      <c r="N72" t="s">
        <v>42</v>
      </c>
      <c r="O72" t="s">
        <v>33</v>
      </c>
      <c r="Q72">
        <v>110.05</v>
      </c>
      <c r="R72">
        <v>1.1000000000000001</v>
      </c>
      <c r="S72" t="s">
        <v>35</v>
      </c>
      <c r="T72">
        <v>65.599999999999994</v>
      </c>
      <c r="V72">
        <v>102.5</v>
      </c>
      <c r="W72">
        <v>82.5</v>
      </c>
      <c r="X72">
        <v>24.2</v>
      </c>
      <c r="Y72">
        <v>60.7</v>
      </c>
      <c r="Z72">
        <v>67059887</v>
      </c>
      <c r="AA72">
        <v>46.227637999999999</v>
      </c>
      <c r="AB72">
        <v>2.213749</v>
      </c>
    </row>
    <row r="73" spans="1:28">
      <c r="A73">
        <v>72</v>
      </c>
      <c r="B73">
        <v>21600</v>
      </c>
      <c r="C73" t="s">
        <v>54</v>
      </c>
      <c r="D73" t="s">
        <v>300</v>
      </c>
      <c r="E73">
        <v>61</v>
      </c>
      <c r="F73" t="str">
        <f t="shared" si="7"/>
        <v>60-70</v>
      </c>
      <c r="G73" t="s">
        <v>38</v>
      </c>
      <c r="H73" t="s">
        <v>301</v>
      </c>
      <c r="I73" t="s">
        <v>302</v>
      </c>
      <c r="J73" t="s">
        <v>54</v>
      </c>
      <c r="K73" t="s">
        <v>38</v>
      </c>
      <c r="L73" t="s">
        <v>303</v>
      </c>
      <c r="M73" t="b">
        <v>0</v>
      </c>
      <c r="N73" t="s">
        <v>32</v>
      </c>
      <c r="O73" t="s">
        <v>4866</v>
      </c>
      <c r="P73" t="s">
        <v>43</v>
      </c>
      <c r="Q73">
        <v>117.24</v>
      </c>
      <c r="R73">
        <v>7.5</v>
      </c>
      <c r="S73" t="s">
        <v>44</v>
      </c>
      <c r="T73">
        <v>88.2</v>
      </c>
      <c r="U73" t="str">
        <f>IF(T73&gt;=100,"above 100",IF(T73&gt;=80,"80-100",IF(T73&gt;=60,"60-80",IF(T73&gt;=40,"40-60",IF(T73&gt;=20,"20-60","0-20")))))</f>
        <v>80-100</v>
      </c>
      <c r="V73">
        <v>101.8</v>
      </c>
      <c r="W73">
        <v>78.5</v>
      </c>
      <c r="X73">
        <v>9.6</v>
      </c>
      <c r="Y73">
        <v>36.6</v>
      </c>
      <c r="Z73">
        <v>328239523</v>
      </c>
      <c r="AA73">
        <v>37.090240000000001</v>
      </c>
      <c r="AB73">
        <v>-95.712890999999999</v>
      </c>
    </row>
    <row r="74" spans="1:28" hidden="1">
      <c r="A74">
        <v>72</v>
      </c>
      <c r="B74">
        <v>21600</v>
      </c>
      <c r="C74" t="s">
        <v>250</v>
      </c>
      <c r="D74" t="s">
        <v>304</v>
      </c>
      <c r="E74">
        <v>67</v>
      </c>
      <c r="F74" t="str">
        <f t="shared" si="7"/>
        <v>60-70</v>
      </c>
      <c r="G74" t="s">
        <v>263</v>
      </c>
      <c r="H74" t="s">
        <v>274</v>
      </c>
      <c r="I74" t="s">
        <v>305</v>
      </c>
      <c r="J74" t="s">
        <v>250</v>
      </c>
      <c r="K74" t="s">
        <v>263</v>
      </c>
      <c r="M74" t="b">
        <v>1</v>
      </c>
      <c r="N74" t="s">
        <v>32</v>
      </c>
      <c r="O74" t="s">
        <v>33</v>
      </c>
      <c r="Q74">
        <v>180.75</v>
      </c>
      <c r="R74">
        <v>4.5</v>
      </c>
      <c r="S74" t="s">
        <v>276</v>
      </c>
      <c r="T74">
        <v>81.900000000000006</v>
      </c>
      <c r="V74">
        <v>102.6</v>
      </c>
      <c r="W74">
        <v>72.7</v>
      </c>
      <c r="X74">
        <v>11.4</v>
      </c>
      <c r="Y74">
        <v>46.2</v>
      </c>
      <c r="Z74">
        <v>144373535</v>
      </c>
      <c r="AA74">
        <v>61.524009999999997</v>
      </c>
      <c r="AB74">
        <v>105.31875599999999</v>
      </c>
    </row>
    <row r="75" spans="1:28" hidden="1">
      <c r="A75">
        <v>74</v>
      </c>
      <c r="B75">
        <v>21200</v>
      </c>
      <c r="C75" t="s">
        <v>26</v>
      </c>
      <c r="D75" t="s">
        <v>306</v>
      </c>
      <c r="E75">
        <v>36</v>
      </c>
      <c r="F75" t="str">
        <f t="shared" si="7"/>
        <v>30-40</v>
      </c>
      <c r="G75" t="s">
        <v>38</v>
      </c>
      <c r="H75" t="s">
        <v>307</v>
      </c>
      <c r="I75" t="s">
        <v>118</v>
      </c>
      <c r="J75" t="s">
        <v>26</v>
      </c>
      <c r="K75" t="s">
        <v>38</v>
      </c>
      <c r="M75" t="b">
        <v>0</v>
      </c>
      <c r="N75" t="s">
        <v>32</v>
      </c>
      <c r="O75" t="s">
        <v>33</v>
      </c>
      <c r="Q75">
        <v>117.24</v>
      </c>
      <c r="R75">
        <v>7.5</v>
      </c>
      <c r="S75" t="s">
        <v>44</v>
      </c>
      <c r="T75">
        <v>88.2</v>
      </c>
      <c r="V75">
        <v>101.8</v>
      </c>
      <c r="W75">
        <v>78.5</v>
      </c>
      <c r="X75">
        <v>9.6</v>
      </c>
      <c r="Y75">
        <v>36.6</v>
      </c>
      <c r="Z75">
        <v>328239523</v>
      </c>
      <c r="AA75">
        <v>37.090240000000001</v>
      </c>
      <c r="AB75">
        <v>-95.712890999999999</v>
      </c>
    </row>
    <row r="76" spans="1:28" hidden="1">
      <c r="A76">
        <v>74</v>
      </c>
      <c r="B76">
        <v>21200</v>
      </c>
      <c r="C76" t="s">
        <v>308</v>
      </c>
      <c r="D76" t="s">
        <v>309</v>
      </c>
      <c r="E76">
        <v>52</v>
      </c>
      <c r="F76" t="str">
        <f t="shared" si="7"/>
        <v>50-60</v>
      </c>
      <c r="G76" t="s">
        <v>103</v>
      </c>
      <c r="H76" t="s">
        <v>176</v>
      </c>
      <c r="I76" t="s">
        <v>310</v>
      </c>
      <c r="J76" t="s">
        <v>308</v>
      </c>
      <c r="K76" t="s">
        <v>103</v>
      </c>
      <c r="M76" t="b">
        <v>1</v>
      </c>
      <c r="N76" t="s">
        <v>42</v>
      </c>
      <c r="O76" t="s">
        <v>33</v>
      </c>
      <c r="Q76">
        <v>125.08</v>
      </c>
      <c r="R76">
        <v>2.9</v>
      </c>
      <c r="S76" t="s">
        <v>106</v>
      </c>
      <c r="T76">
        <v>50.6</v>
      </c>
      <c r="V76">
        <v>100.2</v>
      </c>
      <c r="W76">
        <v>77</v>
      </c>
      <c r="X76">
        <v>9.4</v>
      </c>
      <c r="Y76">
        <v>59.2</v>
      </c>
      <c r="Z76">
        <v>1397715000</v>
      </c>
      <c r="AA76">
        <v>35.861660000000001</v>
      </c>
      <c r="AB76">
        <v>104.195397</v>
      </c>
    </row>
    <row r="77" spans="1:28">
      <c r="A77">
        <v>76</v>
      </c>
      <c r="B77">
        <v>21100</v>
      </c>
      <c r="C77" t="s">
        <v>45</v>
      </c>
      <c r="D77" t="s">
        <v>311</v>
      </c>
      <c r="E77">
        <v>60</v>
      </c>
      <c r="F77" t="str">
        <f t="shared" si="7"/>
        <v>60-70</v>
      </c>
      <c r="G77" t="s">
        <v>38</v>
      </c>
      <c r="H77" t="s">
        <v>100</v>
      </c>
      <c r="I77" t="s">
        <v>312</v>
      </c>
      <c r="J77" t="s">
        <v>45</v>
      </c>
      <c r="K77" t="s">
        <v>38</v>
      </c>
      <c r="L77" t="s">
        <v>313</v>
      </c>
      <c r="M77" t="b">
        <v>1</v>
      </c>
      <c r="N77" t="s">
        <v>32</v>
      </c>
      <c r="O77" t="s">
        <v>4867</v>
      </c>
      <c r="P77" t="s">
        <v>314</v>
      </c>
      <c r="Q77">
        <v>117.24</v>
      </c>
      <c r="R77">
        <v>7.5</v>
      </c>
      <c r="S77" t="s">
        <v>44</v>
      </c>
      <c r="T77">
        <v>88.2</v>
      </c>
      <c r="U77" t="str">
        <f t="shared" ref="U77:U78" si="8">IF(T77&gt;=100,"above 100",IF(T77&gt;=80,"80-100",IF(T77&gt;=60,"60-80",IF(T77&gt;=40,"40-60",IF(T77&gt;=20,"20-60","0-20")))))</f>
        <v>80-100</v>
      </c>
      <c r="V77">
        <v>101.8</v>
      </c>
      <c r="W77">
        <v>78.5</v>
      </c>
      <c r="X77">
        <v>9.6</v>
      </c>
      <c r="Y77">
        <v>36.6</v>
      </c>
      <c r="Z77">
        <v>328239523</v>
      </c>
      <c r="AA77">
        <v>37.090240000000001</v>
      </c>
      <c r="AB77">
        <v>-95.712890999999999</v>
      </c>
    </row>
    <row r="78" spans="1:28">
      <c r="A78">
        <v>77</v>
      </c>
      <c r="B78">
        <v>21000</v>
      </c>
      <c r="C78" t="s">
        <v>26</v>
      </c>
      <c r="D78" t="s">
        <v>315</v>
      </c>
      <c r="E78">
        <v>90</v>
      </c>
      <c r="F78" t="str">
        <f t="shared" si="7"/>
        <v>90-100</v>
      </c>
      <c r="G78" t="s">
        <v>38</v>
      </c>
      <c r="H78" t="s">
        <v>65</v>
      </c>
      <c r="I78" t="s">
        <v>316</v>
      </c>
      <c r="J78" t="s">
        <v>26</v>
      </c>
      <c r="K78" t="s">
        <v>38</v>
      </c>
      <c r="L78" t="s">
        <v>317</v>
      </c>
      <c r="M78" t="b">
        <v>0</v>
      </c>
      <c r="N78" t="s">
        <v>42</v>
      </c>
      <c r="O78" t="s">
        <v>4867</v>
      </c>
      <c r="P78" t="s">
        <v>318</v>
      </c>
      <c r="Q78">
        <v>117.24</v>
      </c>
      <c r="R78">
        <v>7.5</v>
      </c>
      <c r="S78" t="s">
        <v>44</v>
      </c>
      <c r="T78">
        <v>88.2</v>
      </c>
      <c r="U78" t="str">
        <f t="shared" si="8"/>
        <v>80-100</v>
      </c>
      <c r="V78">
        <v>101.8</v>
      </c>
      <c r="W78">
        <v>78.5</v>
      </c>
      <c r="X78">
        <v>9.6</v>
      </c>
      <c r="Y78">
        <v>36.6</v>
      </c>
      <c r="Z78">
        <v>328239523</v>
      </c>
      <c r="AA78">
        <v>37.090240000000001</v>
      </c>
      <c r="AB78">
        <v>-95.712890999999999</v>
      </c>
    </row>
    <row r="79" spans="1:28" hidden="1">
      <c r="A79">
        <v>77</v>
      </c>
      <c r="B79">
        <v>21000</v>
      </c>
      <c r="C79" t="s">
        <v>217</v>
      </c>
      <c r="D79" t="s">
        <v>319</v>
      </c>
      <c r="E79">
        <v>77</v>
      </c>
      <c r="F79" t="str">
        <f t="shared" si="7"/>
        <v>70-80</v>
      </c>
      <c r="G79" t="s">
        <v>198</v>
      </c>
      <c r="H79" t="s">
        <v>320</v>
      </c>
      <c r="I79" t="s">
        <v>321</v>
      </c>
      <c r="J79" t="s">
        <v>217</v>
      </c>
      <c r="K79" t="s">
        <v>198</v>
      </c>
      <c r="M79" t="b">
        <v>1</v>
      </c>
      <c r="N79" t="s">
        <v>42</v>
      </c>
      <c r="O79" t="s">
        <v>33</v>
      </c>
      <c r="Q79">
        <v>105.48</v>
      </c>
      <c r="R79">
        <v>0.5</v>
      </c>
      <c r="S79" t="s">
        <v>201</v>
      </c>
      <c r="T79">
        <v>63.2</v>
      </c>
      <c r="V79">
        <v>98.8</v>
      </c>
      <c r="W79">
        <v>84.2</v>
      </c>
      <c r="X79">
        <v>11.9</v>
      </c>
      <c r="Y79">
        <v>46.7</v>
      </c>
      <c r="Z79">
        <v>126226568</v>
      </c>
      <c r="AA79">
        <v>36.204824000000002</v>
      </c>
      <c r="AB79">
        <v>138.25292400000001</v>
      </c>
    </row>
    <row r="80" spans="1:28" hidden="1">
      <c r="A80">
        <v>79</v>
      </c>
      <c r="B80">
        <v>20900</v>
      </c>
      <c r="C80" t="s">
        <v>236</v>
      </c>
      <c r="D80" t="s">
        <v>322</v>
      </c>
      <c r="E80">
        <v>57</v>
      </c>
      <c r="F80" t="str">
        <f t="shared" si="7"/>
        <v>50-60</v>
      </c>
      <c r="G80" t="s">
        <v>263</v>
      </c>
      <c r="H80" t="s">
        <v>274</v>
      </c>
      <c r="I80" t="s">
        <v>323</v>
      </c>
      <c r="J80" t="s">
        <v>236</v>
      </c>
      <c r="K80" t="s">
        <v>263</v>
      </c>
      <c r="M80" t="b">
        <v>1</v>
      </c>
      <c r="N80" t="s">
        <v>32</v>
      </c>
      <c r="O80" t="s">
        <v>33</v>
      </c>
      <c r="Q80">
        <v>180.75</v>
      </c>
      <c r="R80">
        <v>4.5</v>
      </c>
      <c r="S80" t="s">
        <v>276</v>
      </c>
      <c r="T80">
        <v>81.900000000000006</v>
      </c>
      <c r="V80">
        <v>102.6</v>
      </c>
      <c r="W80">
        <v>72.7</v>
      </c>
      <c r="X80">
        <v>11.4</v>
      </c>
      <c r="Y80">
        <v>46.2</v>
      </c>
      <c r="Z80">
        <v>144373535</v>
      </c>
      <c r="AA80">
        <v>61.524009999999997</v>
      </c>
      <c r="AB80">
        <v>105.31875599999999</v>
      </c>
    </row>
    <row r="81" spans="1:28" hidden="1">
      <c r="A81">
        <v>80</v>
      </c>
      <c r="B81">
        <v>20500</v>
      </c>
      <c r="C81" t="s">
        <v>250</v>
      </c>
      <c r="D81" t="s">
        <v>324</v>
      </c>
      <c r="E81">
        <v>72</v>
      </c>
      <c r="F81" t="str">
        <f t="shared" si="7"/>
        <v>70-80</v>
      </c>
      <c r="G81" t="s">
        <v>263</v>
      </c>
      <c r="H81" t="s">
        <v>274</v>
      </c>
      <c r="I81" t="s">
        <v>325</v>
      </c>
      <c r="J81" t="s">
        <v>250</v>
      </c>
      <c r="K81" t="s">
        <v>263</v>
      </c>
      <c r="M81" t="b">
        <v>1</v>
      </c>
      <c r="N81" t="s">
        <v>32</v>
      </c>
      <c r="O81" t="s">
        <v>33</v>
      </c>
      <c r="Q81">
        <v>180.75</v>
      </c>
      <c r="R81">
        <v>4.5</v>
      </c>
      <c r="S81" t="s">
        <v>276</v>
      </c>
      <c r="T81">
        <v>81.900000000000006</v>
      </c>
      <c r="V81">
        <v>102.6</v>
      </c>
      <c r="W81">
        <v>72.7</v>
      </c>
      <c r="X81">
        <v>11.4</v>
      </c>
      <c r="Y81">
        <v>46.2</v>
      </c>
      <c r="Z81">
        <v>144373535</v>
      </c>
      <c r="AA81">
        <v>61.524009999999997</v>
      </c>
      <c r="AB81">
        <v>105.31875599999999</v>
      </c>
    </row>
    <row r="82" spans="1:28" hidden="1">
      <c r="A82">
        <v>81</v>
      </c>
      <c r="B82">
        <v>20200</v>
      </c>
      <c r="C82" t="s">
        <v>288</v>
      </c>
      <c r="D82" t="s">
        <v>326</v>
      </c>
      <c r="E82">
        <v>84</v>
      </c>
      <c r="F82" t="str">
        <f t="shared" si="7"/>
        <v>80-90</v>
      </c>
      <c r="G82" t="s">
        <v>38</v>
      </c>
      <c r="H82" t="s">
        <v>327</v>
      </c>
      <c r="I82" t="s">
        <v>328</v>
      </c>
      <c r="J82" t="s">
        <v>288</v>
      </c>
      <c r="K82" t="s">
        <v>38</v>
      </c>
      <c r="M82" t="b">
        <v>1</v>
      </c>
      <c r="N82" t="s">
        <v>42</v>
      </c>
      <c r="O82" t="s">
        <v>33</v>
      </c>
      <c r="Q82">
        <v>117.24</v>
      </c>
      <c r="R82">
        <v>7.5</v>
      </c>
      <c r="S82" t="s">
        <v>44</v>
      </c>
      <c r="T82">
        <v>88.2</v>
      </c>
      <c r="V82">
        <v>101.8</v>
      </c>
      <c r="W82">
        <v>78.5</v>
      </c>
      <c r="X82">
        <v>9.6</v>
      </c>
      <c r="Y82">
        <v>36.6</v>
      </c>
      <c r="Z82">
        <v>328239523</v>
      </c>
      <c r="AA82">
        <v>37.090240000000001</v>
      </c>
      <c r="AB82">
        <v>-95.712890999999999</v>
      </c>
    </row>
    <row r="83" spans="1:28" hidden="1">
      <c r="A83">
        <v>82</v>
      </c>
      <c r="B83">
        <v>19600</v>
      </c>
      <c r="C83" t="s">
        <v>236</v>
      </c>
      <c r="D83" t="s">
        <v>329</v>
      </c>
      <c r="E83">
        <v>61</v>
      </c>
      <c r="F83" t="str">
        <f t="shared" si="7"/>
        <v>60-70</v>
      </c>
      <c r="G83" t="s">
        <v>238</v>
      </c>
      <c r="H83" t="s">
        <v>239</v>
      </c>
      <c r="I83" t="s">
        <v>240</v>
      </c>
      <c r="J83" t="s">
        <v>236</v>
      </c>
      <c r="K83" t="s">
        <v>238</v>
      </c>
      <c r="M83" t="b">
        <v>1</v>
      </c>
      <c r="N83" t="s">
        <v>32</v>
      </c>
      <c r="O83" t="s">
        <v>33</v>
      </c>
      <c r="Q83">
        <v>119.8</v>
      </c>
      <c r="R83">
        <v>1.6</v>
      </c>
      <c r="S83" t="s">
        <v>243</v>
      </c>
      <c r="T83">
        <v>113.1</v>
      </c>
      <c r="V83">
        <v>100.3</v>
      </c>
      <c r="W83">
        <v>82.7</v>
      </c>
      <c r="X83">
        <v>23</v>
      </c>
      <c r="Y83">
        <v>47.4</v>
      </c>
      <c r="Z83">
        <v>25766605</v>
      </c>
      <c r="AA83">
        <v>-25.274398000000001</v>
      </c>
      <c r="AB83">
        <v>133.775136</v>
      </c>
    </row>
    <row r="84" spans="1:28">
      <c r="A84">
        <v>83</v>
      </c>
      <c r="B84">
        <v>19100</v>
      </c>
      <c r="C84" t="s">
        <v>54</v>
      </c>
      <c r="D84" t="s">
        <v>330</v>
      </c>
      <c r="E84">
        <v>73</v>
      </c>
      <c r="F84" t="str">
        <f t="shared" si="7"/>
        <v>70-80</v>
      </c>
      <c r="G84" t="s">
        <v>38</v>
      </c>
      <c r="H84" t="s">
        <v>331</v>
      </c>
      <c r="I84" t="s">
        <v>185</v>
      </c>
      <c r="J84" t="s">
        <v>54</v>
      </c>
      <c r="K84" t="s">
        <v>38</v>
      </c>
      <c r="L84" t="s">
        <v>332</v>
      </c>
      <c r="M84" t="b">
        <v>1</v>
      </c>
      <c r="N84" t="s">
        <v>42</v>
      </c>
      <c r="O84" t="s">
        <v>4867</v>
      </c>
      <c r="P84" t="s">
        <v>333</v>
      </c>
      <c r="Q84">
        <v>117.24</v>
      </c>
      <c r="R84">
        <v>7.5</v>
      </c>
      <c r="S84" t="s">
        <v>44</v>
      </c>
      <c r="T84">
        <v>88.2</v>
      </c>
      <c r="U84" t="str">
        <f>IF(T84&gt;=100,"above 100",IF(T84&gt;=80,"80-100",IF(T84&gt;=60,"60-80",IF(T84&gt;=40,"40-60",IF(T84&gt;=20,"20-60","0-20")))))</f>
        <v>80-100</v>
      </c>
      <c r="V84">
        <v>101.8</v>
      </c>
      <c r="W84">
        <v>78.5</v>
      </c>
      <c r="X84">
        <v>9.6</v>
      </c>
      <c r="Y84">
        <v>36.6</v>
      </c>
      <c r="Z84">
        <v>328239523</v>
      </c>
      <c r="AA84">
        <v>37.090240000000001</v>
      </c>
      <c r="AB84">
        <v>-95.712890999999999</v>
      </c>
    </row>
    <row r="85" spans="1:28" hidden="1">
      <c r="A85">
        <v>84</v>
      </c>
      <c r="B85">
        <v>19000</v>
      </c>
      <c r="C85" t="s">
        <v>36</v>
      </c>
      <c r="D85" t="s">
        <v>334</v>
      </c>
      <c r="E85">
        <v>59</v>
      </c>
      <c r="F85" t="str">
        <f t="shared" si="7"/>
        <v>50-60</v>
      </c>
      <c r="G85" t="s">
        <v>103</v>
      </c>
      <c r="H85" t="s">
        <v>104</v>
      </c>
      <c r="I85" t="s">
        <v>335</v>
      </c>
      <c r="J85" t="s">
        <v>36</v>
      </c>
      <c r="K85" t="s">
        <v>103</v>
      </c>
      <c r="M85" t="b">
        <v>1</v>
      </c>
      <c r="N85" t="s">
        <v>42</v>
      </c>
      <c r="O85" t="s">
        <v>33</v>
      </c>
      <c r="Q85">
        <v>125.08</v>
      </c>
      <c r="R85">
        <v>2.9</v>
      </c>
      <c r="S85" t="s">
        <v>106</v>
      </c>
      <c r="T85">
        <v>50.6</v>
      </c>
      <c r="V85">
        <v>100.2</v>
      </c>
      <c r="W85">
        <v>77</v>
      </c>
      <c r="X85">
        <v>9.4</v>
      </c>
      <c r="Y85">
        <v>59.2</v>
      </c>
      <c r="Z85">
        <v>1397715000</v>
      </c>
      <c r="AA85">
        <v>35.861660000000001</v>
      </c>
      <c r="AB85">
        <v>104.195397</v>
      </c>
    </row>
    <row r="86" spans="1:28" hidden="1">
      <c r="A86">
        <v>84</v>
      </c>
      <c r="B86">
        <v>19000</v>
      </c>
      <c r="C86" t="s">
        <v>236</v>
      </c>
      <c r="D86" t="s">
        <v>336</v>
      </c>
      <c r="E86">
        <v>55</v>
      </c>
      <c r="F86" t="str">
        <f t="shared" si="7"/>
        <v>50-60</v>
      </c>
      <c r="G86" t="s">
        <v>103</v>
      </c>
      <c r="H86" t="s">
        <v>176</v>
      </c>
      <c r="I86" t="s">
        <v>337</v>
      </c>
      <c r="J86" t="s">
        <v>236</v>
      </c>
      <c r="K86" t="s">
        <v>103</v>
      </c>
      <c r="M86" t="b">
        <v>1</v>
      </c>
      <c r="N86" t="s">
        <v>32</v>
      </c>
      <c r="O86" t="s">
        <v>33</v>
      </c>
      <c r="Q86">
        <v>125.08</v>
      </c>
      <c r="R86">
        <v>2.9</v>
      </c>
      <c r="S86" t="s">
        <v>106</v>
      </c>
      <c r="T86">
        <v>50.6</v>
      </c>
      <c r="V86">
        <v>100.2</v>
      </c>
      <c r="W86">
        <v>77</v>
      </c>
      <c r="X86">
        <v>9.4</v>
      </c>
      <c r="Y86">
        <v>59.2</v>
      </c>
      <c r="Z86">
        <v>1397715000</v>
      </c>
      <c r="AA86">
        <v>35.861660000000001</v>
      </c>
      <c r="AB86">
        <v>104.195397</v>
      </c>
    </row>
    <row r="87" spans="1:28" hidden="1">
      <c r="A87">
        <v>86</v>
      </c>
      <c r="B87">
        <v>18900</v>
      </c>
      <c r="C87" t="s">
        <v>75</v>
      </c>
      <c r="D87" t="s">
        <v>338</v>
      </c>
      <c r="E87">
        <v>72</v>
      </c>
      <c r="F87" t="str">
        <f t="shared" si="7"/>
        <v>70-80</v>
      </c>
      <c r="G87" t="s">
        <v>339</v>
      </c>
      <c r="H87" t="s">
        <v>340</v>
      </c>
      <c r="I87" t="s">
        <v>341</v>
      </c>
      <c r="J87" t="s">
        <v>75</v>
      </c>
      <c r="K87" t="s">
        <v>342</v>
      </c>
      <c r="M87" t="b">
        <v>0</v>
      </c>
      <c r="N87" t="s">
        <v>32</v>
      </c>
      <c r="O87" t="s">
        <v>33</v>
      </c>
      <c r="S87" t="s">
        <v>343</v>
      </c>
      <c r="Z87">
        <v>38964</v>
      </c>
      <c r="AA87">
        <v>43.738417599999998</v>
      </c>
      <c r="AB87">
        <v>7.4246157999999998</v>
      </c>
    </row>
    <row r="88" spans="1:28" hidden="1">
      <c r="A88">
        <v>86</v>
      </c>
      <c r="B88">
        <v>18900</v>
      </c>
      <c r="C88" t="s">
        <v>101</v>
      </c>
      <c r="D88" t="s">
        <v>344</v>
      </c>
      <c r="E88">
        <v>57</v>
      </c>
      <c r="F88" t="str">
        <f t="shared" si="7"/>
        <v>50-60</v>
      </c>
      <c r="G88" t="s">
        <v>103</v>
      </c>
      <c r="H88" t="s">
        <v>345</v>
      </c>
      <c r="I88" t="s">
        <v>346</v>
      </c>
      <c r="J88" t="s">
        <v>101</v>
      </c>
      <c r="K88" t="s">
        <v>103</v>
      </c>
      <c r="M88" t="b">
        <v>1</v>
      </c>
      <c r="N88" t="s">
        <v>42</v>
      </c>
      <c r="O88" t="s">
        <v>33</v>
      </c>
      <c r="Q88">
        <v>125.08</v>
      </c>
      <c r="R88">
        <v>2.9</v>
      </c>
      <c r="S88" t="s">
        <v>106</v>
      </c>
      <c r="T88">
        <v>50.6</v>
      </c>
      <c r="V88">
        <v>100.2</v>
      </c>
      <c r="W88">
        <v>77</v>
      </c>
      <c r="X88">
        <v>9.4</v>
      </c>
      <c r="Y88">
        <v>59.2</v>
      </c>
      <c r="Z88">
        <v>1397715000</v>
      </c>
      <c r="AA88">
        <v>35.861660000000001</v>
      </c>
      <c r="AB88">
        <v>104.195397</v>
      </c>
    </row>
    <row r="89" spans="1:28" hidden="1">
      <c r="A89">
        <v>88</v>
      </c>
      <c r="B89">
        <v>18700</v>
      </c>
      <c r="C89" t="s">
        <v>36</v>
      </c>
      <c r="D89" t="s">
        <v>347</v>
      </c>
      <c r="E89">
        <v>57</v>
      </c>
      <c r="F89" t="str">
        <f t="shared" si="7"/>
        <v>50-60</v>
      </c>
      <c r="G89" t="s">
        <v>103</v>
      </c>
      <c r="H89" t="s">
        <v>176</v>
      </c>
      <c r="I89" t="s">
        <v>348</v>
      </c>
      <c r="J89" t="s">
        <v>36</v>
      </c>
      <c r="K89" t="s">
        <v>103</v>
      </c>
      <c r="M89" t="b">
        <v>1</v>
      </c>
      <c r="N89" t="s">
        <v>42</v>
      </c>
      <c r="O89" t="s">
        <v>33</v>
      </c>
      <c r="Q89">
        <v>125.08</v>
      </c>
      <c r="R89">
        <v>2.9</v>
      </c>
      <c r="S89" t="s">
        <v>106</v>
      </c>
      <c r="T89">
        <v>50.6</v>
      </c>
      <c r="V89">
        <v>100.2</v>
      </c>
      <c r="W89">
        <v>77</v>
      </c>
      <c r="X89">
        <v>9.4</v>
      </c>
      <c r="Y89">
        <v>59.2</v>
      </c>
      <c r="Z89">
        <v>1397715000</v>
      </c>
      <c r="AA89">
        <v>35.861660000000001</v>
      </c>
      <c r="AB89">
        <v>104.195397</v>
      </c>
    </row>
    <row r="90" spans="1:28">
      <c r="A90">
        <v>89</v>
      </c>
      <c r="B90">
        <v>18500</v>
      </c>
      <c r="C90" t="s">
        <v>250</v>
      </c>
      <c r="D90" t="s">
        <v>349</v>
      </c>
      <c r="E90">
        <v>77</v>
      </c>
      <c r="F90" t="str">
        <f t="shared" si="7"/>
        <v>70-80</v>
      </c>
      <c r="G90" t="s">
        <v>38</v>
      </c>
      <c r="H90" t="s">
        <v>350</v>
      </c>
      <c r="I90" t="s">
        <v>351</v>
      </c>
      <c r="J90" t="s">
        <v>250</v>
      </c>
      <c r="K90" t="s">
        <v>38</v>
      </c>
      <c r="L90" t="s">
        <v>352</v>
      </c>
      <c r="M90" t="b">
        <v>1</v>
      </c>
      <c r="N90" t="s">
        <v>32</v>
      </c>
      <c r="O90" t="s">
        <v>4867</v>
      </c>
      <c r="P90" t="s">
        <v>34</v>
      </c>
      <c r="Q90">
        <v>117.24</v>
      </c>
      <c r="R90">
        <v>7.5</v>
      </c>
      <c r="S90" t="s">
        <v>44</v>
      </c>
      <c r="T90">
        <v>88.2</v>
      </c>
      <c r="U90" t="str">
        <f t="shared" ref="U90:U91" si="9">IF(T90&gt;=100,"above 100",IF(T90&gt;=80,"80-100",IF(T90&gt;=60,"60-80",IF(T90&gt;=40,"40-60",IF(T90&gt;=20,"20-60","0-20")))))</f>
        <v>80-100</v>
      </c>
      <c r="V90">
        <v>101.8</v>
      </c>
      <c r="W90">
        <v>78.5</v>
      </c>
      <c r="X90">
        <v>9.6</v>
      </c>
      <c r="Y90">
        <v>36.6</v>
      </c>
      <c r="Z90">
        <v>328239523</v>
      </c>
      <c r="AA90">
        <v>37.090240000000001</v>
      </c>
      <c r="AB90">
        <v>-95.712890999999999</v>
      </c>
    </row>
    <row r="91" spans="1:28">
      <c r="A91">
        <v>89</v>
      </c>
      <c r="B91">
        <v>18500</v>
      </c>
      <c r="C91" t="s">
        <v>54</v>
      </c>
      <c r="D91" t="s">
        <v>353</v>
      </c>
      <c r="E91">
        <v>65</v>
      </c>
      <c r="F91" t="str">
        <f t="shared" si="7"/>
        <v>60-70</v>
      </c>
      <c r="G91" t="s">
        <v>38</v>
      </c>
      <c r="H91" t="s">
        <v>257</v>
      </c>
      <c r="I91" t="s">
        <v>185</v>
      </c>
      <c r="J91" t="s">
        <v>54</v>
      </c>
      <c r="K91" t="s">
        <v>38</v>
      </c>
      <c r="L91" t="s">
        <v>354</v>
      </c>
      <c r="M91" t="b">
        <v>1</v>
      </c>
      <c r="N91" t="s">
        <v>32</v>
      </c>
      <c r="O91" t="s">
        <v>4867</v>
      </c>
      <c r="P91" t="s">
        <v>355</v>
      </c>
      <c r="Q91">
        <v>117.24</v>
      </c>
      <c r="R91">
        <v>7.5</v>
      </c>
      <c r="S91" t="s">
        <v>44</v>
      </c>
      <c r="T91">
        <v>88.2</v>
      </c>
      <c r="U91" t="str">
        <f t="shared" si="9"/>
        <v>80-100</v>
      </c>
      <c r="V91">
        <v>101.8</v>
      </c>
      <c r="W91">
        <v>78.5</v>
      </c>
      <c r="X91">
        <v>9.6</v>
      </c>
      <c r="Y91">
        <v>36.6</v>
      </c>
      <c r="Z91">
        <v>328239523</v>
      </c>
      <c r="AA91">
        <v>37.090240000000001</v>
      </c>
      <c r="AB91">
        <v>-95.712890999999999</v>
      </c>
    </row>
    <row r="92" spans="1:28" hidden="1">
      <c r="A92">
        <v>89</v>
      </c>
      <c r="B92">
        <v>18500</v>
      </c>
      <c r="C92" t="s">
        <v>250</v>
      </c>
      <c r="D92" t="s">
        <v>356</v>
      </c>
      <c r="E92">
        <v>70</v>
      </c>
      <c r="F92" t="str">
        <f t="shared" si="7"/>
        <v>70-80</v>
      </c>
      <c r="G92" t="s">
        <v>263</v>
      </c>
      <c r="H92" t="s">
        <v>274</v>
      </c>
      <c r="I92" t="s">
        <v>357</v>
      </c>
      <c r="J92" t="s">
        <v>250</v>
      </c>
      <c r="K92" t="s">
        <v>263</v>
      </c>
      <c r="M92" t="b">
        <v>1</v>
      </c>
      <c r="N92" t="s">
        <v>32</v>
      </c>
      <c r="O92" t="s">
        <v>33</v>
      </c>
      <c r="Q92">
        <v>180.75</v>
      </c>
      <c r="R92">
        <v>4.5</v>
      </c>
      <c r="S92" t="s">
        <v>276</v>
      </c>
      <c r="T92">
        <v>81.900000000000006</v>
      </c>
      <c r="V92">
        <v>102.6</v>
      </c>
      <c r="W92">
        <v>72.7</v>
      </c>
      <c r="X92">
        <v>11.4</v>
      </c>
      <c r="Y92">
        <v>46.2</v>
      </c>
      <c r="Z92">
        <v>144373535</v>
      </c>
      <c r="AA92">
        <v>61.524009999999997</v>
      </c>
      <c r="AB92">
        <v>105.31875599999999</v>
      </c>
    </row>
    <row r="93" spans="1:28" hidden="1">
      <c r="A93">
        <v>92</v>
      </c>
      <c r="B93">
        <v>18000</v>
      </c>
      <c r="C93" t="s">
        <v>54</v>
      </c>
      <c r="D93" t="s">
        <v>358</v>
      </c>
      <c r="E93">
        <v>61</v>
      </c>
      <c r="F93" t="str">
        <f t="shared" si="7"/>
        <v>60-70</v>
      </c>
      <c r="G93" t="s">
        <v>38</v>
      </c>
      <c r="H93" t="s">
        <v>359</v>
      </c>
      <c r="I93" t="s">
        <v>360</v>
      </c>
      <c r="J93" t="s">
        <v>54</v>
      </c>
      <c r="K93" t="s">
        <v>38</v>
      </c>
      <c r="M93" t="b">
        <v>1</v>
      </c>
      <c r="N93" t="s">
        <v>42</v>
      </c>
      <c r="O93" t="s">
        <v>33</v>
      </c>
      <c r="Q93">
        <v>117.24</v>
      </c>
      <c r="R93">
        <v>7.5</v>
      </c>
      <c r="S93" t="s">
        <v>44</v>
      </c>
      <c r="T93">
        <v>88.2</v>
      </c>
      <c r="V93">
        <v>101.8</v>
      </c>
      <c r="W93">
        <v>78.5</v>
      </c>
      <c r="X93">
        <v>9.6</v>
      </c>
      <c r="Y93">
        <v>36.6</v>
      </c>
      <c r="Z93">
        <v>328239523</v>
      </c>
      <c r="AA93">
        <v>37.090240000000001</v>
      </c>
      <c r="AB93">
        <v>-95.712890999999999</v>
      </c>
    </row>
    <row r="94" spans="1:28">
      <c r="A94">
        <v>93</v>
      </c>
      <c r="B94">
        <v>17700</v>
      </c>
      <c r="C94" t="s">
        <v>236</v>
      </c>
      <c r="D94" t="s">
        <v>361</v>
      </c>
      <c r="E94">
        <v>72</v>
      </c>
      <c r="F94" t="str">
        <f t="shared" si="7"/>
        <v>70-80</v>
      </c>
      <c r="G94" t="s">
        <v>203</v>
      </c>
      <c r="H94" t="s">
        <v>204</v>
      </c>
      <c r="I94" t="s">
        <v>362</v>
      </c>
      <c r="J94" t="s">
        <v>236</v>
      </c>
      <c r="K94" t="s">
        <v>77</v>
      </c>
      <c r="L94" t="s">
        <v>363</v>
      </c>
      <c r="M94" t="b">
        <v>0</v>
      </c>
      <c r="N94" t="s">
        <v>42</v>
      </c>
      <c r="O94" t="s">
        <v>4867</v>
      </c>
      <c r="P94" t="s">
        <v>34</v>
      </c>
      <c r="Q94">
        <v>119.62</v>
      </c>
      <c r="R94">
        <v>1.7</v>
      </c>
      <c r="S94" t="s">
        <v>206</v>
      </c>
      <c r="T94">
        <v>60</v>
      </c>
      <c r="U94" t="str">
        <f t="shared" ref="U94:U96" si="10">IF(T94&gt;=100,"above 100",IF(T94&gt;=80,"80-100",IF(T94&gt;=60,"60-80",IF(T94&gt;=40,"40-60",IF(T94&gt;=20,"20-60","0-20")))))</f>
        <v>60-80</v>
      </c>
      <c r="V94">
        <v>101.2</v>
      </c>
      <c r="W94">
        <v>81.3</v>
      </c>
      <c r="X94">
        <v>25.5</v>
      </c>
      <c r="Y94">
        <v>30.6</v>
      </c>
      <c r="Z94">
        <v>66834405</v>
      </c>
      <c r="AA94">
        <v>55.378050999999999</v>
      </c>
      <c r="AB94">
        <v>-3.4359730000000002</v>
      </c>
    </row>
    <row r="95" spans="1:28">
      <c r="A95">
        <v>94</v>
      </c>
      <c r="B95">
        <v>17500</v>
      </c>
      <c r="C95" t="s">
        <v>54</v>
      </c>
      <c r="D95" t="s">
        <v>364</v>
      </c>
      <c r="E95">
        <v>66</v>
      </c>
      <c r="F95" t="str">
        <f t="shared" si="7"/>
        <v>60-70</v>
      </c>
      <c r="G95" t="s">
        <v>38</v>
      </c>
      <c r="H95" t="s">
        <v>331</v>
      </c>
      <c r="I95" t="s">
        <v>185</v>
      </c>
      <c r="J95" t="s">
        <v>54</v>
      </c>
      <c r="K95" t="s">
        <v>38</v>
      </c>
      <c r="L95" t="s">
        <v>365</v>
      </c>
      <c r="M95" t="b">
        <v>1</v>
      </c>
      <c r="N95" t="s">
        <v>32</v>
      </c>
      <c r="O95" t="s">
        <v>4867</v>
      </c>
      <c r="P95" t="s">
        <v>146</v>
      </c>
      <c r="Q95">
        <v>117.24</v>
      </c>
      <c r="R95">
        <v>7.5</v>
      </c>
      <c r="S95" t="s">
        <v>44</v>
      </c>
      <c r="T95">
        <v>88.2</v>
      </c>
      <c r="U95" t="str">
        <f t="shared" si="10"/>
        <v>80-100</v>
      </c>
      <c r="V95">
        <v>101.8</v>
      </c>
      <c r="W95">
        <v>78.5</v>
      </c>
      <c r="X95">
        <v>9.6</v>
      </c>
      <c r="Y95">
        <v>36.6</v>
      </c>
      <c r="Z95">
        <v>328239523</v>
      </c>
      <c r="AA95">
        <v>37.090240000000001</v>
      </c>
      <c r="AB95">
        <v>-95.712890999999999</v>
      </c>
    </row>
    <row r="96" spans="1:28">
      <c r="A96">
        <v>94</v>
      </c>
      <c r="B96">
        <v>17500</v>
      </c>
      <c r="C96" t="s">
        <v>54</v>
      </c>
      <c r="D96" t="s">
        <v>366</v>
      </c>
      <c r="E96">
        <v>87</v>
      </c>
      <c r="F96" t="str">
        <f t="shared" si="7"/>
        <v>80-90</v>
      </c>
      <c r="G96" t="s">
        <v>38</v>
      </c>
      <c r="H96" t="s">
        <v>367</v>
      </c>
      <c r="I96" t="s">
        <v>231</v>
      </c>
      <c r="J96" t="s">
        <v>54</v>
      </c>
      <c r="K96" t="s">
        <v>38</v>
      </c>
      <c r="L96" t="s">
        <v>368</v>
      </c>
      <c r="M96" t="b">
        <v>1</v>
      </c>
      <c r="N96" t="s">
        <v>32</v>
      </c>
      <c r="O96" t="s">
        <v>4867</v>
      </c>
      <c r="P96" t="s">
        <v>146</v>
      </c>
      <c r="Q96">
        <v>117.24</v>
      </c>
      <c r="R96">
        <v>7.5</v>
      </c>
      <c r="S96" t="s">
        <v>44</v>
      </c>
      <c r="T96">
        <v>88.2</v>
      </c>
      <c r="U96" t="str">
        <f t="shared" si="10"/>
        <v>80-100</v>
      </c>
      <c r="V96">
        <v>101.8</v>
      </c>
      <c r="W96">
        <v>78.5</v>
      </c>
      <c r="X96">
        <v>9.6</v>
      </c>
      <c r="Y96">
        <v>36.6</v>
      </c>
      <c r="Z96">
        <v>328239523</v>
      </c>
      <c r="AA96">
        <v>37.090240000000001</v>
      </c>
      <c r="AB96">
        <v>-95.712890999999999</v>
      </c>
    </row>
    <row r="97" spans="1:28" hidden="1">
      <c r="A97">
        <v>94</v>
      </c>
      <c r="B97">
        <v>17500</v>
      </c>
      <c r="C97" t="s">
        <v>236</v>
      </c>
      <c r="D97" t="s">
        <v>369</v>
      </c>
      <c r="E97">
        <v>73</v>
      </c>
      <c r="F97" t="str">
        <f t="shared" si="7"/>
        <v>70-80</v>
      </c>
      <c r="G97" t="s">
        <v>77</v>
      </c>
      <c r="H97" t="s">
        <v>370</v>
      </c>
      <c r="I97" t="s">
        <v>362</v>
      </c>
      <c r="J97" t="s">
        <v>236</v>
      </c>
      <c r="K97" t="s">
        <v>77</v>
      </c>
      <c r="M97" t="b">
        <v>0</v>
      </c>
      <c r="N97" t="s">
        <v>42</v>
      </c>
      <c r="O97" t="s">
        <v>88</v>
      </c>
      <c r="Q97">
        <v>180.44</v>
      </c>
      <c r="R97">
        <v>7.7</v>
      </c>
      <c r="S97" t="s">
        <v>81</v>
      </c>
      <c r="T97">
        <v>28.1</v>
      </c>
      <c r="V97">
        <v>113</v>
      </c>
      <c r="W97">
        <v>69.400000000000006</v>
      </c>
      <c r="X97">
        <v>11.2</v>
      </c>
      <c r="Y97">
        <v>49.7</v>
      </c>
      <c r="Z97">
        <v>1366417754</v>
      </c>
      <c r="AA97">
        <v>20.593684</v>
      </c>
      <c r="AB97">
        <v>78.962879999999998</v>
      </c>
    </row>
    <row r="98" spans="1:28">
      <c r="A98">
        <v>97</v>
      </c>
      <c r="B98">
        <v>17400</v>
      </c>
      <c r="C98" t="s">
        <v>221</v>
      </c>
      <c r="D98" t="s">
        <v>371</v>
      </c>
      <c r="E98">
        <v>90</v>
      </c>
      <c r="F98" t="str">
        <f t="shared" ref="F98:F108" si="11">IF(E98&gt;=90,"90-100",IF(E98&gt;=80,"80-90",IF(E98&gt;=70,"70-80",IF(E98&gt;=60,"60-70",IF(E98&gt;=50,"50-60",IF(E98&gt;=40,"40-50",IF(E98&gt;=30,"30-40","20-30")))))))</f>
        <v>90-100</v>
      </c>
      <c r="G98" t="s">
        <v>38</v>
      </c>
      <c r="H98" t="s">
        <v>372</v>
      </c>
      <c r="I98" t="s">
        <v>223</v>
      </c>
      <c r="J98" t="s">
        <v>221</v>
      </c>
      <c r="K98" t="s">
        <v>38</v>
      </c>
      <c r="L98" t="s">
        <v>373</v>
      </c>
      <c r="M98" t="b">
        <v>1</v>
      </c>
      <c r="N98" t="s">
        <v>32</v>
      </c>
      <c r="O98" t="s">
        <v>4867</v>
      </c>
      <c r="P98" t="s">
        <v>131</v>
      </c>
      <c r="Q98">
        <v>117.24</v>
      </c>
      <c r="R98">
        <v>7.5</v>
      </c>
      <c r="S98" t="s">
        <v>44</v>
      </c>
      <c r="T98">
        <v>88.2</v>
      </c>
      <c r="U98" t="str">
        <f t="shared" ref="U98:U100" si="12">IF(T98&gt;=100,"above 100",IF(T98&gt;=80,"80-100",IF(T98&gt;=60,"60-80",IF(T98&gt;=40,"40-60",IF(T98&gt;=20,"20-60","0-20")))))</f>
        <v>80-100</v>
      </c>
      <c r="V98">
        <v>101.8</v>
      </c>
      <c r="W98">
        <v>78.5</v>
      </c>
      <c r="X98">
        <v>9.6</v>
      </c>
      <c r="Y98">
        <v>36.6</v>
      </c>
      <c r="Z98">
        <v>328239523</v>
      </c>
      <c r="AA98">
        <v>37.090240000000001</v>
      </c>
      <c r="AB98">
        <v>-95.712890999999999</v>
      </c>
    </row>
    <row r="99" spans="1:28">
      <c r="A99">
        <v>97</v>
      </c>
      <c r="B99">
        <v>17400</v>
      </c>
      <c r="C99" t="s">
        <v>26</v>
      </c>
      <c r="D99" t="s">
        <v>374</v>
      </c>
      <c r="E99">
        <v>83</v>
      </c>
      <c r="F99" t="str">
        <f t="shared" si="11"/>
        <v>80-90</v>
      </c>
      <c r="G99" t="s">
        <v>38</v>
      </c>
      <c r="H99" t="s">
        <v>375</v>
      </c>
      <c r="I99" t="s">
        <v>376</v>
      </c>
      <c r="J99" t="s">
        <v>26</v>
      </c>
      <c r="K99" t="s">
        <v>38</v>
      </c>
      <c r="L99" t="s">
        <v>377</v>
      </c>
      <c r="M99" t="b">
        <v>1</v>
      </c>
      <c r="N99" t="s">
        <v>32</v>
      </c>
      <c r="O99" t="s">
        <v>4867</v>
      </c>
      <c r="P99" t="s">
        <v>146</v>
      </c>
      <c r="Q99">
        <v>117.24</v>
      </c>
      <c r="R99">
        <v>7.5</v>
      </c>
      <c r="S99" t="s">
        <v>44</v>
      </c>
      <c r="T99">
        <v>88.2</v>
      </c>
      <c r="U99" t="str">
        <f t="shared" si="12"/>
        <v>80-100</v>
      </c>
      <c r="V99">
        <v>101.8</v>
      </c>
      <c r="W99">
        <v>78.5</v>
      </c>
      <c r="X99">
        <v>9.6</v>
      </c>
      <c r="Y99">
        <v>36.6</v>
      </c>
      <c r="Z99">
        <v>328239523</v>
      </c>
      <c r="AA99">
        <v>37.090240000000001</v>
      </c>
      <c r="AB99">
        <v>-95.712890999999999</v>
      </c>
    </row>
    <row r="100" spans="1:28">
      <c r="A100">
        <v>99</v>
      </c>
      <c r="B100">
        <v>17100</v>
      </c>
      <c r="C100" t="s">
        <v>63</v>
      </c>
      <c r="D100" t="s">
        <v>378</v>
      </c>
      <c r="E100">
        <v>92</v>
      </c>
      <c r="F100" t="str">
        <f t="shared" si="11"/>
        <v>90-100</v>
      </c>
      <c r="G100" t="s">
        <v>38</v>
      </c>
      <c r="H100" t="s">
        <v>65</v>
      </c>
      <c r="I100" t="s">
        <v>379</v>
      </c>
      <c r="J100" t="s">
        <v>63</v>
      </c>
      <c r="K100" t="s">
        <v>38</v>
      </c>
      <c r="L100" t="s">
        <v>380</v>
      </c>
      <c r="M100" t="b">
        <v>0</v>
      </c>
      <c r="N100" t="s">
        <v>42</v>
      </c>
      <c r="O100" t="s">
        <v>4867</v>
      </c>
      <c r="P100" t="s">
        <v>34</v>
      </c>
      <c r="Q100">
        <v>117.24</v>
      </c>
      <c r="R100">
        <v>7.5</v>
      </c>
      <c r="S100" t="s">
        <v>44</v>
      </c>
      <c r="T100">
        <v>88.2</v>
      </c>
      <c r="U100" t="str">
        <f t="shared" si="12"/>
        <v>80-100</v>
      </c>
      <c r="V100">
        <v>101.8</v>
      </c>
      <c r="W100">
        <v>78.5</v>
      </c>
      <c r="X100">
        <v>9.6</v>
      </c>
      <c r="Y100">
        <v>36.6</v>
      </c>
      <c r="Z100">
        <v>328239523</v>
      </c>
      <c r="AA100">
        <v>37.090240000000001</v>
      </c>
      <c r="AB100">
        <v>-95.712890999999999</v>
      </c>
    </row>
    <row r="101" spans="1:28" hidden="1">
      <c r="A101">
        <v>100</v>
      </c>
      <c r="B101">
        <v>16700</v>
      </c>
      <c r="C101" t="s">
        <v>54</v>
      </c>
      <c r="D101" t="s">
        <v>381</v>
      </c>
      <c r="E101">
        <v>70</v>
      </c>
      <c r="F101" t="str">
        <f t="shared" si="11"/>
        <v>70-80</v>
      </c>
      <c r="G101" t="s">
        <v>156</v>
      </c>
      <c r="H101" t="s">
        <v>382</v>
      </c>
      <c r="I101" t="s">
        <v>383</v>
      </c>
      <c r="J101" t="s">
        <v>54</v>
      </c>
      <c r="K101" t="s">
        <v>384</v>
      </c>
      <c r="M101" t="b">
        <v>0</v>
      </c>
      <c r="N101" t="s">
        <v>32</v>
      </c>
      <c r="O101" t="s">
        <v>88</v>
      </c>
      <c r="Q101">
        <v>99.55</v>
      </c>
      <c r="R101">
        <v>0.4</v>
      </c>
      <c r="S101" t="s">
        <v>159</v>
      </c>
      <c r="T101">
        <v>59.6</v>
      </c>
      <c r="V101">
        <v>105.2</v>
      </c>
      <c r="W101">
        <v>83.6</v>
      </c>
      <c r="X101">
        <v>10.1</v>
      </c>
      <c r="Y101">
        <v>28.8</v>
      </c>
      <c r="Z101">
        <v>8574832</v>
      </c>
      <c r="AA101">
        <v>46.818187999999999</v>
      </c>
      <c r="AB101">
        <v>8.2275120000000008</v>
      </c>
    </row>
    <row r="102" spans="1:28" hidden="1">
      <c r="A102">
        <v>101</v>
      </c>
      <c r="B102">
        <v>16500</v>
      </c>
      <c r="C102" t="s">
        <v>26</v>
      </c>
      <c r="D102" t="s">
        <v>385</v>
      </c>
      <c r="E102">
        <v>72</v>
      </c>
      <c r="F102" t="str">
        <f t="shared" si="11"/>
        <v>70-80</v>
      </c>
      <c r="G102" t="s">
        <v>148</v>
      </c>
      <c r="H102" t="s">
        <v>386</v>
      </c>
      <c r="I102" t="s">
        <v>387</v>
      </c>
      <c r="J102" t="s">
        <v>26</v>
      </c>
      <c r="K102" t="s">
        <v>148</v>
      </c>
      <c r="M102" t="b">
        <v>0</v>
      </c>
      <c r="N102" t="s">
        <v>42</v>
      </c>
      <c r="O102" t="s">
        <v>33</v>
      </c>
      <c r="Q102">
        <v>112.85</v>
      </c>
      <c r="R102">
        <v>1.4</v>
      </c>
      <c r="S102" t="s">
        <v>151</v>
      </c>
      <c r="T102">
        <v>70.2</v>
      </c>
      <c r="V102">
        <v>104</v>
      </c>
      <c r="W102">
        <v>80.900000000000006</v>
      </c>
      <c r="X102">
        <v>11.5</v>
      </c>
      <c r="Y102">
        <v>48.8</v>
      </c>
      <c r="Z102">
        <v>83132799</v>
      </c>
      <c r="AA102">
        <v>51.165691000000002</v>
      </c>
      <c r="AB102">
        <v>10.451525999999999</v>
      </c>
    </row>
    <row r="103" spans="1:28" hidden="1">
      <c r="A103">
        <v>101</v>
      </c>
      <c r="B103">
        <v>16500</v>
      </c>
      <c r="C103" t="s">
        <v>54</v>
      </c>
      <c r="D103" t="s">
        <v>388</v>
      </c>
      <c r="E103">
        <v>55</v>
      </c>
      <c r="F103" t="str">
        <f t="shared" si="11"/>
        <v>50-60</v>
      </c>
      <c r="G103" t="s">
        <v>389</v>
      </c>
      <c r="H103" t="s">
        <v>390</v>
      </c>
      <c r="I103" t="s">
        <v>391</v>
      </c>
      <c r="J103" t="s">
        <v>54</v>
      </c>
      <c r="K103" t="s">
        <v>389</v>
      </c>
      <c r="M103" t="b">
        <v>0</v>
      </c>
      <c r="N103" t="s">
        <v>42</v>
      </c>
      <c r="O103" t="s">
        <v>88</v>
      </c>
      <c r="Q103">
        <v>116.48</v>
      </c>
      <c r="R103">
        <v>2.8</v>
      </c>
      <c r="S103" t="s">
        <v>392</v>
      </c>
      <c r="T103">
        <v>64.099999999999994</v>
      </c>
      <c r="V103">
        <v>100.7</v>
      </c>
      <c r="W103">
        <v>79</v>
      </c>
      <c r="X103">
        <v>14.9</v>
      </c>
      <c r="Y103">
        <v>46.1</v>
      </c>
      <c r="Z103">
        <v>10669709</v>
      </c>
      <c r="AA103">
        <v>49.817492000000001</v>
      </c>
      <c r="AB103">
        <v>15.472962000000001</v>
      </c>
    </row>
    <row r="104" spans="1:28" hidden="1">
      <c r="A104">
        <v>103</v>
      </c>
      <c r="B104">
        <v>16300</v>
      </c>
      <c r="C104" t="s">
        <v>288</v>
      </c>
      <c r="D104" t="s">
        <v>393</v>
      </c>
      <c r="E104">
        <v>72</v>
      </c>
      <c r="F104" t="str">
        <f t="shared" si="11"/>
        <v>70-80</v>
      </c>
      <c r="G104" t="s">
        <v>103</v>
      </c>
      <c r="H104" t="s">
        <v>176</v>
      </c>
      <c r="I104" t="s">
        <v>394</v>
      </c>
      <c r="J104" t="s">
        <v>288</v>
      </c>
      <c r="K104" t="s">
        <v>395</v>
      </c>
      <c r="M104" t="b">
        <v>1</v>
      </c>
      <c r="N104" t="s">
        <v>42</v>
      </c>
      <c r="O104" t="s">
        <v>33</v>
      </c>
      <c r="Q104">
        <v>125.08</v>
      </c>
      <c r="R104">
        <v>2.9</v>
      </c>
      <c r="S104" t="s">
        <v>106</v>
      </c>
      <c r="T104">
        <v>50.6</v>
      </c>
      <c r="V104">
        <v>100.2</v>
      </c>
      <c r="W104">
        <v>77</v>
      </c>
      <c r="X104">
        <v>9.4</v>
      </c>
      <c r="Y104">
        <v>59.2</v>
      </c>
      <c r="Z104">
        <v>1397715000</v>
      </c>
      <c r="AA104">
        <v>35.861660000000001</v>
      </c>
      <c r="AB104">
        <v>104.195397</v>
      </c>
    </row>
    <row r="105" spans="1:28">
      <c r="A105">
        <v>104</v>
      </c>
      <c r="B105">
        <v>16200</v>
      </c>
      <c r="C105" t="s">
        <v>26</v>
      </c>
      <c r="D105" t="s">
        <v>396</v>
      </c>
      <c r="E105">
        <v>75</v>
      </c>
      <c r="F105" t="str">
        <f t="shared" si="11"/>
        <v>70-80</v>
      </c>
      <c r="G105" t="s">
        <v>397</v>
      </c>
      <c r="H105" t="s">
        <v>398</v>
      </c>
      <c r="I105" t="s">
        <v>399</v>
      </c>
      <c r="J105" t="s">
        <v>26</v>
      </c>
      <c r="K105" t="s">
        <v>397</v>
      </c>
      <c r="L105" t="s">
        <v>400</v>
      </c>
      <c r="M105" t="b">
        <v>0</v>
      </c>
      <c r="N105" t="s">
        <v>42</v>
      </c>
      <c r="O105" t="s">
        <v>4867</v>
      </c>
      <c r="P105" t="s">
        <v>131</v>
      </c>
      <c r="Q105">
        <v>110.51</v>
      </c>
      <c r="R105">
        <v>1.8</v>
      </c>
      <c r="S105" t="s">
        <v>401</v>
      </c>
      <c r="T105">
        <v>67</v>
      </c>
      <c r="U105" t="str">
        <f>IF(T105&gt;=100,"above 100",IF(T105&gt;=80,"80-100",IF(T105&gt;=60,"60-80",IF(T105&gt;=40,"40-60",IF(T105&gt;=20,"20-60","0-20")))))</f>
        <v>60-80</v>
      </c>
      <c r="V105">
        <v>126.6</v>
      </c>
      <c r="W105">
        <v>82.5</v>
      </c>
      <c r="X105">
        <v>27.9</v>
      </c>
      <c r="Y105">
        <v>49.1</v>
      </c>
      <c r="Z105">
        <v>10285453</v>
      </c>
      <c r="AA105">
        <v>60.128160999999999</v>
      </c>
      <c r="AB105">
        <v>18.643501000000001</v>
      </c>
    </row>
    <row r="106" spans="1:28" hidden="1">
      <c r="A106">
        <v>104</v>
      </c>
      <c r="B106">
        <v>16200</v>
      </c>
      <c r="C106" t="s">
        <v>45</v>
      </c>
      <c r="D106" t="s">
        <v>402</v>
      </c>
      <c r="E106">
        <v>67</v>
      </c>
      <c r="F106" t="str">
        <f t="shared" si="11"/>
        <v>60-70</v>
      </c>
      <c r="G106" t="s">
        <v>38</v>
      </c>
      <c r="H106" t="s">
        <v>403</v>
      </c>
      <c r="I106" t="s">
        <v>91</v>
      </c>
      <c r="J106" t="s">
        <v>45</v>
      </c>
      <c r="K106" t="s">
        <v>38</v>
      </c>
      <c r="M106" t="b">
        <v>1</v>
      </c>
      <c r="N106" t="s">
        <v>42</v>
      </c>
      <c r="O106" t="s">
        <v>33</v>
      </c>
      <c r="Q106">
        <v>117.24</v>
      </c>
      <c r="R106">
        <v>7.5</v>
      </c>
      <c r="S106" t="s">
        <v>44</v>
      </c>
      <c r="T106">
        <v>88.2</v>
      </c>
      <c r="V106">
        <v>101.8</v>
      </c>
      <c r="W106">
        <v>78.5</v>
      </c>
      <c r="X106">
        <v>9.6</v>
      </c>
      <c r="Y106">
        <v>36.6</v>
      </c>
      <c r="Z106">
        <v>328239523</v>
      </c>
      <c r="AA106">
        <v>37.090240000000001</v>
      </c>
      <c r="AB106">
        <v>-95.712890999999999</v>
      </c>
    </row>
    <row r="107" spans="1:28">
      <c r="A107">
        <v>106</v>
      </c>
      <c r="B107">
        <v>16000</v>
      </c>
      <c r="C107" t="s">
        <v>54</v>
      </c>
      <c r="D107" t="s">
        <v>404</v>
      </c>
      <c r="E107">
        <v>55</v>
      </c>
      <c r="F107" t="str">
        <f t="shared" si="11"/>
        <v>50-60</v>
      </c>
      <c r="G107" t="s">
        <v>156</v>
      </c>
      <c r="H107" t="s">
        <v>211</v>
      </c>
      <c r="I107" t="s">
        <v>185</v>
      </c>
      <c r="J107" t="s">
        <v>54</v>
      </c>
      <c r="K107" t="s">
        <v>203</v>
      </c>
      <c r="L107" t="s">
        <v>405</v>
      </c>
      <c r="M107" t="b">
        <v>1</v>
      </c>
      <c r="N107" t="s">
        <v>32</v>
      </c>
      <c r="O107" t="s">
        <v>4867</v>
      </c>
      <c r="P107" t="s">
        <v>406</v>
      </c>
      <c r="Q107">
        <v>99.55</v>
      </c>
      <c r="R107">
        <v>0.4</v>
      </c>
      <c r="S107" t="s">
        <v>159</v>
      </c>
      <c r="T107">
        <v>59.6</v>
      </c>
      <c r="U107" t="str">
        <f>IF(T107&gt;=100,"above 100",IF(T107&gt;=80,"80-100",IF(T107&gt;=60,"60-80",IF(T107&gt;=40,"40-60",IF(T107&gt;=20,"20-60","0-20")))))</f>
        <v>40-60</v>
      </c>
      <c r="V107">
        <v>105.2</v>
      </c>
      <c r="W107">
        <v>83.6</v>
      </c>
      <c r="X107">
        <v>10.1</v>
      </c>
      <c r="Y107">
        <v>28.8</v>
      </c>
      <c r="Z107">
        <v>8574832</v>
      </c>
      <c r="AA107">
        <v>46.818187999999999</v>
      </c>
      <c r="AB107">
        <v>8.2275120000000008</v>
      </c>
    </row>
    <row r="108" spans="1:28" hidden="1">
      <c r="A108">
        <v>107</v>
      </c>
      <c r="B108">
        <v>15900</v>
      </c>
      <c r="C108" t="s">
        <v>101</v>
      </c>
      <c r="D108" t="s">
        <v>407</v>
      </c>
      <c r="E108">
        <v>67</v>
      </c>
      <c r="F108" t="str">
        <f t="shared" si="11"/>
        <v>60-70</v>
      </c>
      <c r="G108" t="s">
        <v>103</v>
      </c>
      <c r="H108" t="s">
        <v>279</v>
      </c>
      <c r="I108" t="s">
        <v>408</v>
      </c>
      <c r="J108" t="s">
        <v>101</v>
      </c>
      <c r="K108" t="s">
        <v>103</v>
      </c>
      <c r="M108" t="b">
        <v>1</v>
      </c>
      <c r="N108" t="s">
        <v>42</v>
      </c>
      <c r="O108" t="s">
        <v>33</v>
      </c>
      <c r="Q108">
        <v>125.08</v>
      </c>
      <c r="R108">
        <v>2.9</v>
      </c>
      <c r="S108" t="s">
        <v>106</v>
      </c>
      <c r="T108">
        <v>50.6</v>
      </c>
      <c r="V108">
        <v>100.2</v>
      </c>
      <c r="W108">
        <v>77</v>
      </c>
      <c r="X108">
        <v>9.4</v>
      </c>
      <c r="Y108">
        <v>59.2</v>
      </c>
      <c r="Z108">
        <v>1397715000</v>
      </c>
      <c r="AA108">
        <v>35.861660000000001</v>
      </c>
      <c r="AB108">
        <v>104.195397</v>
      </c>
    </row>
    <row r="109" spans="1:28" hidden="1">
      <c r="A109">
        <v>108</v>
      </c>
      <c r="B109">
        <v>15800</v>
      </c>
      <c r="C109" t="s">
        <v>26</v>
      </c>
      <c r="D109" t="s">
        <v>409</v>
      </c>
      <c r="G109" t="s">
        <v>148</v>
      </c>
      <c r="I109" t="s">
        <v>410</v>
      </c>
      <c r="J109" t="s">
        <v>26</v>
      </c>
      <c r="K109" t="s">
        <v>148</v>
      </c>
      <c r="M109" t="b">
        <v>0</v>
      </c>
      <c r="N109" t="s">
        <v>212</v>
      </c>
      <c r="O109" t="s">
        <v>33</v>
      </c>
      <c r="Q109">
        <v>112.85</v>
      </c>
      <c r="R109">
        <v>1.4</v>
      </c>
      <c r="S109" t="s">
        <v>151</v>
      </c>
      <c r="T109">
        <v>70.2</v>
      </c>
      <c r="V109">
        <v>104</v>
      </c>
      <c r="W109">
        <v>80.900000000000006</v>
      </c>
      <c r="X109">
        <v>11.5</v>
      </c>
      <c r="Y109">
        <v>48.8</v>
      </c>
      <c r="Z109">
        <v>83132799</v>
      </c>
      <c r="AA109">
        <v>51.165691000000002</v>
      </c>
      <c r="AB109">
        <v>10.451525999999999</v>
      </c>
    </row>
    <row r="110" spans="1:28" hidden="1">
      <c r="A110">
        <v>108</v>
      </c>
      <c r="B110">
        <v>15800</v>
      </c>
      <c r="C110" t="s">
        <v>26</v>
      </c>
      <c r="D110" t="s">
        <v>411</v>
      </c>
      <c r="I110" t="s">
        <v>410</v>
      </c>
      <c r="J110" t="s">
        <v>26</v>
      </c>
      <c r="K110" t="s">
        <v>148</v>
      </c>
      <c r="M110" t="b">
        <v>0</v>
      </c>
      <c r="N110" t="s">
        <v>212</v>
      </c>
      <c r="O110" t="s">
        <v>88</v>
      </c>
    </row>
    <row r="111" spans="1:28" hidden="1">
      <c r="A111">
        <v>108</v>
      </c>
      <c r="B111">
        <v>15800</v>
      </c>
      <c r="C111" t="s">
        <v>101</v>
      </c>
      <c r="D111" t="s">
        <v>412</v>
      </c>
      <c r="E111">
        <v>83</v>
      </c>
      <c r="G111" t="s">
        <v>156</v>
      </c>
      <c r="H111" t="s">
        <v>413</v>
      </c>
      <c r="I111" t="s">
        <v>414</v>
      </c>
      <c r="J111" t="s">
        <v>101</v>
      </c>
      <c r="K111" t="s">
        <v>384</v>
      </c>
      <c r="M111" t="b">
        <v>1</v>
      </c>
      <c r="N111" t="s">
        <v>32</v>
      </c>
      <c r="O111" t="s">
        <v>33</v>
      </c>
      <c r="P111" t="s">
        <v>415</v>
      </c>
      <c r="Q111">
        <v>99.55</v>
      </c>
      <c r="R111">
        <v>0.4</v>
      </c>
      <c r="S111" t="s">
        <v>159</v>
      </c>
      <c r="T111">
        <v>59.6</v>
      </c>
      <c r="V111">
        <v>105.2</v>
      </c>
      <c r="W111">
        <v>83.6</v>
      </c>
      <c r="X111">
        <v>10.1</v>
      </c>
      <c r="Y111">
        <v>28.8</v>
      </c>
      <c r="Z111">
        <v>8574832</v>
      </c>
      <c r="AA111">
        <v>46.818187999999999</v>
      </c>
      <c r="AB111">
        <v>8.2275120000000008</v>
      </c>
    </row>
    <row r="112" spans="1:28" hidden="1">
      <c r="A112">
        <v>108</v>
      </c>
      <c r="B112">
        <v>15800</v>
      </c>
      <c r="C112" t="s">
        <v>221</v>
      </c>
      <c r="D112" t="s">
        <v>416</v>
      </c>
      <c r="E112">
        <v>76</v>
      </c>
      <c r="G112" t="s">
        <v>172</v>
      </c>
      <c r="H112" t="s">
        <v>172</v>
      </c>
      <c r="I112" t="s">
        <v>223</v>
      </c>
      <c r="J112" t="s">
        <v>221</v>
      </c>
      <c r="K112" t="s">
        <v>172</v>
      </c>
      <c r="M112" t="b">
        <v>0</v>
      </c>
      <c r="N112" t="s">
        <v>42</v>
      </c>
      <c r="O112" t="s">
        <v>33</v>
      </c>
    </row>
    <row r="113" spans="1:28" hidden="1">
      <c r="A113">
        <v>112</v>
      </c>
      <c r="B113">
        <v>15600</v>
      </c>
      <c r="C113" t="s">
        <v>288</v>
      </c>
      <c r="D113" t="s">
        <v>417</v>
      </c>
      <c r="E113">
        <v>67</v>
      </c>
      <c r="G113" t="s">
        <v>77</v>
      </c>
      <c r="H113" t="s">
        <v>78</v>
      </c>
      <c r="I113" t="s">
        <v>418</v>
      </c>
      <c r="J113" t="s">
        <v>288</v>
      </c>
      <c r="K113" t="s">
        <v>77</v>
      </c>
      <c r="M113" t="b">
        <v>1</v>
      </c>
      <c r="N113" t="s">
        <v>419</v>
      </c>
      <c r="O113" t="s">
        <v>33</v>
      </c>
      <c r="Q113">
        <v>180.44</v>
      </c>
      <c r="R113">
        <v>7.7</v>
      </c>
      <c r="S113" t="s">
        <v>81</v>
      </c>
      <c r="T113">
        <v>28.1</v>
      </c>
      <c r="V113">
        <v>113</v>
      </c>
      <c r="W113">
        <v>69.400000000000006</v>
      </c>
      <c r="X113">
        <v>11.2</v>
      </c>
      <c r="Y113">
        <v>49.7</v>
      </c>
      <c r="Z113">
        <v>1366417754</v>
      </c>
      <c r="AA113">
        <v>20.593684</v>
      </c>
      <c r="AB113">
        <v>78.962879999999998</v>
      </c>
    </row>
    <row r="114" spans="1:28">
      <c r="A114">
        <v>113</v>
      </c>
      <c r="B114">
        <v>15500</v>
      </c>
      <c r="C114" t="s">
        <v>45</v>
      </c>
      <c r="D114" t="s">
        <v>420</v>
      </c>
      <c r="E114">
        <v>45</v>
      </c>
      <c r="F114" t="str">
        <f>IF(E114&gt;=90,"90-100",IF(E114&gt;=80,"80-90",IF(E114&gt;=70,"70-80",IF(E114&gt;=60,"60-70",IF(E114&gt;=50,"50-60",IF(E114&gt;=40,"40-50",IF(E114&gt;=30,"30-40","20-30")))))))</f>
        <v>40-50</v>
      </c>
      <c r="G114" t="s">
        <v>38</v>
      </c>
      <c r="H114" t="s">
        <v>421</v>
      </c>
      <c r="I114" t="s">
        <v>422</v>
      </c>
      <c r="J114" t="s">
        <v>45</v>
      </c>
      <c r="K114" t="s">
        <v>38</v>
      </c>
      <c r="L114" t="s">
        <v>423</v>
      </c>
      <c r="M114" t="b">
        <v>1</v>
      </c>
      <c r="N114" t="s">
        <v>32</v>
      </c>
      <c r="O114" t="s">
        <v>4867</v>
      </c>
      <c r="P114" t="s">
        <v>424</v>
      </c>
      <c r="Q114">
        <v>117.24</v>
      </c>
      <c r="R114">
        <v>7.5</v>
      </c>
      <c r="S114" t="s">
        <v>44</v>
      </c>
      <c r="T114">
        <v>88.2</v>
      </c>
      <c r="U114" t="str">
        <f>IF(T114&gt;=100,"above 100",IF(T114&gt;=80,"80-100",IF(T114&gt;=60,"60-80",IF(T114&gt;=40,"40-60",IF(T114&gt;=20,"20-60","0-20")))))</f>
        <v>80-100</v>
      </c>
      <c r="V114">
        <v>101.8</v>
      </c>
      <c r="W114">
        <v>78.5</v>
      </c>
      <c r="X114">
        <v>9.6</v>
      </c>
      <c r="Y114">
        <v>36.6</v>
      </c>
      <c r="Z114">
        <v>328239523</v>
      </c>
      <c r="AA114">
        <v>37.090240000000001</v>
      </c>
      <c r="AB114">
        <v>-95.712890999999999</v>
      </c>
    </row>
    <row r="115" spans="1:28" hidden="1">
      <c r="A115">
        <v>114</v>
      </c>
      <c r="B115">
        <v>15300</v>
      </c>
      <c r="C115" t="s">
        <v>26</v>
      </c>
      <c r="D115" t="s">
        <v>425</v>
      </c>
      <c r="E115">
        <v>68</v>
      </c>
      <c r="G115" t="s">
        <v>77</v>
      </c>
      <c r="H115" t="s">
        <v>78</v>
      </c>
      <c r="I115" t="s">
        <v>426</v>
      </c>
      <c r="J115" t="s">
        <v>26</v>
      </c>
      <c r="K115" t="s">
        <v>77</v>
      </c>
      <c r="M115" t="b">
        <v>1</v>
      </c>
      <c r="N115" t="s">
        <v>42</v>
      </c>
      <c r="O115" t="s">
        <v>33</v>
      </c>
      <c r="Q115">
        <v>180.44</v>
      </c>
      <c r="R115">
        <v>7.7</v>
      </c>
      <c r="S115" t="s">
        <v>81</v>
      </c>
      <c r="T115">
        <v>28.1</v>
      </c>
      <c r="V115">
        <v>113</v>
      </c>
      <c r="W115">
        <v>69.400000000000006</v>
      </c>
      <c r="X115">
        <v>11.2</v>
      </c>
      <c r="Y115">
        <v>49.7</v>
      </c>
      <c r="Z115">
        <v>1366417754</v>
      </c>
      <c r="AA115">
        <v>20.593684</v>
      </c>
      <c r="AB115">
        <v>78.962879999999998</v>
      </c>
    </row>
    <row r="116" spans="1:28" hidden="1">
      <c r="A116">
        <v>115</v>
      </c>
      <c r="B116">
        <v>15200</v>
      </c>
      <c r="C116" t="s">
        <v>36</v>
      </c>
      <c r="D116" t="s">
        <v>427</v>
      </c>
      <c r="E116">
        <v>56</v>
      </c>
      <c r="G116" t="s">
        <v>103</v>
      </c>
      <c r="H116" t="s">
        <v>195</v>
      </c>
      <c r="I116" t="s">
        <v>196</v>
      </c>
      <c r="J116" t="s">
        <v>36</v>
      </c>
      <c r="K116" t="s">
        <v>103</v>
      </c>
      <c r="M116" t="b">
        <v>1</v>
      </c>
      <c r="N116" t="s">
        <v>42</v>
      </c>
      <c r="O116" t="s">
        <v>33</v>
      </c>
      <c r="Q116">
        <v>125.08</v>
      </c>
      <c r="R116">
        <v>2.9</v>
      </c>
      <c r="S116" t="s">
        <v>106</v>
      </c>
      <c r="T116">
        <v>50.6</v>
      </c>
      <c r="V116">
        <v>100.2</v>
      </c>
      <c r="W116">
        <v>77</v>
      </c>
      <c r="X116">
        <v>9.4</v>
      </c>
      <c r="Y116">
        <v>59.2</v>
      </c>
      <c r="Z116">
        <v>1397715000</v>
      </c>
      <c r="AA116">
        <v>35.861660000000001</v>
      </c>
      <c r="AB116">
        <v>104.195397</v>
      </c>
    </row>
    <row r="117" spans="1:28" hidden="1">
      <c r="A117">
        <v>116</v>
      </c>
      <c r="B117">
        <v>14900</v>
      </c>
      <c r="C117" t="s">
        <v>75</v>
      </c>
      <c r="D117" t="s">
        <v>428</v>
      </c>
      <c r="E117">
        <v>83</v>
      </c>
      <c r="G117" t="s">
        <v>429</v>
      </c>
      <c r="H117" t="s">
        <v>430</v>
      </c>
      <c r="I117" t="s">
        <v>75</v>
      </c>
      <c r="J117" t="s">
        <v>75</v>
      </c>
      <c r="K117" t="s">
        <v>429</v>
      </c>
      <c r="M117" t="b">
        <v>0</v>
      </c>
      <c r="N117" t="s">
        <v>32</v>
      </c>
      <c r="O117" t="s">
        <v>33</v>
      </c>
      <c r="Q117">
        <v>113.27</v>
      </c>
      <c r="R117">
        <v>0.7</v>
      </c>
      <c r="S117" t="s">
        <v>431</v>
      </c>
      <c r="T117">
        <v>49.3</v>
      </c>
      <c r="V117">
        <v>99.8</v>
      </c>
      <c r="W117">
        <v>76.900000000000006</v>
      </c>
      <c r="X117">
        <v>14.9</v>
      </c>
      <c r="Y117">
        <v>29.5</v>
      </c>
      <c r="Z117">
        <v>69625582</v>
      </c>
      <c r="AA117">
        <v>15.870032</v>
      </c>
      <c r="AB117">
        <v>100.992541</v>
      </c>
    </row>
    <row r="118" spans="1:28">
      <c r="A118">
        <v>116</v>
      </c>
      <c r="B118">
        <v>14900</v>
      </c>
      <c r="C118" t="s">
        <v>26</v>
      </c>
      <c r="D118" t="s">
        <v>432</v>
      </c>
      <c r="E118">
        <v>81</v>
      </c>
      <c r="F118" t="str">
        <f>IF(E118&gt;=90,"90-100",IF(E118&gt;=80,"80-90",IF(E118&gt;=70,"70-80",IF(E118&gt;=60,"60-70",IF(E118&gt;=50,"50-60",IF(E118&gt;=40,"40-50",IF(E118&gt;=30,"30-40","20-30")))))))</f>
        <v>80-90</v>
      </c>
      <c r="G118" t="s">
        <v>38</v>
      </c>
      <c r="H118" t="s">
        <v>350</v>
      </c>
      <c r="I118" t="s">
        <v>150</v>
      </c>
      <c r="J118" t="s">
        <v>26</v>
      </c>
      <c r="K118" t="s">
        <v>38</v>
      </c>
      <c r="L118" t="s">
        <v>433</v>
      </c>
      <c r="M118" t="b">
        <v>1</v>
      </c>
      <c r="N118" t="s">
        <v>32</v>
      </c>
      <c r="O118" t="s">
        <v>4867</v>
      </c>
      <c r="P118" t="s">
        <v>43</v>
      </c>
      <c r="Q118">
        <v>117.24</v>
      </c>
      <c r="R118">
        <v>7.5</v>
      </c>
      <c r="S118" t="s">
        <v>44</v>
      </c>
      <c r="T118">
        <v>88.2</v>
      </c>
      <c r="U118" t="str">
        <f>IF(T118&gt;=100,"above 100",IF(T118&gt;=80,"80-100",IF(T118&gt;=60,"60-80",IF(T118&gt;=40,"40-60",IF(T118&gt;=20,"20-60","0-20")))))</f>
        <v>80-100</v>
      </c>
      <c r="V118">
        <v>101.8</v>
      </c>
      <c r="W118">
        <v>78.5</v>
      </c>
      <c r="X118">
        <v>9.6</v>
      </c>
      <c r="Y118">
        <v>36.6</v>
      </c>
      <c r="Z118">
        <v>328239523</v>
      </c>
      <c r="AA118">
        <v>37.090240000000001</v>
      </c>
      <c r="AB118">
        <v>-95.712890999999999</v>
      </c>
    </row>
    <row r="119" spans="1:28" hidden="1">
      <c r="A119">
        <v>118</v>
      </c>
      <c r="B119">
        <v>14800</v>
      </c>
      <c r="C119" t="s">
        <v>101</v>
      </c>
      <c r="D119" t="s">
        <v>434</v>
      </c>
      <c r="E119">
        <v>78</v>
      </c>
      <c r="G119" t="s">
        <v>429</v>
      </c>
      <c r="H119" t="s">
        <v>430</v>
      </c>
      <c r="I119" t="s">
        <v>435</v>
      </c>
      <c r="J119" t="s">
        <v>101</v>
      </c>
      <c r="K119" t="s">
        <v>429</v>
      </c>
      <c r="M119" t="b">
        <v>1</v>
      </c>
      <c r="N119" t="s">
        <v>32</v>
      </c>
      <c r="O119" t="s">
        <v>33</v>
      </c>
      <c r="Q119">
        <v>113.27</v>
      </c>
      <c r="R119">
        <v>0.7</v>
      </c>
      <c r="S119" t="s">
        <v>431</v>
      </c>
      <c r="T119">
        <v>49.3</v>
      </c>
      <c r="V119">
        <v>99.8</v>
      </c>
      <c r="W119">
        <v>76.900000000000006</v>
      </c>
      <c r="X119">
        <v>14.9</v>
      </c>
      <c r="Y119">
        <v>29.5</v>
      </c>
      <c r="Z119">
        <v>69625582</v>
      </c>
      <c r="AA119">
        <v>15.870032</v>
      </c>
      <c r="AB119">
        <v>100.992541</v>
      </c>
    </row>
    <row r="120" spans="1:28" hidden="1">
      <c r="A120">
        <v>119</v>
      </c>
      <c r="B120">
        <v>14700</v>
      </c>
      <c r="C120" t="s">
        <v>101</v>
      </c>
      <c r="D120" t="s">
        <v>436</v>
      </c>
      <c r="E120">
        <v>68</v>
      </c>
      <c r="G120" t="s">
        <v>203</v>
      </c>
      <c r="H120" t="s">
        <v>204</v>
      </c>
      <c r="I120" t="s">
        <v>437</v>
      </c>
      <c r="J120" t="s">
        <v>101</v>
      </c>
      <c r="K120" t="s">
        <v>438</v>
      </c>
      <c r="M120" t="b">
        <v>0</v>
      </c>
      <c r="N120" t="s">
        <v>42</v>
      </c>
      <c r="O120" t="s">
        <v>88</v>
      </c>
      <c r="Q120">
        <v>119.62</v>
      </c>
      <c r="R120">
        <v>1.7</v>
      </c>
      <c r="S120" t="s">
        <v>206</v>
      </c>
      <c r="T120">
        <v>60</v>
      </c>
      <c r="V120">
        <v>101.2</v>
      </c>
      <c r="W120">
        <v>81.3</v>
      </c>
      <c r="X120">
        <v>25.5</v>
      </c>
      <c r="Y120">
        <v>30.6</v>
      </c>
      <c r="Z120">
        <v>66834405</v>
      </c>
      <c r="AA120">
        <v>55.378050999999999</v>
      </c>
      <c r="AB120">
        <v>-3.4359730000000002</v>
      </c>
    </row>
    <row r="121" spans="1:28" hidden="1">
      <c r="A121">
        <v>120</v>
      </c>
      <c r="B121">
        <v>14600</v>
      </c>
      <c r="C121" t="s">
        <v>288</v>
      </c>
      <c r="D121" t="s">
        <v>439</v>
      </c>
      <c r="E121">
        <v>60</v>
      </c>
      <c r="G121" t="s">
        <v>103</v>
      </c>
      <c r="H121" t="s">
        <v>176</v>
      </c>
      <c r="I121" t="s">
        <v>440</v>
      </c>
      <c r="J121" t="s">
        <v>288</v>
      </c>
      <c r="K121" t="s">
        <v>172</v>
      </c>
      <c r="M121" t="b">
        <v>1</v>
      </c>
      <c r="N121" t="s">
        <v>42</v>
      </c>
      <c r="O121" t="s">
        <v>33</v>
      </c>
      <c r="Q121">
        <v>125.08</v>
      </c>
      <c r="R121">
        <v>2.9</v>
      </c>
      <c r="S121" t="s">
        <v>106</v>
      </c>
      <c r="T121">
        <v>50.6</v>
      </c>
      <c r="V121">
        <v>100.2</v>
      </c>
      <c r="W121">
        <v>77</v>
      </c>
      <c r="X121">
        <v>9.4</v>
      </c>
      <c r="Y121">
        <v>59.2</v>
      </c>
      <c r="Z121">
        <v>1397715000</v>
      </c>
      <c r="AA121">
        <v>35.861660000000001</v>
      </c>
      <c r="AB121">
        <v>104.195397</v>
      </c>
    </row>
    <row r="122" spans="1:28" hidden="1">
      <c r="A122">
        <v>121</v>
      </c>
      <c r="B122">
        <v>14500</v>
      </c>
      <c r="C122" t="s">
        <v>36</v>
      </c>
      <c r="D122" t="s">
        <v>441</v>
      </c>
      <c r="E122">
        <v>59</v>
      </c>
      <c r="G122" t="s">
        <v>103</v>
      </c>
      <c r="H122" t="s">
        <v>442</v>
      </c>
      <c r="I122" t="s">
        <v>335</v>
      </c>
      <c r="J122" t="s">
        <v>36</v>
      </c>
      <c r="K122" t="s">
        <v>103</v>
      </c>
      <c r="M122" t="b">
        <v>1</v>
      </c>
      <c r="N122" t="s">
        <v>42</v>
      </c>
      <c r="O122" t="s">
        <v>33</v>
      </c>
      <c r="Q122">
        <v>125.08</v>
      </c>
      <c r="R122">
        <v>2.9</v>
      </c>
      <c r="S122" t="s">
        <v>106</v>
      </c>
      <c r="T122">
        <v>50.6</v>
      </c>
      <c r="V122">
        <v>100.2</v>
      </c>
      <c r="W122">
        <v>77</v>
      </c>
      <c r="X122">
        <v>9.4</v>
      </c>
      <c r="Y122">
        <v>59.2</v>
      </c>
      <c r="Z122">
        <v>1397715000</v>
      </c>
      <c r="AA122">
        <v>35.861660000000001</v>
      </c>
      <c r="AB122">
        <v>104.195397</v>
      </c>
    </row>
    <row r="123" spans="1:28" hidden="1">
      <c r="A123">
        <v>122</v>
      </c>
      <c r="B123">
        <v>14400</v>
      </c>
      <c r="C123" t="s">
        <v>236</v>
      </c>
      <c r="D123" t="s">
        <v>443</v>
      </c>
      <c r="E123">
        <v>69</v>
      </c>
      <c r="G123" t="s">
        <v>444</v>
      </c>
      <c r="H123" t="s">
        <v>445</v>
      </c>
      <c r="I123" t="s">
        <v>446</v>
      </c>
      <c r="J123" t="s">
        <v>236</v>
      </c>
      <c r="K123" t="s">
        <v>263</v>
      </c>
      <c r="L123" t="s">
        <v>447</v>
      </c>
      <c r="M123" t="b">
        <v>1</v>
      </c>
      <c r="N123" t="s">
        <v>32</v>
      </c>
      <c r="O123" t="s">
        <v>33</v>
      </c>
      <c r="P123" t="s">
        <v>146</v>
      </c>
      <c r="S123" t="s">
        <v>448</v>
      </c>
      <c r="T123">
        <v>10.1</v>
      </c>
      <c r="V123">
        <v>104.2</v>
      </c>
      <c r="W123">
        <v>71.599999999999994</v>
      </c>
      <c r="X123">
        <v>14.8</v>
      </c>
      <c r="Y123">
        <v>31.6</v>
      </c>
      <c r="Z123">
        <v>33580650</v>
      </c>
      <c r="AA123">
        <v>41.377490999999999</v>
      </c>
      <c r="AB123">
        <v>64.585262</v>
      </c>
    </row>
    <row r="124" spans="1:28" hidden="1">
      <c r="A124">
        <v>123</v>
      </c>
      <c r="B124">
        <v>14300</v>
      </c>
      <c r="C124" t="s">
        <v>217</v>
      </c>
      <c r="D124" t="s">
        <v>449</v>
      </c>
      <c r="E124">
        <v>95</v>
      </c>
      <c r="G124" t="s">
        <v>395</v>
      </c>
      <c r="H124" t="s">
        <v>395</v>
      </c>
      <c r="I124" t="s">
        <v>450</v>
      </c>
      <c r="J124" t="s">
        <v>217</v>
      </c>
      <c r="K124" t="s">
        <v>395</v>
      </c>
      <c r="M124" t="b">
        <v>1</v>
      </c>
      <c r="N124" t="s">
        <v>32</v>
      </c>
      <c r="O124" t="s">
        <v>33</v>
      </c>
      <c r="Q124">
        <v>114.41</v>
      </c>
      <c r="R124">
        <v>0.6</v>
      </c>
      <c r="S124" t="s">
        <v>451</v>
      </c>
      <c r="T124">
        <v>84.8</v>
      </c>
      <c r="V124">
        <v>100.6</v>
      </c>
      <c r="W124">
        <v>83.1</v>
      </c>
      <c r="X124">
        <v>13.1</v>
      </c>
      <c r="Y124">
        <v>21</v>
      </c>
      <c r="Z124">
        <v>5703569</v>
      </c>
      <c r="AA124">
        <v>1.3520829999999999</v>
      </c>
      <c r="AB124">
        <v>103.819836</v>
      </c>
    </row>
    <row r="125" spans="1:28" hidden="1">
      <c r="A125">
        <v>124</v>
      </c>
      <c r="B125">
        <v>14200</v>
      </c>
      <c r="C125" t="s">
        <v>75</v>
      </c>
      <c r="D125" t="s">
        <v>452</v>
      </c>
      <c r="E125">
        <v>55</v>
      </c>
      <c r="G125" t="s">
        <v>77</v>
      </c>
      <c r="H125" t="s">
        <v>78</v>
      </c>
      <c r="I125" t="s">
        <v>453</v>
      </c>
      <c r="J125" t="s">
        <v>75</v>
      </c>
      <c r="K125" t="s">
        <v>77</v>
      </c>
      <c r="M125" t="b">
        <v>0</v>
      </c>
      <c r="N125" t="s">
        <v>42</v>
      </c>
      <c r="O125" t="s">
        <v>33</v>
      </c>
      <c r="Q125">
        <v>180.44</v>
      </c>
      <c r="R125">
        <v>7.7</v>
      </c>
      <c r="S125" t="s">
        <v>81</v>
      </c>
      <c r="T125">
        <v>28.1</v>
      </c>
      <c r="V125">
        <v>113</v>
      </c>
      <c r="W125">
        <v>69.400000000000006</v>
      </c>
      <c r="X125">
        <v>11.2</v>
      </c>
      <c r="Y125">
        <v>49.7</v>
      </c>
      <c r="Z125">
        <v>1366417754</v>
      </c>
      <c r="AA125">
        <v>20.593684</v>
      </c>
      <c r="AB125">
        <v>78.962879999999998</v>
      </c>
    </row>
    <row r="126" spans="1:28">
      <c r="A126">
        <v>124</v>
      </c>
      <c r="B126">
        <v>14200</v>
      </c>
      <c r="C126" t="s">
        <v>217</v>
      </c>
      <c r="D126" t="s">
        <v>454</v>
      </c>
      <c r="E126">
        <v>65</v>
      </c>
      <c r="F126" t="str">
        <f>IF(E126&gt;=90,"90-100",IF(E126&gt;=80,"80-90",IF(E126&gt;=70,"70-80",IF(E126&gt;=60,"60-70",IF(E126&gt;=50,"50-60",IF(E126&gt;=40,"40-50",IF(E126&gt;=30,"30-40","20-30")))))))</f>
        <v>60-70</v>
      </c>
      <c r="G126" t="s">
        <v>455</v>
      </c>
      <c r="H126" t="s">
        <v>456</v>
      </c>
      <c r="I126" t="s">
        <v>457</v>
      </c>
      <c r="J126" t="s">
        <v>217</v>
      </c>
      <c r="K126" t="s">
        <v>455</v>
      </c>
      <c r="L126" t="s">
        <v>458</v>
      </c>
      <c r="M126" t="b">
        <v>1</v>
      </c>
      <c r="N126" t="s">
        <v>32</v>
      </c>
      <c r="O126" t="s">
        <v>4867</v>
      </c>
      <c r="P126" t="s">
        <v>43</v>
      </c>
      <c r="Q126">
        <v>267.51</v>
      </c>
      <c r="R126">
        <v>11.4</v>
      </c>
      <c r="S126" t="s">
        <v>459</v>
      </c>
      <c r="T126">
        <v>10.199999999999999</v>
      </c>
      <c r="U126" t="str">
        <f>IF(T126&gt;=100,"above 100",IF(T126&gt;=80,"80-100",IF(T126&gt;=60,"60-80",IF(T126&gt;=40,"40-60",IF(T126&gt;=20,"20-60","0-20")))))</f>
        <v>0-20</v>
      </c>
      <c r="V126">
        <v>84.7</v>
      </c>
      <c r="W126">
        <v>54.3</v>
      </c>
      <c r="X126">
        <v>1.5</v>
      </c>
      <c r="Y126">
        <v>34.799999999999997</v>
      </c>
      <c r="Z126">
        <v>200963599</v>
      </c>
      <c r="AA126">
        <v>9.0819989999999997</v>
      </c>
      <c r="AB126">
        <v>8.6752769999999995</v>
      </c>
    </row>
    <row r="127" spans="1:28" hidden="1">
      <c r="A127">
        <v>126</v>
      </c>
      <c r="B127">
        <v>14100</v>
      </c>
      <c r="C127" t="s">
        <v>221</v>
      </c>
      <c r="D127" t="s">
        <v>460</v>
      </c>
      <c r="E127">
        <v>93</v>
      </c>
      <c r="G127" t="s">
        <v>172</v>
      </c>
      <c r="H127" t="s">
        <v>172</v>
      </c>
      <c r="I127" t="s">
        <v>223</v>
      </c>
      <c r="J127" t="s">
        <v>221</v>
      </c>
      <c r="K127" t="s">
        <v>172</v>
      </c>
      <c r="M127" t="b">
        <v>0</v>
      </c>
      <c r="N127" t="s">
        <v>32</v>
      </c>
      <c r="O127" t="s">
        <v>88</v>
      </c>
    </row>
    <row r="128" spans="1:28" hidden="1">
      <c r="A128">
        <v>127</v>
      </c>
      <c r="B128">
        <v>14000</v>
      </c>
      <c r="C128" t="s">
        <v>75</v>
      </c>
      <c r="D128" t="s">
        <v>461</v>
      </c>
      <c r="E128">
        <v>67</v>
      </c>
      <c r="G128" t="s">
        <v>203</v>
      </c>
      <c r="H128" t="s">
        <v>204</v>
      </c>
      <c r="I128" t="s">
        <v>158</v>
      </c>
      <c r="J128" t="s">
        <v>75</v>
      </c>
      <c r="K128" t="s">
        <v>342</v>
      </c>
      <c r="M128" t="b">
        <v>0</v>
      </c>
      <c r="N128" t="s">
        <v>32</v>
      </c>
      <c r="O128" t="s">
        <v>33</v>
      </c>
      <c r="Q128">
        <v>119.62</v>
      </c>
      <c r="R128">
        <v>1.7</v>
      </c>
      <c r="S128" t="s">
        <v>206</v>
      </c>
      <c r="T128">
        <v>60</v>
      </c>
      <c r="V128">
        <v>101.2</v>
      </c>
      <c r="W128">
        <v>81.3</v>
      </c>
      <c r="X128">
        <v>25.5</v>
      </c>
      <c r="Y128">
        <v>30.6</v>
      </c>
      <c r="Z128">
        <v>66834405</v>
      </c>
      <c r="AA128">
        <v>55.378050999999999</v>
      </c>
      <c r="AB128">
        <v>-3.4359730000000002</v>
      </c>
    </row>
    <row r="129" spans="1:28" hidden="1">
      <c r="A129">
        <v>128</v>
      </c>
      <c r="B129">
        <v>13900</v>
      </c>
      <c r="C129" t="s">
        <v>288</v>
      </c>
      <c r="D129" t="s">
        <v>462</v>
      </c>
      <c r="E129">
        <v>57</v>
      </c>
      <c r="G129" t="s">
        <v>103</v>
      </c>
      <c r="H129" t="s">
        <v>463</v>
      </c>
      <c r="I129" t="s">
        <v>328</v>
      </c>
      <c r="J129" t="s">
        <v>288</v>
      </c>
      <c r="K129" t="s">
        <v>103</v>
      </c>
      <c r="M129" t="b">
        <v>1</v>
      </c>
      <c r="N129" t="s">
        <v>32</v>
      </c>
      <c r="O129" t="s">
        <v>33</v>
      </c>
      <c r="Q129">
        <v>125.08</v>
      </c>
      <c r="R129">
        <v>2.9</v>
      </c>
      <c r="S129" t="s">
        <v>106</v>
      </c>
      <c r="T129">
        <v>50.6</v>
      </c>
      <c r="V129">
        <v>100.2</v>
      </c>
      <c r="W129">
        <v>77</v>
      </c>
      <c r="X129">
        <v>9.4</v>
      </c>
      <c r="Y129">
        <v>59.2</v>
      </c>
      <c r="Z129">
        <v>1397715000</v>
      </c>
      <c r="AA129">
        <v>35.861660000000001</v>
      </c>
      <c r="AB129">
        <v>104.195397</v>
      </c>
    </row>
    <row r="130" spans="1:28" hidden="1">
      <c r="A130">
        <v>128</v>
      </c>
      <c r="B130">
        <v>13900</v>
      </c>
      <c r="C130" t="s">
        <v>179</v>
      </c>
      <c r="D130" t="s">
        <v>464</v>
      </c>
      <c r="E130">
        <v>94</v>
      </c>
      <c r="G130" t="s">
        <v>172</v>
      </c>
      <c r="H130" t="s">
        <v>172</v>
      </c>
      <c r="I130" t="s">
        <v>465</v>
      </c>
      <c r="J130" t="s">
        <v>179</v>
      </c>
      <c r="K130" t="s">
        <v>172</v>
      </c>
      <c r="M130" t="b">
        <v>1</v>
      </c>
      <c r="N130" t="s">
        <v>32</v>
      </c>
      <c r="O130" t="s">
        <v>33</v>
      </c>
    </row>
    <row r="131" spans="1:28" hidden="1">
      <c r="A131">
        <v>130</v>
      </c>
      <c r="B131">
        <v>13700</v>
      </c>
      <c r="C131" t="s">
        <v>154</v>
      </c>
      <c r="D131" t="s">
        <v>466</v>
      </c>
      <c r="E131">
        <v>78</v>
      </c>
      <c r="G131" t="s">
        <v>203</v>
      </c>
      <c r="H131" t="s">
        <v>204</v>
      </c>
      <c r="I131" t="s">
        <v>158</v>
      </c>
      <c r="J131" t="s">
        <v>154</v>
      </c>
      <c r="K131" t="s">
        <v>467</v>
      </c>
      <c r="M131" t="b">
        <v>1</v>
      </c>
      <c r="N131" t="s">
        <v>32</v>
      </c>
      <c r="O131" t="s">
        <v>33</v>
      </c>
      <c r="P131" t="s">
        <v>468</v>
      </c>
      <c r="Q131">
        <v>119.62</v>
      </c>
      <c r="R131">
        <v>1.7</v>
      </c>
      <c r="S131" t="s">
        <v>206</v>
      </c>
      <c r="T131">
        <v>60</v>
      </c>
      <c r="V131">
        <v>101.2</v>
      </c>
      <c r="W131">
        <v>81.3</v>
      </c>
      <c r="X131">
        <v>25.5</v>
      </c>
      <c r="Y131">
        <v>30.6</v>
      </c>
      <c r="Z131">
        <v>66834405</v>
      </c>
      <c r="AA131">
        <v>55.378050999999999</v>
      </c>
      <c r="AB131">
        <v>-3.4359730000000002</v>
      </c>
    </row>
    <row r="132" spans="1:28">
      <c r="A132">
        <v>130</v>
      </c>
      <c r="B132">
        <v>13700</v>
      </c>
      <c r="C132" t="s">
        <v>469</v>
      </c>
      <c r="D132" t="s">
        <v>470</v>
      </c>
      <c r="E132">
        <v>76</v>
      </c>
      <c r="F132" t="str">
        <f>IF(E132&gt;=90,"90-100",IF(E132&gt;=80,"80-90",IF(E132&gt;=70,"70-80",IF(E132&gt;=60,"60-70",IF(E132&gt;=50,"50-60",IF(E132&gt;=40,"40-50",IF(E132&gt;=30,"30-40","20-30")))))))</f>
        <v>70-80</v>
      </c>
      <c r="G132" t="s">
        <v>38</v>
      </c>
      <c r="H132" t="s">
        <v>471</v>
      </c>
      <c r="I132" t="s">
        <v>472</v>
      </c>
      <c r="J132" t="s">
        <v>469</v>
      </c>
      <c r="K132" t="s">
        <v>38</v>
      </c>
      <c r="L132" t="s">
        <v>473</v>
      </c>
      <c r="M132" t="b">
        <v>1</v>
      </c>
      <c r="N132" t="s">
        <v>32</v>
      </c>
      <c r="O132" t="s">
        <v>4866</v>
      </c>
      <c r="P132" t="s">
        <v>110</v>
      </c>
      <c r="Q132">
        <v>117.24</v>
      </c>
      <c r="R132">
        <v>7.5</v>
      </c>
      <c r="S132" t="s">
        <v>44</v>
      </c>
      <c r="T132">
        <v>88.2</v>
      </c>
      <c r="U132" t="str">
        <f t="shared" ref="U132:U135" si="13">IF(T132&gt;=100,"above 100",IF(T132&gt;=80,"80-100",IF(T132&gt;=60,"60-80",IF(T132&gt;=40,"40-60",IF(T132&gt;=20,"20-60","0-20")))))</f>
        <v>80-100</v>
      </c>
      <c r="V132">
        <v>101.8</v>
      </c>
      <c r="W132">
        <v>78.5</v>
      </c>
      <c r="X132">
        <v>9.6</v>
      </c>
      <c r="Y132">
        <v>36.6</v>
      </c>
      <c r="Z132">
        <v>328239523</v>
      </c>
      <c r="AA132">
        <v>37.090240000000001</v>
      </c>
      <c r="AB132">
        <v>-95.712890999999999</v>
      </c>
    </row>
    <row r="133" spans="1:28">
      <c r="A133">
        <v>130</v>
      </c>
      <c r="B133">
        <v>13700</v>
      </c>
      <c r="C133" t="s">
        <v>45</v>
      </c>
      <c r="D133" t="s">
        <v>474</v>
      </c>
      <c r="E133">
        <v>47</v>
      </c>
      <c r="F133" t="str">
        <f>IF(E133&gt;=90,"90-100",IF(E133&gt;=80,"80-90",IF(E133&gt;=70,"70-80",IF(E133&gt;=60,"60-70",IF(E133&gt;=50,"50-60",IF(E133&gt;=40,"40-50",IF(E133&gt;=30,"30-40","20-30")))))))</f>
        <v>40-50</v>
      </c>
      <c r="G133" t="s">
        <v>38</v>
      </c>
      <c r="H133" t="s">
        <v>403</v>
      </c>
      <c r="I133" t="s">
        <v>475</v>
      </c>
      <c r="J133" t="s">
        <v>45</v>
      </c>
      <c r="K133" t="s">
        <v>38</v>
      </c>
      <c r="L133" t="s">
        <v>476</v>
      </c>
      <c r="M133" t="b">
        <v>1</v>
      </c>
      <c r="N133" t="s">
        <v>32</v>
      </c>
      <c r="O133" t="s">
        <v>4867</v>
      </c>
      <c r="P133" t="s">
        <v>477</v>
      </c>
      <c r="Q133">
        <v>117.24</v>
      </c>
      <c r="R133">
        <v>7.5</v>
      </c>
      <c r="S133" t="s">
        <v>44</v>
      </c>
      <c r="T133">
        <v>88.2</v>
      </c>
      <c r="U133" t="str">
        <f t="shared" si="13"/>
        <v>80-100</v>
      </c>
      <c r="V133">
        <v>101.8</v>
      </c>
      <c r="W133">
        <v>78.5</v>
      </c>
      <c r="X133">
        <v>9.6</v>
      </c>
      <c r="Y133">
        <v>36.6</v>
      </c>
      <c r="Z133">
        <v>328239523</v>
      </c>
      <c r="AA133">
        <v>37.090240000000001</v>
      </c>
      <c r="AB133">
        <v>-95.712890999999999</v>
      </c>
    </row>
    <row r="134" spans="1:28">
      <c r="A134">
        <v>133</v>
      </c>
      <c r="B134">
        <v>13300</v>
      </c>
      <c r="C134" t="s">
        <v>478</v>
      </c>
      <c r="D134" t="s">
        <v>479</v>
      </c>
      <c r="E134">
        <v>80</v>
      </c>
      <c r="F134" t="str">
        <f>IF(E134&gt;=90,"90-100",IF(E134&gt;=80,"80-90",IF(E134&gt;=70,"70-80",IF(E134&gt;=60,"60-70",IF(E134&gt;=50,"50-60",IF(E134&gt;=40,"40-50",IF(E134&gt;=30,"30-40","20-30")))))))</f>
        <v>80-90</v>
      </c>
      <c r="G134" t="s">
        <v>38</v>
      </c>
      <c r="H134" t="s">
        <v>480</v>
      </c>
      <c r="I134" t="s">
        <v>481</v>
      </c>
      <c r="J134" t="s">
        <v>478</v>
      </c>
      <c r="K134" t="s">
        <v>38</v>
      </c>
      <c r="L134" t="s">
        <v>481</v>
      </c>
      <c r="M134" t="b">
        <v>1</v>
      </c>
      <c r="N134" t="s">
        <v>32</v>
      </c>
      <c r="O134" t="s">
        <v>4867</v>
      </c>
      <c r="P134" t="s">
        <v>482</v>
      </c>
      <c r="Q134">
        <v>117.24</v>
      </c>
      <c r="R134">
        <v>7.5</v>
      </c>
      <c r="S134" t="s">
        <v>44</v>
      </c>
      <c r="T134">
        <v>88.2</v>
      </c>
      <c r="U134" t="str">
        <f t="shared" si="13"/>
        <v>80-100</v>
      </c>
      <c r="V134">
        <v>101.8</v>
      </c>
      <c r="W134">
        <v>78.5</v>
      </c>
      <c r="X134">
        <v>9.6</v>
      </c>
      <c r="Y134">
        <v>36.6</v>
      </c>
      <c r="Z134">
        <v>328239523</v>
      </c>
      <c r="AA134">
        <v>37.090240000000001</v>
      </c>
      <c r="AB134">
        <v>-95.712890999999999</v>
      </c>
    </row>
    <row r="135" spans="1:28">
      <c r="A135">
        <v>133</v>
      </c>
      <c r="B135">
        <v>13300</v>
      </c>
      <c r="C135" t="s">
        <v>250</v>
      </c>
      <c r="D135" t="s">
        <v>483</v>
      </c>
      <c r="E135">
        <v>80</v>
      </c>
      <c r="F135" t="str">
        <f>IF(E135&gt;=90,"90-100",IF(E135&gt;=80,"80-90",IF(E135&gt;=70,"70-80",IF(E135&gt;=60,"60-70",IF(E135&gt;=50,"50-60",IF(E135&gt;=40,"40-50",IF(E135&gt;=30,"30-40","20-30")))))))</f>
        <v>80-90</v>
      </c>
      <c r="G135" t="s">
        <v>38</v>
      </c>
      <c r="H135" t="s">
        <v>484</v>
      </c>
      <c r="I135" t="s">
        <v>485</v>
      </c>
      <c r="J135" t="s">
        <v>250</v>
      </c>
      <c r="K135" t="s">
        <v>38</v>
      </c>
      <c r="L135" t="s">
        <v>486</v>
      </c>
      <c r="M135" t="b">
        <v>0</v>
      </c>
      <c r="N135" t="s">
        <v>32</v>
      </c>
      <c r="O135" t="s">
        <v>4867</v>
      </c>
      <c r="P135" t="s">
        <v>131</v>
      </c>
      <c r="Q135">
        <v>117.24</v>
      </c>
      <c r="R135">
        <v>7.5</v>
      </c>
      <c r="S135" t="s">
        <v>44</v>
      </c>
      <c r="T135">
        <v>88.2</v>
      </c>
      <c r="U135" t="str">
        <f t="shared" si="13"/>
        <v>80-100</v>
      </c>
      <c r="V135">
        <v>101.8</v>
      </c>
      <c r="W135">
        <v>78.5</v>
      </c>
      <c r="X135">
        <v>9.6</v>
      </c>
      <c r="Y135">
        <v>36.6</v>
      </c>
      <c r="Z135">
        <v>328239523</v>
      </c>
      <c r="AA135">
        <v>37.090240000000001</v>
      </c>
      <c r="AB135">
        <v>-95.712890999999999</v>
      </c>
    </row>
    <row r="136" spans="1:28" hidden="1">
      <c r="A136">
        <v>133</v>
      </c>
      <c r="B136">
        <v>13300</v>
      </c>
      <c r="C136" t="s">
        <v>221</v>
      </c>
      <c r="D136" t="s">
        <v>487</v>
      </c>
      <c r="E136">
        <v>71</v>
      </c>
      <c r="G136" t="s">
        <v>172</v>
      </c>
      <c r="H136" t="s">
        <v>172</v>
      </c>
      <c r="I136" t="s">
        <v>223</v>
      </c>
      <c r="J136" t="s">
        <v>221</v>
      </c>
      <c r="K136" t="s">
        <v>172</v>
      </c>
      <c r="M136" t="b">
        <v>1</v>
      </c>
      <c r="N136" t="s">
        <v>42</v>
      </c>
      <c r="O136" t="s">
        <v>33</v>
      </c>
    </row>
    <row r="137" spans="1:28" hidden="1">
      <c r="A137">
        <v>136</v>
      </c>
      <c r="B137">
        <v>13200</v>
      </c>
      <c r="C137" t="s">
        <v>36</v>
      </c>
      <c r="D137" t="s">
        <v>488</v>
      </c>
      <c r="E137">
        <v>60</v>
      </c>
      <c r="G137" t="s">
        <v>103</v>
      </c>
      <c r="H137" t="s">
        <v>489</v>
      </c>
      <c r="I137" t="s">
        <v>490</v>
      </c>
      <c r="J137" t="s">
        <v>36</v>
      </c>
      <c r="K137" t="s">
        <v>103</v>
      </c>
      <c r="M137" t="b">
        <v>1</v>
      </c>
      <c r="N137" t="s">
        <v>42</v>
      </c>
      <c r="O137" t="s">
        <v>33</v>
      </c>
      <c r="Q137">
        <v>125.08</v>
      </c>
      <c r="R137">
        <v>2.9</v>
      </c>
      <c r="S137" t="s">
        <v>106</v>
      </c>
      <c r="T137">
        <v>50.6</v>
      </c>
      <c r="V137">
        <v>100.2</v>
      </c>
      <c r="W137">
        <v>77</v>
      </c>
      <c r="X137">
        <v>9.4</v>
      </c>
      <c r="Y137">
        <v>59.2</v>
      </c>
      <c r="Z137">
        <v>1397715000</v>
      </c>
      <c r="AA137">
        <v>35.861660000000001</v>
      </c>
      <c r="AB137">
        <v>104.195397</v>
      </c>
    </row>
    <row r="138" spans="1:28" hidden="1">
      <c r="A138">
        <v>137</v>
      </c>
      <c r="B138">
        <v>13100</v>
      </c>
      <c r="C138" t="s">
        <v>221</v>
      </c>
      <c r="D138" t="s">
        <v>491</v>
      </c>
      <c r="E138">
        <v>90</v>
      </c>
      <c r="G138" t="s">
        <v>238</v>
      </c>
      <c r="H138" t="s">
        <v>492</v>
      </c>
      <c r="I138" t="s">
        <v>223</v>
      </c>
      <c r="J138" t="s">
        <v>221</v>
      </c>
      <c r="K138" t="s">
        <v>238</v>
      </c>
      <c r="M138" t="b">
        <v>1</v>
      </c>
      <c r="N138" t="s">
        <v>32</v>
      </c>
      <c r="O138" t="s">
        <v>33</v>
      </c>
      <c r="Q138">
        <v>119.8</v>
      </c>
      <c r="R138">
        <v>1.6</v>
      </c>
      <c r="S138" t="s">
        <v>243</v>
      </c>
      <c r="T138">
        <v>113.1</v>
      </c>
      <c r="V138">
        <v>100.3</v>
      </c>
      <c r="W138">
        <v>82.7</v>
      </c>
      <c r="X138">
        <v>23</v>
      </c>
      <c r="Y138">
        <v>47.4</v>
      </c>
      <c r="Z138">
        <v>25766605</v>
      </c>
      <c r="AA138">
        <v>-25.274398000000001</v>
      </c>
      <c r="AB138">
        <v>133.775136</v>
      </c>
    </row>
    <row r="139" spans="1:28" hidden="1">
      <c r="A139">
        <v>138</v>
      </c>
      <c r="B139">
        <v>12900</v>
      </c>
      <c r="C139" t="s">
        <v>54</v>
      </c>
      <c r="D139" t="s">
        <v>493</v>
      </c>
      <c r="E139">
        <v>64</v>
      </c>
      <c r="G139" t="s">
        <v>77</v>
      </c>
      <c r="H139" t="s">
        <v>78</v>
      </c>
      <c r="I139" t="s">
        <v>383</v>
      </c>
      <c r="J139" t="s">
        <v>54</v>
      </c>
      <c r="K139" t="s">
        <v>77</v>
      </c>
      <c r="M139" t="b">
        <v>1</v>
      </c>
      <c r="N139" t="s">
        <v>42</v>
      </c>
      <c r="O139" t="s">
        <v>33</v>
      </c>
      <c r="Q139">
        <v>180.44</v>
      </c>
      <c r="R139">
        <v>7.7</v>
      </c>
      <c r="S139" t="s">
        <v>81</v>
      </c>
      <c r="T139">
        <v>28.1</v>
      </c>
      <c r="V139">
        <v>113</v>
      </c>
      <c r="W139">
        <v>69.400000000000006</v>
      </c>
      <c r="X139">
        <v>11.2</v>
      </c>
      <c r="Y139">
        <v>49.7</v>
      </c>
      <c r="Z139">
        <v>1366417754</v>
      </c>
      <c r="AA139">
        <v>20.593684</v>
      </c>
      <c r="AB139">
        <v>78.962879999999998</v>
      </c>
    </row>
    <row r="140" spans="1:28" hidden="1">
      <c r="A140">
        <v>138</v>
      </c>
      <c r="B140">
        <v>12900</v>
      </c>
      <c r="C140" t="s">
        <v>478</v>
      </c>
      <c r="D140" t="s">
        <v>494</v>
      </c>
      <c r="E140">
        <v>75</v>
      </c>
      <c r="G140" t="s">
        <v>38</v>
      </c>
      <c r="H140" t="s">
        <v>495</v>
      </c>
      <c r="I140" t="s">
        <v>496</v>
      </c>
      <c r="J140" t="s">
        <v>478</v>
      </c>
      <c r="K140" t="s">
        <v>38</v>
      </c>
      <c r="M140" t="b">
        <v>1</v>
      </c>
      <c r="N140" t="s">
        <v>32</v>
      </c>
      <c r="O140" t="s">
        <v>33</v>
      </c>
      <c r="Q140">
        <v>117.24</v>
      </c>
      <c r="R140">
        <v>7.5</v>
      </c>
      <c r="S140" t="s">
        <v>44</v>
      </c>
      <c r="T140">
        <v>88.2</v>
      </c>
      <c r="V140">
        <v>101.8</v>
      </c>
      <c r="W140">
        <v>78.5</v>
      </c>
      <c r="X140">
        <v>9.6</v>
      </c>
      <c r="Y140">
        <v>36.6</v>
      </c>
      <c r="Z140">
        <v>328239523</v>
      </c>
      <c r="AA140">
        <v>37.090240000000001</v>
      </c>
      <c r="AB140">
        <v>-95.712890999999999</v>
      </c>
    </row>
    <row r="141" spans="1:28" hidden="1">
      <c r="A141">
        <v>140</v>
      </c>
      <c r="B141">
        <v>12600</v>
      </c>
      <c r="C141" t="s">
        <v>250</v>
      </c>
      <c r="D141" t="s">
        <v>497</v>
      </c>
      <c r="E141">
        <v>58</v>
      </c>
      <c r="G141" t="s">
        <v>203</v>
      </c>
      <c r="H141" t="s">
        <v>204</v>
      </c>
      <c r="I141" t="s">
        <v>498</v>
      </c>
      <c r="J141" t="s">
        <v>250</v>
      </c>
      <c r="K141" t="s">
        <v>263</v>
      </c>
      <c r="M141" t="b">
        <v>1</v>
      </c>
      <c r="N141" t="s">
        <v>32</v>
      </c>
      <c r="O141" t="s">
        <v>33</v>
      </c>
      <c r="Q141">
        <v>119.62</v>
      </c>
      <c r="R141">
        <v>1.7</v>
      </c>
      <c r="S141" t="s">
        <v>206</v>
      </c>
      <c r="T141">
        <v>60</v>
      </c>
      <c r="V141">
        <v>101.2</v>
      </c>
      <c r="W141">
        <v>81.3</v>
      </c>
      <c r="X141">
        <v>25.5</v>
      </c>
      <c r="Y141">
        <v>30.6</v>
      </c>
      <c r="Z141">
        <v>66834405</v>
      </c>
      <c r="AA141">
        <v>55.378050999999999</v>
      </c>
      <c r="AB141">
        <v>-3.4359730000000002</v>
      </c>
    </row>
    <row r="142" spans="1:28" hidden="1">
      <c r="A142">
        <v>141</v>
      </c>
      <c r="B142">
        <v>12300</v>
      </c>
      <c r="C142" t="s">
        <v>250</v>
      </c>
      <c r="D142" t="s">
        <v>499</v>
      </c>
      <c r="E142">
        <v>57</v>
      </c>
      <c r="G142" t="s">
        <v>429</v>
      </c>
      <c r="H142" t="s">
        <v>430</v>
      </c>
      <c r="I142" t="s">
        <v>250</v>
      </c>
      <c r="J142" t="s">
        <v>250</v>
      </c>
      <c r="K142" t="s">
        <v>429</v>
      </c>
      <c r="M142" t="b">
        <v>1</v>
      </c>
      <c r="N142" t="s">
        <v>32</v>
      </c>
      <c r="O142" t="s">
        <v>33</v>
      </c>
      <c r="Q142">
        <v>113.27</v>
      </c>
      <c r="R142">
        <v>0.7</v>
      </c>
      <c r="S142" t="s">
        <v>431</v>
      </c>
      <c r="T142">
        <v>49.3</v>
      </c>
      <c r="V142">
        <v>99.8</v>
      </c>
      <c r="W142">
        <v>76.900000000000006</v>
      </c>
      <c r="X142">
        <v>14.9</v>
      </c>
      <c r="Y142">
        <v>29.5</v>
      </c>
      <c r="Z142">
        <v>69625582</v>
      </c>
      <c r="AA142">
        <v>15.870032</v>
      </c>
      <c r="AB142">
        <v>100.992541</v>
      </c>
    </row>
    <row r="143" spans="1:28" hidden="1">
      <c r="A143">
        <v>142</v>
      </c>
      <c r="B143">
        <v>12200</v>
      </c>
      <c r="C143" t="s">
        <v>236</v>
      </c>
      <c r="D143" t="s">
        <v>500</v>
      </c>
      <c r="E143">
        <v>50</v>
      </c>
      <c r="G143" t="s">
        <v>103</v>
      </c>
      <c r="H143" t="s">
        <v>501</v>
      </c>
      <c r="I143" t="s">
        <v>254</v>
      </c>
      <c r="J143" t="s">
        <v>236</v>
      </c>
      <c r="K143" t="s">
        <v>103</v>
      </c>
      <c r="M143" t="b">
        <v>1</v>
      </c>
      <c r="N143" t="s">
        <v>42</v>
      </c>
      <c r="O143" t="s">
        <v>33</v>
      </c>
      <c r="Q143">
        <v>125.08</v>
      </c>
      <c r="R143">
        <v>2.9</v>
      </c>
      <c r="S143" t="s">
        <v>106</v>
      </c>
      <c r="T143">
        <v>50.6</v>
      </c>
      <c r="V143">
        <v>100.2</v>
      </c>
      <c r="W143">
        <v>77</v>
      </c>
      <c r="X143">
        <v>9.4</v>
      </c>
      <c r="Y143">
        <v>59.2</v>
      </c>
      <c r="Z143">
        <v>1397715000</v>
      </c>
      <c r="AA143">
        <v>35.861660000000001</v>
      </c>
      <c r="AB143">
        <v>104.195397</v>
      </c>
    </row>
    <row r="144" spans="1:28" hidden="1">
      <c r="A144">
        <v>142</v>
      </c>
      <c r="B144">
        <v>12200</v>
      </c>
      <c r="C144" t="s">
        <v>288</v>
      </c>
      <c r="D144" t="s">
        <v>502</v>
      </c>
      <c r="E144">
        <v>69</v>
      </c>
      <c r="G144" t="s">
        <v>103</v>
      </c>
      <c r="H144" t="s">
        <v>503</v>
      </c>
      <c r="I144" t="s">
        <v>291</v>
      </c>
      <c r="J144" t="s">
        <v>288</v>
      </c>
      <c r="K144" t="s">
        <v>103</v>
      </c>
      <c r="M144" t="b">
        <v>1</v>
      </c>
      <c r="N144" t="s">
        <v>42</v>
      </c>
      <c r="O144" t="s">
        <v>33</v>
      </c>
      <c r="Q144">
        <v>125.08</v>
      </c>
      <c r="R144">
        <v>2.9</v>
      </c>
      <c r="S144" t="s">
        <v>106</v>
      </c>
      <c r="T144">
        <v>50.6</v>
      </c>
      <c r="V144">
        <v>100.2</v>
      </c>
      <c r="W144">
        <v>77</v>
      </c>
      <c r="X144">
        <v>9.4</v>
      </c>
      <c r="Y144">
        <v>59.2</v>
      </c>
      <c r="Z144">
        <v>1397715000</v>
      </c>
      <c r="AA144">
        <v>35.861660000000001</v>
      </c>
      <c r="AB144">
        <v>104.195397</v>
      </c>
    </row>
    <row r="145" spans="1:28" hidden="1">
      <c r="A145">
        <v>144</v>
      </c>
      <c r="B145">
        <v>12100</v>
      </c>
      <c r="C145" t="s">
        <v>36</v>
      </c>
      <c r="D145" t="s">
        <v>504</v>
      </c>
      <c r="E145">
        <v>72</v>
      </c>
      <c r="G145" t="s">
        <v>38</v>
      </c>
      <c r="H145" t="s">
        <v>505</v>
      </c>
      <c r="I145" t="s">
        <v>506</v>
      </c>
      <c r="J145" t="s">
        <v>36</v>
      </c>
      <c r="K145" t="s">
        <v>38</v>
      </c>
      <c r="M145" t="b">
        <v>1</v>
      </c>
      <c r="N145" t="s">
        <v>32</v>
      </c>
      <c r="O145" t="s">
        <v>33</v>
      </c>
      <c r="Q145">
        <v>117.24</v>
      </c>
      <c r="R145">
        <v>7.5</v>
      </c>
      <c r="S145" t="s">
        <v>44</v>
      </c>
      <c r="T145">
        <v>88.2</v>
      </c>
      <c r="V145">
        <v>101.8</v>
      </c>
      <c r="W145">
        <v>78.5</v>
      </c>
      <c r="X145">
        <v>9.6</v>
      </c>
      <c r="Y145">
        <v>36.6</v>
      </c>
      <c r="Z145">
        <v>328239523</v>
      </c>
      <c r="AA145">
        <v>37.090240000000001</v>
      </c>
      <c r="AB145">
        <v>-95.712890999999999</v>
      </c>
    </row>
    <row r="146" spans="1:28">
      <c r="A146">
        <v>145</v>
      </c>
      <c r="B146">
        <v>12000</v>
      </c>
      <c r="C146" t="s">
        <v>45</v>
      </c>
      <c r="D146" t="s">
        <v>507</v>
      </c>
      <c r="E146">
        <v>59</v>
      </c>
      <c r="F146" t="str">
        <f>IF(E146&gt;=90,"90-100",IF(E146&gt;=80,"80-90",IF(E146&gt;=70,"70-80",IF(E146&gt;=60,"60-70",IF(E146&gt;=50,"50-60",IF(E146&gt;=40,"40-50",IF(E146&gt;=30,"30-40","20-30")))))))</f>
        <v>50-60</v>
      </c>
      <c r="G146" t="s">
        <v>38</v>
      </c>
      <c r="H146" t="s">
        <v>90</v>
      </c>
      <c r="I146" t="s">
        <v>508</v>
      </c>
      <c r="J146" t="s">
        <v>45</v>
      </c>
      <c r="K146" t="s">
        <v>38</v>
      </c>
      <c r="L146" t="s">
        <v>509</v>
      </c>
      <c r="M146" t="b">
        <v>0</v>
      </c>
      <c r="N146" t="s">
        <v>42</v>
      </c>
      <c r="O146" t="s">
        <v>4866</v>
      </c>
      <c r="P146" t="s">
        <v>415</v>
      </c>
      <c r="Q146">
        <v>117.24</v>
      </c>
      <c r="R146">
        <v>7.5</v>
      </c>
      <c r="S146" t="s">
        <v>44</v>
      </c>
      <c r="T146">
        <v>88.2</v>
      </c>
      <c r="U146" t="str">
        <f>IF(T146&gt;=100,"above 100",IF(T146&gt;=80,"80-100",IF(T146&gt;=60,"60-80",IF(T146&gt;=40,"40-60",IF(T146&gt;=20,"20-60","0-20")))))</f>
        <v>80-100</v>
      </c>
      <c r="V146">
        <v>101.8</v>
      </c>
      <c r="W146">
        <v>78.5</v>
      </c>
      <c r="X146">
        <v>9.6</v>
      </c>
      <c r="Y146">
        <v>36.6</v>
      </c>
      <c r="Z146">
        <v>328239523</v>
      </c>
      <c r="AA146">
        <v>37.090240000000001</v>
      </c>
      <c r="AB146">
        <v>-95.712890999999999</v>
      </c>
    </row>
    <row r="147" spans="1:28" hidden="1">
      <c r="A147">
        <v>146</v>
      </c>
      <c r="B147">
        <v>11800</v>
      </c>
      <c r="C147" t="s">
        <v>75</v>
      </c>
      <c r="D147" t="s">
        <v>510</v>
      </c>
      <c r="E147">
        <v>99</v>
      </c>
      <c r="G147" t="s">
        <v>172</v>
      </c>
      <c r="H147" t="s">
        <v>172</v>
      </c>
      <c r="I147" t="s">
        <v>511</v>
      </c>
      <c r="J147" t="s">
        <v>75</v>
      </c>
      <c r="K147" t="s">
        <v>512</v>
      </c>
      <c r="M147" t="b">
        <v>1</v>
      </c>
      <c r="N147" t="s">
        <v>32</v>
      </c>
      <c r="O147" t="s">
        <v>33</v>
      </c>
    </row>
    <row r="148" spans="1:28" hidden="1">
      <c r="A148">
        <v>147</v>
      </c>
      <c r="B148">
        <v>11600</v>
      </c>
      <c r="C148" t="s">
        <v>221</v>
      </c>
      <c r="D148" t="s">
        <v>513</v>
      </c>
      <c r="E148">
        <v>82</v>
      </c>
      <c r="G148" t="s">
        <v>38</v>
      </c>
      <c r="H148" t="s">
        <v>65</v>
      </c>
      <c r="I148" t="s">
        <v>223</v>
      </c>
      <c r="J148" t="s">
        <v>221</v>
      </c>
      <c r="K148" t="s">
        <v>38</v>
      </c>
      <c r="M148" t="b">
        <v>1</v>
      </c>
      <c r="N148" t="s">
        <v>32</v>
      </c>
      <c r="O148" t="s">
        <v>33</v>
      </c>
      <c r="Q148">
        <v>117.24</v>
      </c>
      <c r="R148">
        <v>7.5</v>
      </c>
      <c r="S148" t="s">
        <v>44</v>
      </c>
      <c r="T148">
        <v>88.2</v>
      </c>
      <c r="V148">
        <v>101.8</v>
      </c>
      <c r="W148">
        <v>78.5</v>
      </c>
      <c r="X148">
        <v>9.6</v>
      </c>
      <c r="Y148">
        <v>36.6</v>
      </c>
      <c r="Z148">
        <v>328239523</v>
      </c>
      <c r="AA148">
        <v>37.090240000000001</v>
      </c>
      <c r="AB148">
        <v>-95.712890999999999</v>
      </c>
    </row>
    <row r="149" spans="1:28" hidden="1">
      <c r="A149">
        <v>148</v>
      </c>
      <c r="B149">
        <v>11500</v>
      </c>
      <c r="C149" t="s">
        <v>45</v>
      </c>
      <c r="D149" t="s">
        <v>514</v>
      </c>
      <c r="E149">
        <v>38</v>
      </c>
      <c r="G149" t="s">
        <v>260</v>
      </c>
      <c r="H149" t="s">
        <v>515</v>
      </c>
      <c r="I149" t="s">
        <v>516</v>
      </c>
      <c r="J149" t="s">
        <v>45</v>
      </c>
      <c r="K149" t="s">
        <v>260</v>
      </c>
      <c r="M149" t="b">
        <v>1</v>
      </c>
      <c r="N149" t="s">
        <v>42</v>
      </c>
      <c r="O149" t="s">
        <v>33</v>
      </c>
      <c r="Q149">
        <v>114.52</v>
      </c>
      <c r="R149">
        <v>-1.9</v>
      </c>
      <c r="S149" t="s">
        <v>264</v>
      </c>
      <c r="T149">
        <v>36.799999999999997</v>
      </c>
      <c r="V149">
        <v>108.4</v>
      </c>
      <c r="W149">
        <v>77.8</v>
      </c>
      <c r="X149">
        <v>0.1</v>
      </c>
      <c r="Y149">
        <v>15.9</v>
      </c>
      <c r="Z149">
        <v>9770529</v>
      </c>
      <c r="AA149">
        <v>23.424075999999999</v>
      </c>
      <c r="AB149">
        <v>53.847817999999997</v>
      </c>
    </row>
    <row r="150" spans="1:28" hidden="1">
      <c r="A150">
        <v>148</v>
      </c>
      <c r="B150">
        <v>11500</v>
      </c>
      <c r="C150" t="s">
        <v>288</v>
      </c>
      <c r="D150" t="s">
        <v>517</v>
      </c>
      <c r="E150">
        <v>73</v>
      </c>
      <c r="G150" t="s">
        <v>148</v>
      </c>
      <c r="H150" t="s">
        <v>518</v>
      </c>
      <c r="I150" t="s">
        <v>418</v>
      </c>
      <c r="J150" t="s">
        <v>288</v>
      </c>
      <c r="K150" t="s">
        <v>148</v>
      </c>
      <c r="M150" t="b">
        <v>1</v>
      </c>
      <c r="N150" t="s">
        <v>42</v>
      </c>
      <c r="O150" t="s">
        <v>33</v>
      </c>
      <c r="Q150">
        <v>112.85</v>
      </c>
      <c r="R150">
        <v>1.4</v>
      </c>
      <c r="S150" t="s">
        <v>151</v>
      </c>
      <c r="T150">
        <v>70.2</v>
      </c>
      <c r="V150">
        <v>104</v>
      </c>
      <c r="W150">
        <v>80.900000000000006</v>
      </c>
      <c r="X150">
        <v>11.5</v>
      </c>
      <c r="Y150">
        <v>48.8</v>
      </c>
      <c r="Z150">
        <v>83132799</v>
      </c>
      <c r="AA150">
        <v>51.165691000000002</v>
      </c>
      <c r="AB150">
        <v>10.451525999999999</v>
      </c>
    </row>
    <row r="151" spans="1:28" hidden="1">
      <c r="A151">
        <v>148</v>
      </c>
      <c r="B151">
        <v>11500</v>
      </c>
      <c r="C151" t="s">
        <v>288</v>
      </c>
      <c r="D151" t="s">
        <v>519</v>
      </c>
      <c r="E151">
        <v>73</v>
      </c>
      <c r="G151" t="s">
        <v>148</v>
      </c>
      <c r="H151" t="s">
        <v>518</v>
      </c>
      <c r="I151" t="s">
        <v>418</v>
      </c>
      <c r="J151" t="s">
        <v>288</v>
      </c>
      <c r="K151" t="s">
        <v>148</v>
      </c>
      <c r="M151" t="b">
        <v>1</v>
      </c>
      <c r="N151" t="s">
        <v>42</v>
      </c>
      <c r="O151" t="s">
        <v>33</v>
      </c>
      <c r="Q151">
        <v>112.85</v>
      </c>
      <c r="R151">
        <v>1.4</v>
      </c>
      <c r="S151" t="s">
        <v>151</v>
      </c>
      <c r="T151">
        <v>70.2</v>
      </c>
      <c r="V151">
        <v>104</v>
      </c>
      <c r="W151">
        <v>80.900000000000006</v>
      </c>
      <c r="X151">
        <v>11.5</v>
      </c>
      <c r="Y151">
        <v>48.8</v>
      </c>
      <c r="Z151">
        <v>83132799</v>
      </c>
      <c r="AA151">
        <v>51.165691000000002</v>
      </c>
      <c r="AB151">
        <v>10.451525999999999</v>
      </c>
    </row>
    <row r="152" spans="1:28" hidden="1">
      <c r="A152">
        <v>151</v>
      </c>
      <c r="B152">
        <v>11400</v>
      </c>
      <c r="C152" t="s">
        <v>101</v>
      </c>
      <c r="D152" t="s">
        <v>520</v>
      </c>
      <c r="E152">
        <v>59</v>
      </c>
      <c r="G152" t="s">
        <v>103</v>
      </c>
      <c r="H152" t="s">
        <v>521</v>
      </c>
      <c r="I152" t="s">
        <v>522</v>
      </c>
      <c r="J152" t="s">
        <v>101</v>
      </c>
      <c r="K152" t="s">
        <v>103</v>
      </c>
      <c r="M152" t="b">
        <v>1</v>
      </c>
      <c r="N152" t="s">
        <v>42</v>
      </c>
      <c r="O152" t="s">
        <v>33</v>
      </c>
      <c r="Q152">
        <v>125.08</v>
      </c>
      <c r="R152">
        <v>2.9</v>
      </c>
      <c r="S152" t="s">
        <v>106</v>
      </c>
      <c r="T152">
        <v>50.6</v>
      </c>
      <c r="V152">
        <v>100.2</v>
      </c>
      <c r="W152">
        <v>77</v>
      </c>
      <c r="X152">
        <v>9.4</v>
      </c>
      <c r="Y152">
        <v>59.2</v>
      </c>
      <c r="Z152">
        <v>1397715000</v>
      </c>
      <c r="AA152">
        <v>35.861660000000001</v>
      </c>
      <c r="AB152">
        <v>104.195397</v>
      </c>
    </row>
    <row r="153" spans="1:28">
      <c r="A153">
        <v>151</v>
      </c>
      <c r="B153">
        <v>11400</v>
      </c>
      <c r="C153" t="s">
        <v>26</v>
      </c>
      <c r="D153" t="s">
        <v>523</v>
      </c>
      <c r="E153">
        <v>50</v>
      </c>
      <c r="F153" t="str">
        <f>IF(E153&gt;=90,"90-100",IF(E153&gt;=80,"80-90",IF(E153&gt;=70,"70-80",IF(E153&gt;=60,"60-70",IF(E153&gt;=50,"50-60",IF(E153&gt;=40,"40-50",IF(E153&gt;=30,"30-40","20-30")))))))</f>
        <v>50-60</v>
      </c>
      <c r="G153" t="s">
        <v>38</v>
      </c>
      <c r="H153" t="s">
        <v>524</v>
      </c>
      <c r="I153" t="s">
        <v>525</v>
      </c>
      <c r="J153" t="s">
        <v>26</v>
      </c>
      <c r="K153" t="s">
        <v>38</v>
      </c>
      <c r="L153" t="s">
        <v>526</v>
      </c>
      <c r="M153" t="b">
        <v>1</v>
      </c>
      <c r="N153" t="s">
        <v>32</v>
      </c>
      <c r="O153" t="s">
        <v>4867</v>
      </c>
      <c r="P153" t="s">
        <v>43</v>
      </c>
      <c r="Q153">
        <v>117.24</v>
      </c>
      <c r="R153">
        <v>7.5</v>
      </c>
      <c r="S153" t="s">
        <v>44</v>
      </c>
      <c r="T153">
        <v>88.2</v>
      </c>
      <c r="U153" t="str">
        <f t="shared" ref="U153:U154" si="14">IF(T153&gt;=100,"above 100",IF(T153&gt;=80,"80-100",IF(T153&gt;=60,"60-80",IF(T153&gt;=40,"40-60",IF(T153&gt;=20,"20-60","0-20")))))</f>
        <v>80-100</v>
      </c>
      <c r="V153">
        <v>101.8</v>
      </c>
      <c r="W153">
        <v>78.5</v>
      </c>
      <c r="X153">
        <v>9.6</v>
      </c>
      <c r="Y153">
        <v>36.6</v>
      </c>
      <c r="Z153">
        <v>328239523</v>
      </c>
      <c r="AA153">
        <v>37.090240000000001</v>
      </c>
      <c r="AB153">
        <v>-95.712890999999999</v>
      </c>
    </row>
    <row r="154" spans="1:28">
      <c r="A154">
        <v>153</v>
      </c>
      <c r="B154">
        <v>11300</v>
      </c>
      <c r="C154" t="s">
        <v>54</v>
      </c>
      <c r="D154" t="s">
        <v>527</v>
      </c>
      <c r="E154">
        <v>74</v>
      </c>
      <c r="F154" t="str">
        <f>IF(E154&gt;=90,"90-100",IF(E154&gt;=80,"80-90",IF(E154&gt;=70,"70-80",IF(E154&gt;=60,"60-70",IF(E154&gt;=50,"50-60",IF(E154&gt;=40,"40-50",IF(E154&gt;=30,"30-40","20-30")))))))</f>
        <v>70-80</v>
      </c>
      <c r="G154" t="s">
        <v>38</v>
      </c>
      <c r="H154" t="s">
        <v>65</v>
      </c>
      <c r="I154" t="s">
        <v>185</v>
      </c>
      <c r="J154" t="s">
        <v>54</v>
      </c>
      <c r="K154" t="s">
        <v>38</v>
      </c>
      <c r="L154" t="s">
        <v>528</v>
      </c>
      <c r="M154" t="b">
        <v>1</v>
      </c>
      <c r="N154" t="s">
        <v>42</v>
      </c>
      <c r="O154" t="s">
        <v>4867</v>
      </c>
      <c r="P154" t="s">
        <v>146</v>
      </c>
      <c r="Q154">
        <v>117.24</v>
      </c>
      <c r="R154">
        <v>7.5</v>
      </c>
      <c r="S154" t="s">
        <v>44</v>
      </c>
      <c r="T154">
        <v>88.2</v>
      </c>
      <c r="U154" t="str">
        <f t="shared" si="14"/>
        <v>80-100</v>
      </c>
      <c r="V154">
        <v>101.8</v>
      </c>
      <c r="W154">
        <v>78.5</v>
      </c>
      <c r="X154">
        <v>9.6</v>
      </c>
      <c r="Y154">
        <v>36.6</v>
      </c>
      <c r="Z154">
        <v>328239523</v>
      </c>
      <c r="AA154">
        <v>37.090240000000001</v>
      </c>
      <c r="AB154">
        <v>-95.712890999999999</v>
      </c>
    </row>
    <row r="155" spans="1:28" hidden="1">
      <c r="A155">
        <v>153</v>
      </c>
      <c r="B155">
        <v>11300</v>
      </c>
      <c r="C155" t="s">
        <v>217</v>
      </c>
      <c r="D155" t="s">
        <v>529</v>
      </c>
      <c r="E155">
        <v>69</v>
      </c>
      <c r="G155" t="s">
        <v>342</v>
      </c>
      <c r="H155" t="s">
        <v>530</v>
      </c>
      <c r="I155" t="s">
        <v>531</v>
      </c>
      <c r="J155" t="s">
        <v>217</v>
      </c>
      <c r="K155" t="s">
        <v>263</v>
      </c>
      <c r="M155" t="b">
        <v>1</v>
      </c>
      <c r="N155" t="s">
        <v>32</v>
      </c>
      <c r="O155" t="s">
        <v>33</v>
      </c>
      <c r="Q155">
        <v>108.15</v>
      </c>
      <c r="R155">
        <v>0.8</v>
      </c>
      <c r="S155" t="s">
        <v>532</v>
      </c>
      <c r="T155">
        <v>63.4</v>
      </c>
      <c r="V155">
        <v>104.9</v>
      </c>
      <c r="W155">
        <v>82.8</v>
      </c>
      <c r="X155">
        <v>23.1</v>
      </c>
      <c r="Y155">
        <v>25.3</v>
      </c>
      <c r="Z155">
        <v>9053300</v>
      </c>
      <c r="AA155">
        <v>31.046050999999999</v>
      </c>
      <c r="AB155">
        <v>34.851612000000003</v>
      </c>
    </row>
    <row r="156" spans="1:28" hidden="1">
      <c r="A156">
        <v>153</v>
      </c>
      <c r="B156">
        <v>11300</v>
      </c>
      <c r="C156" t="s">
        <v>217</v>
      </c>
      <c r="D156" t="s">
        <v>533</v>
      </c>
      <c r="E156">
        <v>62</v>
      </c>
      <c r="G156" t="s">
        <v>238</v>
      </c>
      <c r="H156" t="s">
        <v>534</v>
      </c>
      <c r="I156" t="s">
        <v>217</v>
      </c>
      <c r="J156" t="s">
        <v>217</v>
      </c>
      <c r="K156" t="s">
        <v>238</v>
      </c>
      <c r="M156" t="b">
        <v>0</v>
      </c>
      <c r="N156" t="s">
        <v>42</v>
      </c>
      <c r="O156" t="s">
        <v>33</v>
      </c>
      <c r="Q156">
        <v>119.8</v>
      </c>
      <c r="R156">
        <v>1.6</v>
      </c>
      <c r="S156" t="s">
        <v>243</v>
      </c>
      <c r="T156">
        <v>113.1</v>
      </c>
      <c r="V156">
        <v>100.3</v>
      </c>
      <c r="W156">
        <v>82.7</v>
      </c>
      <c r="X156">
        <v>23</v>
      </c>
      <c r="Y156">
        <v>47.4</v>
      </c>
      <c r="Z156">
        <v>25766605</v>
      </c>
      <c r="AA156">
        <v>-25.274398000000001</v>
      </c>
      <c r="AB156">
        <v>133.775136</v>
      </c>
    </row>
    <row r="157" spans="1:28" hidden="1">
      <c r="A157">
        <v>153</v>
      </c>
      <c r="B157">
        <v>11300</v>
      </c>
      <c r="C157" t="s">
        <v>54</v>
      </c>
      <c r="D157" t="s">
        <v>535</v>
      </c>
      <c r="E157">
        <v>57</v>
      </c>
      <c r="G157" t="s">
        <v>156</v>
      </c>
      <c r="H157" t="s">
        <v>536</v>
      </c>
      <c r="I157" t="s">
        <v>231</v>
      </c>
      <c r="J157" t="s">
        <v>54</v>
      </c>
      <c r="K157" t="s">
        <v>263</v>
      </c>
      <c r="M157" t="b">
        <v>1</v>
      </c>
      <c r="N157" t="s">
        <v>32</v>
      </c>
      <c r="O157" t="s">
        <v>33</v>
      </c>
      <c r="Q157">
        <v>99.55</v>
      </c>
      <c r="R157">
        <v>0.4</v>
      </c>
      <c r="S157" t="s">
        <v>159</v>
      </c>
      <c r="T157">
        <v>59.6</v>
      </c>
      <c r="V157">
        <v>105.2</v>
      </c>
      <c r="W157">
        <v>83.6</v>
      </c>
      <c r="X157">
        <v>10.1</v>
      </c>
      <c r="Y157">
        <v>28.8</v>
      </c>
      <c r="Z157">
        <v>8574832</v>
      </c>
      <c r="AA157">
        <v>46.818187999999999</v>
      </c>
      <c r="AB157">
        <v>8.2275120000000008</v>
      </c>
    </row>
    <row r="158" spans="1:28" hidden="1">
      <c r="A158">
        <v>157</v>
      </c>
      <c r="B158">
        <v>11100</v>
      </c>
      <c r="C158" t="s">
        <v>26</v>
      </c>
      <c r="D158" t="s">
        <v>537</v>
      </c>
      <c r="E158">
        <v>88</v>
      </c>
      <c r="G158" t="s">
        <v>164</v>
      </c>
      <c r="H158" t="s">
        <v>538</v>
      </c>
      <c r="I158" t="s">
        <v>153</v>
      </c>
      <c r="J158" t="s">
        <v>26</v>
      </c>
      <c r="K158" t="s">
        <v>164</v>
      </c>
      <c r="M158" t="b">
        <v>1</v>
      </c>
      <c r="N158" t="s">
        <v>32</v>
      </c>
      <c r="O158" t="s">
        <v>33</v>
      </c>
      <c r="Q158">
        <v>110.62</v>
      </c>
      <c r="R158">
        <v>0.6</v>
      </c>
      <c r="S158" t="s">
        <v>539</v>
      </c>
      <c r="T158">
        <v>61.9</v>
      </c>
      <c r="V158">
        <v>101.9</v>
      </c>
      <c r="W158">
        <v>82.9</v>
      </c>
      <c r="X158">
        <v>24.3</v>
      </c>
      <c r="Y158">
        <v>59.1</v>
      </c>
      <c r="Z158">
        <v>60297396</v>
      </c>
      <c r="AA158">
        <v>41.871940000000002</v>
      </c>
      <c r="AB158">
        <v>12.56738</v>
      </c>
    </row>
    <row r="159" spans="1:28" hidden="1">
      <c r="A159">
        <v>157</v>
      </c>
      <c r="B159">
        <v>11100</v>
      </c>
      <c r="C159" t="s">
        <v>26</v>
      </c>
      <c r="D159" t="s">
        <v>540</v>
      </c>
      <c r="E159">
        <v>72</v>
      </c>
      <c r="G159" t="s">
        <v>541</v>
      </c>
      <c r="H159" t="s">
        <v>542</v>
      </c>
      <c r="I159" t="s">
        <v>153</v>
      </c>
      <c r="J159" t="s">
        <v>26</v>
      </c>
      <c r="K159" t="s">
        <v>541</v>
      </c>
      <c r="M159" t="b">
        <v>0</v>
      </c>
      <c r="N159" t="s">
        <v>32</v>
      </c>
      <c r="O159" t="s">
        <v>33</v>
      </c>
      <c r="Q159">
        <v>158.93</v>
      </c>
      <c r="R159">
        <v>4.0999999999999996</v>
      </c>
      <c r="S159" t="s">
        <v>543</v>
      </c>
      <c r="T159">
        <v>22.4</v>
      </c>
      <c r="V159">
        <v>100.9</v>
      </c>
      <c r="W159">
        <v>63.9</v>
      </c>
      <c r="X159">
        <v>27.5</v>
      </c>
      <c r="Y159">
        <v>29.2</v>
      </c>
      <c r="Z159">
        <v>58558270</v>
      </c>
      <c r="AA159">
        <v>-30.559481999999999</v>
      </c>
      <c r="AB159">
        <v>22.937505999999999</v>
      </c>
    </row>
    <row r="160" spans="1:28" hidden="1">
      <c r="A160">
        <v>159</v>
      </c>
      <c r="B160">
        <v>11000</v>
      </c>
      <c r="C160" t="s">
        <v>54</v>
      </c>
      <c r="D160" t="s">
        <v>544</v>
      </c>
      <c r="E160">
        <v>58</v>
      </c>
      <c r="G160" t="s">
        <v>172</v>
      </c>
      <c r="H160" t="s">
        <v>172</v>
      </c>
      <c r="I160" t="s">
        <v>545</v>
      </c>
      <c r="J160" t="s">
        <v>54</v>
      </c>
      <c r="K160" t="s">
        <v>172</v>
      </c>
      <c r="M160" t="b">
        <v>1</v>
      </c>
      <c r="N160" t="s">
        <v>42</v>
      </c>
      <c r="O160" t="s">
        <v>33</v>
      </c>
    </row>
    <row r="161" spans="1:28" hidden="1">
      <c r="A161">
        <v>159</v>
      </c>
      <c r="B161">
        <v>11000</v>
      </c>
      <c r="C161" t="s">
        <v>45</v>
      </c>
      <c r="D161" t="s">
        <v>546</v>
      </c>
      <c r="E161">
        <v>51</v>
      </c>
      <c r="G161" t="s">
        <v>103</v>
      </c>
      <c r="H161" t="s">
        <v>176</v>
      </c>
      <c r="I161" t="s">
        <v>177</v>
      </c>
      <c r="J161" t="s">
        <v>45</v>
      </c>
      <c r="K161" t="s">
        <v>103</v>
      </c>
      <c r="M161" t="b">
        <v>1</v>
      </c>
      <c r="N161" t="s">
        <v>42</v>
      </c>
      <c r="O161" t="s">
        <v>33</v>
      </c>
      <c r="Q161">
        <v>125.08</v>
      </c>
      <c r="R161">
        <v>2.9</v>
      </c>
      <c r="S161" t="s">
        <v>106</v>
      </c>
      <c r="T161">
        <v>50.6</v>
      </c>
      <c r="V161">
        <v>100.2</v>
      </c>
      <c r="W161">
        <v>77</v>
      </c>
      <c r="X161">
        <v>9.4</v>
      </c>
      <c r="Y161">
        <v>59.2</v>
      </c>
      <c r="Z161">
        <v>1397715000</v>
      </c>
      <c r="AA161">
        <v>35.861660000000001</v>
      </c>
      <c r="AB161">
        <v>104.195397</v>
      </c>
    </row>
    <row r="162" spans="1:28" hidden="1">
      <c r="A162">
        <v>161</v>
      </c>
      <c r="B162">
        <v>10900</v>
      </c>
      <c r="C162" t="s">
        <v>54</v>
      </c>
      <c r="D162" t="s">
        <v>547</v>
      </c>
      <c r="E162">
        <v>83</v>
      </c>
      <c r="G162" t="s">
        <v>38</v>
      </c>
      <c r="H162" t="s">
        <v>548</v>
      </c>
      <c r="I162" t="s">
        <v>549</v>
      </c>
      <c r="J162" t="s">
        <v>54</v>
      </c>
      <c r="K162" t="s">
        <v>38</v>
      </c>
      <c r="M162" t="b">
        <v>0</v>
      </c>
      <c r="N162" t="s">
        <v>419</v>
      </c>
      <c r="O162" t="s">
        <v>33</v>
      </c>
      <c r="Q162">
        <v>117.24</v>
      </c>
      <c r="R162">
        <v>7.5</v>
      </c>
      <c r="S162" t="s">
        <v>44</v>
      </c>
      <c r="T162">
        <v>88.2</v>
      </c>
      <c r="V162">
        <v>101.8</v>
      </c>
      <c r="W162">
        <v>78.5</v>
      </c>
      <c r="X162">
        <v>9.6</v>
      </c>
      <c r="Y162">
        <v>36.6</v>
      </c>
      <c r="Z162">
        <v>328239523</v>
      </c>
      <c r="AA162">
        <v>37.090240000000001</v>
      </c>
      <c r="AB162">
        <v>-95.712890999999999</v>
      </c>
    </row>
    <row r="163" spans="1:28">
      <c r="A163">
        <v>161</v>
      </c>
      <c r="B163">
        <v>10900</v>
      </c>
      <c r="C163" t="s">
        <v>26</v>
      </c>
      <c r="D163" t="s">
        <v>550</v>
      </c>
      <c r="E163">
        <v>85</v>
      </c>
      <c r="F163" t="str">
        <f>IF(E163&gt;=90,"90-100",IF(E163&gt;=80,"80-90",IF(E163&gt;=70,"70-80",IF(E163&gt;=60,"60-70",IF(E163&gt;=50,"50-60",IF(E163&gt;=40,"40-50",IF(E163&gt;=30,"30-40","20-30")))))))</f>
        <v>80-90</v>
      </c>
      <c r="G163" t="s">
        <v>38</v>
      </c>
      <c r="H163" t="s">
        <v>350</v>
      </c>
      <c r="I163" t="s">
        <v>551</v>
      </c>
      <c r="J163" t="s">
        <v>26</v>
      </c>
      <c r="K163" t="s">
        <v>38</v>
      </c>
      <c r="L163" t="s">
        <v>552</v>
      </c>
      <c r="M163" t="b">
        <v>1</v>
      </c>
      <c r="N163" t="s">
        <v>32</v>
      </c>
      <c r="O163" t="s">
        <v>4866</v>
      </c>
      <c r="P163" t="s">
        <v>34</v>
      </c>
      <c r="Q163">
        <v>117.24</v>
      </c>
      <c r="R163">
        <v>7.5</v>
      </c>
      <c r="S163" t="s">
        <v>44</v>
      </c>
      <c r="T163">
        <v>88.2</v>
      </c>
      <c r="U163" t="str">
        <f>IF(T163&gt;=100,"above 100",IF(T163&gt;=80,"80-100",IF(T163&gt;=60,"60-80",IF(T163&gt;=40,"40-60",IF(T163&gt;=20,"20-60","0-20")))))</f>
        <v>80-100</v>
      </c>
      <c r="V163">
        <v>101.8</v>
      </c>
      <c r="W163">
        <v>78.5</v>
      </c>
      <c r="X163">
        <v>9.6</v>
      </c>
      <c r="Y163">
        <v>36.6</v>
      </c>
      <c r="Z163">
        <v>328239523</v>
      </c>
      <c r="AA163">
        <v>37.090240000000001</v>
      </c>
      <c r="AB163">
        <v>-95.712890999999999</v>
      </c>
    </row>
    <row r="164" spans="1:28" hidden="1">
      <c r="A164">
        <v>161</v>
      </c>
      <c r="B164">
        <v>10900</v>
      </c>
      <c r="C164" t="s">
        <v>26</v>
      </c>
      <c r="D164" t="s">
        <v>553</v>
      </c>
      <c r="E164">
        <v>67</v>
      </c>
      <c r="G164" t="s">
        <v>70</v>
      </c>
      <c r="H164" t="s">
        <v>71</v>
      </c>
      <c r="I164" t="s">
        <v>554</v>
      </c>
      <c r="J164" t="s">
        <v>26</v>
      </c>
      <c r="K164" t="s">
        <v>70</v>
      </c>
      <c r="M164" t="b">
        <v>0</v>
      </c>
      <c r="N164" t="s">
        <v>42</v>
      </c>
      <c r="O164" t="s">
        <v>33</v>
      </c>
      <c r="Q164">
        <v>141.54</v>
      </c>
      <c r="R164">
        <v>3.6</v>
      </c>
      <c r="S164" t="s">
        <v>74</v>
      </c>
      <c r="T164">
        <v>40.200000000000003</v>
      </c>
      <c r="V164">
        <v>105.8</v>
      </c>
      <c r="W164">
        <v>75</v>
      </c>
      <c r="X164">
        <v>13.1</v>
      </c>
      <c r="Y164">
        <v>55.1</v>
      </c>
      <c r="Z164">
        <v>126014024</v>
      </c>
      <c r="AA164">
        <v>23.634501</v>
      </c>
      <c r="AB164">
        <v>-102.552784</v>
      </c>
    </row>
    <row r="165" spans="1:28" hidden="1">
      <c r="A165">
        <v>164</v>
      </c>
      <c r="B165">
        <v>10700</v>
      </c>
      <c r="C165" t="s">
        <v>63</v>
      </c>
      <c r="D165" t="s">
        <v>555</v>
      </c>
      <c r="E165">
        <v>93</v>
      </c>
      <c r="G165" t="s">
        <v>38</v>
      </c>
      <c r="H165" t="s">
        <v>65</v>
      </c>
      <c r="I165" t="s">
        <v>129</v>
      </c>
      <c r="J165" t="s">
        <v>63</v>
      </c>
      <c r="K165" t="s">
        <v>38</v>
      </c>
      <c r="M165" t="b">
        <v>0</v>
      </c>
      <c r="N165" t="s">
        <v>42</v>
      </c>
      <c r="O165" t="s">
        <v>33</v>
      </c>
      <c r="Q165">
        <v>117.24</v>
      </c>
      <c r="R165">
        <v>7.5</v>
      </c>
      <c r="S165" t="s">
        <v>44</v>
      </c>
      <c r="T165">
        <v>88.2</v>
      </c>
      <c r="V165">
        <v>101.8</v>
      </c>
      <c r="W165">
        <v>78.5</v>
      </c>
      <c r="X165">
        <v>9.6</v>
      </c>
      <c r="Y165">
        <v>36.6</v>
      </c>
      <c r="Z165">
        <v>328239523</v>
      </c>
      <c r="AA165">
        <v>37.090240000000001</v>
      </c>
      <c r="AB165">
        <v>-95.712890999999999</v>
      </c>
    </row>
    <row r="166" spans="1:28">
      <c r="A166">
        <v>165</v>
      </c>
      <c r="B166">
        <v>10600</v>
      </c>
      <c r="C166" t="s">
        <v>478</v>
      </c>
      <c r="D166" t="s">
        <v>556</v>
      </c>
      <c r="E166">
        <v>81</v>
      </c>
      <c r="F166" t="str">
        <f>IF(E166&gt;=90,"90-100",IF(E166&gt;=80,"80-90",IF(E166&gt;=70,"70-80",IF(E166&gt;=60,"60-70",IF(E166&gt;=50,"50-60",IF(E166&gt;=40,"40-50",IF(E166&gt;=30,"30-40","20-30")))))))</f>
        <v>80-90</v>
      </c>
      <c r="G166" t="s">
        <v>38</v>
      </c>
      <c r="H166" t="s">
        <v>557</v>
      </c>
      <c r="I166" t="s">
        <v>558</v>
      </c>
      <c r="J166" t="s">
        <v>478</v>
      </c>
      <c r="K166" t="s">
        <v>38</v>
      </c>
      <c r="L166" t="s">
        <v>559</v>
      </c>
      <c r="M166" t="b">
        <v>1</v>
      </c>
      <c r="N166" t="s">
        <v>32</v>
      </c>
      <c r="O166" t="s">
        <v>4867</v>
      </c>
      <c r="P166" t="s">
        <v>560</v>
      </c>
      <c r="Q166">
        <v>117.24</v>
      </c>
      <c r="R166">
        <v>7.5</v>
      </c>
      <c r="S166" t="s">
        <v>44</v>
      </c>
      <c r="T166">
        <v>88.2</v>
      </c>
      <c r="U166" t="str">
        <f>IF(T166&gt;=100,"above 100",IF(T166&gt;=80,"80-100",IF(T166&gt;=60,"60-80",IF(T166&gt;=40,"40-60",IF(T166&gt;=20,"20-60","0-20")))))</f>
        <v>80-100</v>
      </c>
      <c r="V166">
        <v>101.8</v>
      </c>
      <c r="W166">
        <v>78.5</v>
      </c>
      <c r="X166">
        <v>9.6</v>
      </c>
      <c r="Y166">
        <v>36.6</v>
      </c>
      <c r="Z166">
        <v>328239523</v>
      </c>
      <c r="AA166">
        <v>37.090240000000001</v>
      </c>
      <c r="AB166">
        <v>-95.712890999999999</v>
      </c>
    </row>
    <row r="167" spans="1:28" hidden="1">
      <c r="A167">
        <v>165</v>
      </c>
      <c r="B167">
        <v>10600</v>
      </c>
      <c r="C167" t="s">
        <v>101</v>
      </c>
      <c r="D167" t="s">
        <v>561</v>
      </c>
      <c r="E167">
        <v>73</v>
      </c>
      <c r="G167" t="s">
        <v>384</v>
      </c>
      <c r="H167" t="s">
        <v>562</v>
      </c>
      <c r="I167" t="s">
        <v>414</v>
      </c>
      <c r="J167" t="s">
        <v>101</v>
      </c>
      <c r="K167" t="s">
        <v>384</v>
      </c>
      <c r="M167" t="b">
        <v>1</v>
      </c>
      <c r="N167" t="s">
        <v>32</v>
      </c>
      <c r="O167" t="s">
        <v>33</v>
      </c>
      <c r="Q167">
        <v>167.4</v>
      </c>
      <c r="R167">
        <v>3.7</v>
      </c>
      <c r="S167" t="s">
        <v>563</v>
      </c>
      <c r="T167">
        <v>51.3</v>
      </c>
      <c r="V167">
        <v>115.4</v>
      </c>
      <c r="W167">
        <v>75.7</v>
      </c>
      <c r="X167">
        <v>14.2</v>
      </c>
      <c r="Y167">
        <v>65.099999999999994</v>
      </c>
      <c r="Z167">
        <v>212559417</v>
      </c>
      <c r="AA167">
        <v>-14.235004</v>
      </c>
      <c r="AB167">
        <v>-51.925280000000001</v>
      </c>
    </row>
    <row r="168" spans="1:28" hidden="1">
      <c r="A168">
        <v>167</v>
      </c>
      <c r="B168">
        <v>10500</v>
      </c>
      <c r="C168" t="s">
        <v>54</v>
      </c>
      <c r="D168" t="s">
        <v>564</v>
      </c>
      <c r="E168">
        <v>57</v>
      </c>
      <c r="G168" t="s">
        <v>263</v>
      </c>
      <c r="H168" t="s">
        <v>274</v>
      </c>
      <c r="I168" t="s">
        <v>565</v>
      </c>
      <c r="J168" t="s">
        <v>54</v>
      </c>
      <c r="K168" t="s">
        <v>263</v>
      </c>
      <c r="M168" t="b">
        <v>1</v>
      </c>
      <c r="N168" t="s">
        <v>32</v>
      </c>
      <c r="O168" t="s">
        <v>33</v>
      </c>
      <c r="Q168">
        <v>180.75</v>
      </c>
      <c r="R168">
        <v>4.5</v>
      </c>
      <c r="S168" t="s">
        <v>276</v>
      </c>
      <c r="T168">
        <v>81.900000000000006</v>
      </c>
      <c r="V168">
        <v>102.6</v>
      </c>
      <c r="W168">
        <v>72.7</v>
      </c>
      <c r="X168">
        <v>11.4</v>
      </c>
      <c r="Y168">
        <v>46.2</v>
      </c>
      <c r="Z168">
        <v>144373535</v>
      </c>
      <c r="AA168">
        <v>61.524009999999997</v>
      </c>
      <c r="AB168">
        <v>105.31875599999999</v>
      </c>
    </row>
    <row r="169" spans="1:28" hidden="1">
      <c r="A169">
        <v>167</v>
      </c>
      <c r="B169">
        <v>10500</v>
      </c>
      <c r="C169" t="s">
        <v>26</v>
      </c>
      <c r="D169" t="s">
        <v>566</v>
      </c>
      <c r="E169">
        <v>39</v>
      </c>
      <c r="G169" t="s">
        <v>103</v>
      </c>
      <c r="H169" t="s">
        <v>489</v>
      </c>
      <c r="I169" t="s">
        <v>216</v>
      </c>
      <c r="J169" t="s">
        <v>26</v>
      </c>
      <c r="K169" t="s">
        <v>103</v>
      </c>
      <c r="M169" t="b">
        <v>1</v>
      </c>
      <c r="N169" t="s">
        <v>32</v>
      </c>
      <c r="O169" t="s">
        <v>33</v>
      </c>
      <c r="Q169">
        <v>125.08</v>
      </c>
      <c r="R169">
        <v>2.9</v>
      </c>
      <c r="S169" t="s">
        <v>106</v>
      </c>
      <c r="T169">
        <v>50.6</v>
      </c>
      <c r="V169">
        <v>100.2</v>
      </c>
      <c r="W169">
        <v>77</v>
      </c>
      <c r="X169">
        <v>9.4</v>
      </c>
      <c r="Y169">
        <v>59.2</v>
      </c>
      <c r="Z169">
        <v>1397715000</v>
      </c>
      <c r="AA169">
        <v>35.861660000000001</v>
      </c>
      <c r="AB169">
        <v>104.195397</v>
      </c>
    </row>
    <row r="170" spans="1:28" hidden="1">
      <c r="A170">
        <v>167</v>
      </c>
      <c r="B170">
        <v>10500</v>
      </c>
      <c r="C170" t="s">
        <v>54</v>
      </c>
      <c r="D170" t="s">
        <v>567</v>
      </c>
      <c r="E170">
        <v>45</v>
      </c>
      <c r="G170" t="s">
        <v>260</v>
      </c>
      <c r="H170" t="s">
        <v>515</v>
      </c>
      <c r="I170" t="s">
        <v>568</v>
      </c>
      <c r="J170" t="s">
        <v>54</v>
      </c>
      <c r="K170" t="s">
        <v>127</v>
      </c>
      <c r="M170" t="b">
        <v>1</v>
      </c>
      <c r="N170" t="s">
        <v>42</v>
      </c>
      <c r="O170" t="s">
        <v>33</v>
      </c>
      <c r="Q170">
        <v>114.52</v>
      </c>
      <c r="R170">
        <v>-1.9</v>
      </c>
      <c r="S170" t="s">
        <v>264</v>
      </c>
      <c r="T170">
        <v>36.799999999999997</v>
      </c>
      <c r="V170">
        <v>108.4</v>
      </c>
      <c r="W170">
        <v>77.8</v>
      </c>
      <c r="X170">
        <v>0.1</v>
      </c>
      <c r="Y170">
        <v>15.9</v>
      </c>
      <c r="Z170">
        <v>9770529</v>
      </c>
      <c r="AA170">
        <v>23.424075999999999</v>
      </c>
      <c r="AB170">
        <v>53.847817999999997</v>
      </c>
    </row>
    <row r="171" spans="1:28" hidden="1">
      <c r="A171">
        <v>170</v>
      </c>
      <c r="B171">
        <v>10300</v>
      </c>
      <c r="C171" t="s">
        <v>54</v>
      </c>
      <c r="D171" t="s">
        <v>569</v>
      </c>
      <c r="E171">
        <v>70</v>
      </c>
      <c r="G171" t="s">
        <v>38</v>
      </c>
      <c r="H171" t="s">
        <v>480</v>
      </c>
      <c r="I171" t="s">
        <v>570</v>
      </c>
      <c r="J171" t="s">
        <v>54</v>
      </c>
      <c r="K171" t="s">
        <v>38</v>
      </c>
      <c r="M171" t="b">
        <v>1</v>
      </c>
      <c r="N171" t="s">
        <v>32</v>
      </c>
      <c r="O171" t="s">
        <v>33</v>
      </c>
      <c r="Q171">
        <v>117.24</v>
      </c>
      <c r="R171">
        <v>7.5</v>
      </c>
      <c r="S171" t="s">
        <v>44</v>
      </c>
      <c r="T171">
        <v>88.2</v>
      </c>
      <c r="V171">
        <v>101.8</v>
      </c>
      <c r="W171">
        <v>78.5</v>
      </c>
      <c r="X171">
        <v>9.6</v>
      </c>
      <c r="Y171">
        <v>36.6</v>
      </c>
      <c r="Z171">
        <v>328239523</v>
      </c>
      <c r="AA171">
        <v>37.090240000000001</v>
      </c>
      <c r="AB171">
        <v>-95.712890999999999</v>
      </c>
    </row>
    <row r="172" spans="1:28" hidden="1">
      <c r="A172">
        <v>171</v>
      </c>
      <c r="B172">
        <v>10200</v>
      </c>
      <c r="C172" t="s">
        <v>45</v>
      </c>
      <c r="D172" t="s">
        <v>571</v>
      </c>
      <c r="E172">
        <v>43</v>
      </c>
      <c r="G172" t="s">
        <v>238</v>
      </c>
      <c r="H172" t="s">
        <v>492</v>
      </c>
      <c r="I172" t="s">
        <v>572</v>
      </c>
      <c r="J172" t="s">
        <v>45</v>
      </c>
      <c r="K172" t="s">
        <v>238</v>
      </c>
      <c r="M172" t="b">
        <v>1</v>
      </c>
      <c r="N172" t="s">
        <v>42</v>
      </c>
      <c r="O172" t="s">
        <v>33</v>
      </c>
      <c r="Q172">
        <v>119.8</v>
      </c>
      <c r="R172">
        <v>1.6</v>
      </c>
      <c r="S172" t="s">
        <v>243</v>
      </c>
      <c r="T172">
        <v>113.1</v>
      </c>
      <c r="V172">
        <v>100.3</v>
      </c>
      <c r="W172">
        <v>82.7</v>
      </c>
      <c r="X172">
        <v>23</v>
      </c>
      <c r="Y172">
        <v>47.4</v>
      </c>
      <c r="Z172">
        <v>25766605</v>
      </c>
      <c r="AA172">
        <v>-25.274398000000001</v>
      </c>
      <c r="AB172">
        <v>133.775136</v>
      </c>
    </row>
    <row r="173" spans="1:28" hidden="1">
      <c r="A173">
        <v>171</v>
      </c>
      <c r="B173">
        <v>10200</v>
      </c>
      <c r="C173" t="s">
        <v>288</v>
      </c>
      <c r="D173" t="s">
        <v>573</v>
      </c>
      <c r="E173">
        <v>60</v>
      </c>
      <c r="G173" t="s">
        <v>38</v>
      </c>
      <c r="H173" t="s">
        <v>574</v>
      </c>
      <c r="I173" t="s">
        <v>440</v>
      </c>
      <c r="J173" t="s">
        <v>288</v>
      </c>
      <c r="K173" t="s">
        <v>38</v>
      </c>
      <c r="M173" t="b">
        <v>0</v>
      </c>
      <c r="N173" t="s">
        <v>42</v>
      </c>
      <c r="O173" t="s">
        <v>33</v>
      </c>
      <c r="Q173">
        <v>117.24</v>
      </c>
      <c r="R173">
        <v>7.5</v>
      </c>
      <c r="S173" t="s">
        <v>44</v>
      </c>
      <c r="T173">
        <v>88.2</v>
      </c>
      <c r="V173">
        <v>101.8</v>
      </c>
      <c r="W173">
        <v>78.5</v>
      </c>
      <c r="X173">
        <v>9.6</v>
      </c>
      <c r="Y173">
        <v>36.6</v>
      </c>
      <c r="Z173">
        <v>328239523</v>
      </c>
      <c r="AA173">
        <v>37.090240000000001</v>
      </c>
      <c r="AB173">
        <v>-95.712890999999999</v>
      </c>
    </row>
    <row r="174" spans="1:28">
      <c r="A174">
        <v>171</v>
      </c>
      <c r="B174">
        <v>10200</v>
      </c>
      <c r="C174" t="s">
        <v>45</v>
      </c>
      <c r="D174" t="s">
        <v>575</v>
      </c>
      <c r="E174">
        <v>82</v>
      </c>
      <c r="F174" t="str">
        <f>IF(E174&gt;=90,"90-100",IF(E174&gt;=80,"80-90",IF(E174&gt;=70,"70-80",IF(E174&gt;=60,"60-70",IF(E174&gt;=50,"50-60",IF(E174&gt;=40,"40-50",IF(E174&gt;=30,"30-40","20-30")))))))</f>
        <v>80-90</v>
      </c>
      <c r="G174" t="s">
        <v>38</v>
      </c>
      <c r="H174" t="s">
        <v>576</v>
      </c>
      <c r="I174" t="s">
        <v>577</v>
      </c>
      <c r="J174" t="s">
        <v>45</v>
      </c>
      <c r="K174" t="s">
        <v>38</v>
      </c>
      <c r="L174" t="s">
        <v>578</v>
      </c>
      <c r="M174" t="b">
        <v>1</v>
      </c>
      <c r="N174" t="s">
        <v>42</v>
      </c>
      <c r="O174" t="s">
        <v>4867</v>
      </c>
      <c r="P174" t="s">
        <v>579</v>
      </c>
      <c r="Q174">
        <v>117.24</v>
      </c>
      <c r="R174">
        <v>7.5</v>
      </c>
      <c r="S174" t="s">
        <v>44</v>
      </c>
      <c r="T174">
        <v>88.2</v>
      </c>
      <c r="U174" t="str">
        <f>IF(T174&gt;=100,"above 100",IF(T174&gt;=80,"80-100",IF(T174&gt;=60,"60-80",IF(T174&gt;=40,"40-60",IF(T174&gt;=20,"20-60","0-20")))))</f>
        <v>80-100</v>
      </c>
      <c r="V174">
        <v>101.8</v>
      </c>
      <c r="W174">
        <v>78.5</v>
      </c>
      <c r="X174">
        <v>9.6</v>
      </c>
      <c r="Y174">
        <v>36.6</v>
      </c>
      <c r="Z174">
        <v>328239523</v>
      </c>
      <c r="AA174">
        <v>37.090240000000001</v>
      </c>
      <c r="AB174">
        <v>-95.712890999999999</v>
      </c>
    </row>
    <row r="175" spans="1:28" hidden="1">
      <c r="A175">
        <v>171</v>
      </c>
      <c r="B175">
        <v>10200</v>
      </c>
      <c r="C175" t="s">
        <v>250</v>
      </c>
      <c r="D175" t="s">
        <v>580</v>
      </c>
      <c r="E175">
        <v>64</v>
      </c>
      <c r="G175" t="s">
        <v>38</v>
      </c>
      <c r="H175" t="s">
        <v>581</v>
      </c>
      <c r="I175" t="s">
        <v>325</v>
      </c>
      <c r="J175" t="s">
        <v>250</v>
      </c>
      <c r="K175" t="s">
        <v>38</v>
      </c>
      <c r="M175" t="b">
        <v>1</v>
      </c>
      <c r="N175" t="s">
        <v>32</v>
      </c>
      <c r="O175" t="s">
        <v>33</v>
      </c>
      <c r="Q175">
        <v>117.24</v>
      </c>
      <c r="R175">
        <v>7.5</v>
      </c>
      <c r="S175" t="s">
        <v>44</v>
      </c>
      <c r="T175">
        <v>88.2</v>
      </c>
      <c r="V175">
        <v>101.8</v>
      </c>
      <c r="W175">
        <v>78.5</v>
      </c>
      <c r="X175">
        <v>9.6</v>
      </c>
      <c r="Y175">
        <v>36.6</v>
      </c>
      <c r="Z175">
        <v>328239523</v>
      </c>
      <c r="AA175">
        <v>37.090240000000001</v>
      </c>
      <c r="AB175">
        <v>-95.712890999999999</v>
      </c>
    </row>
    <row r="176" spans="1:28" hidden="1">
      <c r="A176">
        <v>171</v>
      </c>
      <c r="B176">
        <v>10200</v>
      </c>
      <c r="C176" t="s">
        <v>217</v>
      </c>
      <c r="D176" t="s">
        <v>582</v>
      </c>
      <c r="E176">
        <v>74</v>
      </c>
      <c r="G176" t="s">
        <v>263</v>
      </c>
      <c r="H176" t="s">
        <v>583</v>
      </c>
      <c r="I176" t="s">
        <v>362</v>
      </c>
      <c r="J176" t="s">
        <v>217</v>
      </c>
      <c r="K176" t="s">
        <v>263</v>
      </c>
      <c r="M176" t="b">
        <v>1</v>
      </c>
      <c r="N176" t="s">
        <v>32</v>
      </c>
      <c r="O176" t="s">
        <v>33</v>
      </c>
      <c r="Q176">
        <v>180.75</v>
      </c>
      <c r="R176">
        <v>4.5</v>
      </c>
      <c r="S176" t="s">
        <v>276</v>
      </c>
      <c r="T176">
        <v>81.900000000000006</v>
      </c>
      <c r="V176">
        <v>102.6</v>
      </c>
      <c r="W176">
        <v>72.7</v>
      </c>
      <c r="X176">
        <v>11.4</v>
      </c>
      <c r="Y176">
        <v>46.2</v>
      </c>
      <c r="Z176">
        <v>144373535</v>
      </c>
      <c r="AA176">
        <v>61.524009999999997</v>
      </c>
      <c r="AB176">
        <v>105.31875599999999</v>
      </c>
    </row>
    <row r="177" spans="1:28">
      <c r="A177">
        <v>171</v>
      </c>
      <c r="B177">
        <v>10200</v>
      </c>
      <c r="C177" t="s">
        <v>45</v>
      </c>
      <c r="D177" t="s">
        <v>584</v>
      </c>
      <c r="E177">
        <v>41</v>
      </c>
      <c r="F177" t="str">
        <f>IF(E177&gt;=90,"90-100",IF(E177&gt;=80,"80-90",IF(E177&gt;=70,"70-80",IF(E177&gt;=60,"60-70",IF(E177&gt;=50,"50-60",IF(E177&gt;=40,"40-50",IF(E177&gt;=30,"30-40","20-30")))))))</f>
        <v>40-50</v>
      </c>
      <c r="G177" t="s">
        <v>395</v>
      </c>
      <c r="H177" t="s">
        <v>395</v>
      </c>
      <c r="I177" t="s">
        <v>108</v>
      </c>
      <c r="J177" t="s">
        <v>45</v>
      </c>
      <c r="K177" t="s">
        <v>384</v>
      </c>
      <c r="L177" t="s">
        <v>109</v>
      </c>
      <c r="M177" t="b">
        <v>1</v>
      </c>
      <c r="N177" t="s">
        <v>42</v>
      </c>
      <c r="O177" t="s">
        <v>4867</v>
      </c>
      <c r="P177" t="s">
        <v>468</v>
      </c>
      <c r="Q177">
        <v>114.41</v>
      </c>
      <c r="R177">
        <v>0.6</v>
      </c>
      <c r="S177" t="s">
        <v>451</v>
      </c>
      <c r="T177">
        <v>84.8</v>
      </c>
      <c r="U177" t="str">
        <f>IF(T177&gt;=100,"above 100",IF(T177&gt;=80,"80-100",IF(T177&gt;=60,"60-80",IF(T177&gt;=40,"40-60",IF(T177&gt;=20,"20-60","0-20")))))</f>
        <v>80-100</v>
      </c>
      <c r="V177">
        <v>100.6</v>
      </c>
      <c r="W177">
        <v>83.1</v>
      </c>
      <c r="X177">
        <v>13.1</v>
      </c>
      <c r="Y177">
        <v>21</v>
      </c>
      <c r="Z177">
        <v>5703569</v>
      </c>
      <c r="AA177">
        <v>1.3520829999999999</v>
      </c>
      <c r="AB177">
        <v>103.819836</v>
      </c>
    </row>
    <row r="178" spans="1:28" hidden="1">
      <c r="A178">
        <v>171</v>
      </c>
      <c r="B178">
        <v>10200</v>
      </c>
      <c r="C178" t="s">
        <v>36</v>
      </c>
      <c r="D178" t="s">
        <v>585</v>
      </c>
      <c r="E178">
        <v>58</v>
      </c>
      <c r="G178" t="s">
        <v>148</v>
      </c>
      <c r="H178" t="s">
        <v>586</v>
      </c>
      <c r="I178" t="s">
        <v>506</v>
      </c>
      <c r="J178" t="s">
        <v>36</v>
      </c>
      <c r="K178" t="s">
        <v>148</v>
      </c>
      <c r="M178" t="b">
        <v>0</v>
      </c>
      <c r="N178" t="s">
        <v>32</v>
      </c>
      <c r="O178" t="s">
        <v>33</v>
      </c>
      <c r="Q178">
        <v>112.85</v>
      </c>
      <c r="R178">
        <v>1.4</v>
      </c>
      <c r="S178" t="s">
        <v>151</v>
      </c>
      <c r="T178">
        <v>70.2</v>
      </c>
      <c r="V178">
        <v>104</v>
      </c>
      <c r="W178">
        <v>80.900000000000006</v>
      </c>
      <c r="X178">
        <v>11.5</v>
      </c>
      <c r="Y178">
        <v>48.8</v>
      </c>
      <c r="Z178">
        <v>83132799</v>
      </c>
      <c r="AA178">
        <v>51.165691000000002</v>
      </c>
      <c r="AB178">
        <v>10.451525999999999</v>
      </c>
    </row>
    <row r="179" spans="1:28" hidden="1">
      <c r="A179">
        <v>171</v>
      </c>
      <c r="B179">
        <v>10200</v>
      </c>
      <c r="C179" t="s">
        <v>26</v>
      </c>
      <c r="D179" t="s">
        <v>587</v>
      </c>
      <c r="E179">
        <v>74</v>
      </c>
      <c r="G179" t="s">
        <v>38</v>
      </c>
      <c r="H179" t="s">
        <v>170</v>
      </c>
      <c r="I179" t="s">
        <v>118</v>
      </c>
      <c r="J179" t="s">
        <v>26</v>
      </c>
      <c r="K179" t="s">
        <v>38</v>
      </c>
      <c r="M179" t="b">
        <v>0</v>
      </c>
      <c r="N179" t="s">
        <v>32</v>
      </c>
      <c r="O179" t="s">
        <v>88</v>
      </c>
      <c r="Q179">
        <v>117.24</v>
      </c>
      <c r="R179">
        <v>7.5</v>
      </c>
      <c r="S179" t="s">
        <v>44</v>
      </c>
      <c r="T179">
        <v>88.2</v>
      </c>
      <c r="V179">
        <v>101.8</v>
      </c>
      <c r="W179">
        <v>78.5</v>
      </c>
      <c r="X179">
        <v>9.6</v>
      </c>
      <c r="Y179">
        <v>36.6</v>
      </c>
      <c r="Z179">
        <v>328239523</v>
      </c>
      <c r="AA179">
        <v>37.090240000000001</v>
      </c>
      <c r="AB179">
        <v>-95.712890999999999</v>
      </c>
    </row>
    <row r="180" spans="1:28" hidden="1">
      <c r="A180">
        <v>179</v>
      </c>
      <c r="B180">
        <v>10100</v>
      </c>
      <c r="C180" t="s">
        <v>45</v>
      </c>
      <c r="D180" t="s">
        <v>588</v>
      </c>
      <c r="E180">
        <v>43</v>
      </c>
      <c r="G180" t="s">
        <v>238</v>
      </c>
      <c r="H180" t="s">
        <v>492</v>
      </c>
      <c r="I180" t="s">
        <v>572</v>
      </c>
      <c r="J180" t="s">
        <v>45</v>
      </c>
      <c r="K180" t="s">
        <v>238</v>
      </c>
      <c r="M180" t="b">
        <v>1</v>
      </c>
      <c r="N180" t="s">
        <v>42</v>
      </c>
      <c r="O180" t="s">
        <v>33</v>
      </c>
      <c r="Q180">
        <v>119.8</v>
      </c>
      <c r="R180">
        <v>1.6</v>
      </c>
      <c r="S180" t="s">
        <v>243</v>
      </c>
      <c r="T180">
        <v>113.1</v>
      </c>
      <c r="V180">
        <v>100.3</v>
      </c>
      <c r="W180">
        <v>82.7</v>
      </c>
      <c r="X180">
        <v>23</v>
      </c>
      <c r="Y180">
        <v>47.4</v>
      </c>
      <c r="Z180">
        <v>25766605</v>
      </c>
      <c r="AA180">
        <v>-25.274398000000001</v>
      </c>
      <c r="AB180">
        <v>133.775136</v>
      </c>
    </row>
    <row r="181" spans="1:28" hidden="1">
      <c r="A181">
        <v>179</v>
      </c>
      <c r="B181">
        <v>10100</v>
      </c>
      <c r="C181" t="s">
        <v>75</v>
      </c>
      <c r="D181" t="s">
        <v>589</v>
      </c>
      <c r="E181">
        <v>81</v>
      </c>
      <c r="G181" t="s">
        <v>512</v>
      </c>
      <c r="H181" t="s">
        <v>590</v>
      </c>
      <c r="I181" t="s">
        <v>591</v>
      </c>
      <c r="J181" t="s">
        <v>75</v>
      </c>
      <c r="K181" t="s">
        <v>512</v>
      </c>
      <c r="M181" t="b">
        <v>0</v>
      </c>
      <c r="N181" t="s">
        <v>42</v>
      </c>
      <c r="O181" t="s">
        <v>33</v>
      </c>
      <c r="Q181">
        <v>121.46</v>
      </c>
      <c r="R181">
        <v>0.7</v>
      </c>
      <c r="S181" t="s">
        <v>592</v>
      </c>
      <c r="T181">
        <v>45.1</v>
      </c>
      <c r="V181">
        <v>105.3</v>
      </c>
      <c r="W181">
        <v>76</v>
      </c>
      <c r="X181">
        <v>12</v>
      </c>
      <c r="Y181">
        <v>38.700000000000003</v>
      </c>
      <c r="Z181">
        <v>32447385</v>
      </c>
      <c r="AA181">
        <v>4.2104840000000001</v>
      </c>
      <c r="AB181">
        <v>101.97576599999999</v>
      </c>
    </row>
    <row r="182" spans="1:28" hidden="1">
      <c r="A182">
        <v>179</v>
      </c>
      <c r="B182">
        <v>10100</v>
      </c>
      <c r="C182" t="s">
        <v>221</v>
      </c>
      <c r="D182" t="s">
        <v>593</v>
      </c>
      <c r="E182">
        <v>59</v>
      </c>
      <c r="G182" t="s">
        <v>103</v>
      </c>
      <c r="H182" t="s">
        <v>143</v>
      </c>
      <c r="I182" t="s">
        <v>223</v>
      </c>
      <c r="J182" t="s">
        <v>221</v>
      </c>
      <c r="K182" t="s">
        <v>103</v>
      </c>
      <c r="M182" t="b">
        <v>1</v>
      </c>
      <c r="N182" t="s">
        <v>42</v>
      </c>
      <c r="O182" t="s">
        <v>88</v>
      </c>
      <c r="Q182">
        <v>125.08</v>
      </c>
      <c r="R182">
        <v>2.9</v>
      </c>
      <c r="S182" t="s">
        <v>106</v>
      </c>
      <c r="T182">
        <v>50.6</v>
      </c>
      <c r="V182">
        <v>100.2</v>
      </c>
      <c r="W182">
        <v>77</v>
      </c>
      <c r="X182">
        <v>9.4</v>
      </c>
      <c r="Y182">
        <v>59.2</v>
      </c>
      <c r="Z182">
        <v>1397715000</v>
      </c>
      <c r="AA182">
        <v>35.861660000000001</v>
      </c>
      <c r="AB182">
        <v>104.195397</v>
      </c>
    </row>
    <row r="183" spans="1:28" hidden="1">
      <c r="A183">
        <v>182</v>
      </c>
      <c r="B183">
        <v>10000</v>
      </c>
      <c r="C183" t="s">
        <v>250</v>
      </c>
      <c r="D183" t="s">
        <v>594</v>
      </c>
      <c r="E183">
        <v>85</v>
      </c>
      <c r="G183" t="s">
        <v>38</v>
      </c>
      <c r="H183" t="s">
        <v>595</v>
      </c>
      <c r="I183" t="s">
        <v>325</v>
      </c>
      <c r="J183" t="s">
        <v>250</v>
      </c>
      <c r="K183" t="s">
        <v>38</v>
      </c>
      <c r="M183" t="b">
        <v>1</v>
      </c>
      <c r="N183" t="s">
        <v>32</v>
      </c>
      <c r="O183" t="s">
        <v>33</v>
      </c>
      <c r="Q183">
        <v>117.24</v>
      </c>
      <c r="R183">
        <v>7.5</v>
      </c>
      <c r="S183" t="s">
        <v>44</v>
      </c>
      <c r="T183">
        <v>88.2</v>
      </c>
      <c r="V183">
        <v>101.8</v>
      </c>
      <c r="W183">
        <v>78.5</v>
      </c>
      <c r="X183">
        <v>9.6</v>
      </c>
      <c r="Y183">
        <v>36.6</v>
      </c>
      <c r="Z183">
        <v>328239523</v>
      </c>
      <c r="AA183">
        <v>37.090240000000001</v>
      </c>
      <c r="AB183">
        <v>-95.712890999999999</v>
      </c>
    </row>
    <row r="184" spans="1:28">
      <c r="A184">
        <v>183</v>
      </c>
      <c r="B184">
        <v>9900</v>
      </c>
      <c r="C184" t="s">
        <v>308</v>
      </c>
      <c r="D184" t="s">
        <v>596</v>
      </c>
      <c r="E184">
        <v>74</v>
      </c>
      <c r="F184" t="str">
        <f>IF(E184&gt;=90,"90-100",IF(E184&gt;=80,"80-90",IF(E184&gt;=70,"70-80",IF(E184&gt;=60,"60-70",IF(E184&gt;=50,"50-60",IF(E184&gt;=40,"40-50",IF(E184&gt;=30,"30-40","20-30")))))))</f>
        <v>70-80</v>
      </c>
      <c r="G184" t="s">
        <v>103</v>
      </c>
      <c r="H184" t="s">
        <v>215</v>
      </c>
      <c r="I184" t="s">
        <v>75</v>
      </c>
      <c r="J184" t="s">
        <v>308</v>
      </c>
      <c r="K184" t="s">
        <v>103</v>
      </c>
      <c r="L184" t="s">
        <v>597</v>
      </c>
      <c r="M184" t="b">
        <v>1</v>
      </c>
      <c r="N184" t="s">
        <v>42</v>
      </c>
      <c r="O184" t="s">
        <v>4867</v>
      </c>
      <c r="P184" t="s">
        <v>131</v>
      </c>
      <c r="Q184">
        <v>125.08</v>
      </c>
      <c r="R184">
        <v>2.9</v>
      </c>
      <c r="S184" t="s">
        <v>106</v>
      </c>
      <c r="T184">
        <v>50.6</v>
      </c>
      <c r="U184" t="str">
        <f>IF(T184&gt;=100,"above 100",IF(T184&gt;=80,"80-100",IF(T184&gt;=60,"60-80",IF(T184&gt;=40,"40-60",IF(T184&gt;=20,"20-60","0-20")))))</f>
        <v>40-60</v>
      </c>
      <c r="V184">
        <v>100.2</v>
      </c>
      <c r="W184">
        <v>77</v>
      </c>
      <c r="X184">
        <v>9.4</v>
      </c>
      <c r="Y184">
        <v>59.2</v>
      </c>
      <c r="Z184">
        <v>1397715000</v>
      </c>
      <c r="AA184">
        <v>35.861660000000001</v>
      </c>
      <c r="AB184">
        <v>104.195397</v>
      </c>
    </row>
    <row r="185" spans="1:28" hidden="1">
      <c r="A185">
        <v>184</v>
      </c>
      <c r="B185">
        <v>9800</v>
      </c>
      <c r="C185" t="s">
        <v>75</v>
      </c>
      <c r="D185" t="s">
        <v>598</v>
      </c>
      <c r="E185">
        <v>74</v>
      </c>
      <c r="G185" t="s">
        <v>260</v>
      </c>
      <c r="H185" t="s">
        <v>515</v>
      </c>
      <c r="I185" t="s">
        <v>138</v>
      </c>
      <c r="J185" t="s">
        <v>75</v>
      </c>
      <c r="K185" t="s">
        <v>467</v>
      </c>
      <c r="M185" t="b">
        <v>1</v>
      </c>
      <c r="N185" t="s">
        <v>212</v>
      </c>
      <c r="O185" t="s">
        <v>33</v>
      </c>
      <c r="Q185">
        <v>114.52</v>
      </c>
      <c r="R185">
        <v>-1.9</v>
      </c>
      <c r="S185" t="s">
        <v>264</v>
      </c>
      <c r="T185">
        <v>36.799999999999997</v>
      </c>
      <c r="V185">
        <v>108.4</v>
      </c>
      <c r="W185">
        <v>77.8</v>
      </c>
      <c r="X185">
        <v>0.1</v>
      </c>
      <c r="Y185">
        <v>15.9</v>
      </c>
      <c r="Z185">
        <v>9770529</v>
      </c>
      <c r="AA185">
        <v>23.424075999999999</v>
      </c>
      <c r="AB185">
        <v>53.847817999999997</v>
      </c>
    </row>
    <row r="186" spans="1:28" hidden="1">
      <c r="A186">
        <v>184</v>
      </c>
      <c r="B186">
        <v>9800</v>
      </c>
      <c r="C186" t="s">
        <v>26</v>
      </c>
      <c r="D186" t="s">
        <v>599</v>
      </c>
      <c r="E186">
        <v>80</v>
      </c>
      <c r="G186" t="s">
        <v>156</v>
      </c>
      <c r="H186" t="s">
        <v>600</v>
      </c>
      <c r="I186" t="s">
        <v>601</v>
      </c>
      <c r="J186" t="s">
        <v>26</v>
      </c>
      <c r="K186" t="s">
        <v>28</v>
      </c>
      <c r="M186" t="b">
        <v>0</v>
      </c>
      <c r="N186" t="s">
        <v>32</v>
      </c>
      <c r="O186" t="s">
        <v>33</v>
      </c>
      <c r="Q186">
        <v>99.55</v>
      </c>
      <c r="R186">
        <v>0.4</v>
      </c>
      <c r="S186" t="s">
        <v>159</v>
      </c>
      <c r="T186">
        <v>59.6</v>
      </c>
      <c r="V186">
        <v>105.2</v>
      </c>
      <c r="W186">
        <v>83.6</v>
      </c>
      <c r="X186">
        <v>10.1</v>
      </c>
      <c r="Y186">
        <v>28.8</v>
      </c>
      <c r="Z186">
        <v>8574832</v>
      </c>
      <c r="AA186">
        <v>46.818187999999999</v>
      </c>
      <c r="AB186">
        <v>8.2275120000000008</v>
      </c>
    </row>
    <row r="187" spans="1:28" hidden="1">
      <c r="A187">
        <v>184</v>
      </c>
      <c r="B187">
        <v>9800</v>
      </c>
      <c r="C187" t="s">
        <v>154</v>
      </c>
      <c r="D187" t="s">
        <v>602</v>
      </c>
      <c r="E187">
        <v>51</v>
      </c>
      <c r="G187" t="s">
        <v>28</v>
      </c>
      <c r="H187" t="s">
        <v>603</v>
      </c>
      <c r="I187" t="s">
        <v>158</v>
      </c>
      <c r="J187" t="s">
        <v>154</v>
      </c>
      <c r="K187" t="s">
        <v>28</v>
      </c>
      <c r="M187" t="b">
        <v>0</v>
      </c>
      <c r="N187" t="s">
        <v>212</v>
      </c>
      <c r="O187" t="s">
        <v>33</v>
      </c>
      <c r="Q187">
        <v>110.05</v>
      </c>
      <c r="R187">
        <v>1.1000000000000001</v>
      </c>
      <c r="S187" t="s">
        <v>35</v>
      </c>
      <c r="T187">
        <v>65.599999999999994</v>
      </c>
      <c r="V187">
        <v>102.5</v>
      </c>
      <c r="W187">
        <v>82.5</v>
      </c>
      <c r="X187">
        <v>24.2</v>
      </c>
      <c r="Y187">
        <v>60.7</v>
      </c>
      <c r="Z187">
        <v>67059887</v>
      </c>
      <c r="AA187">
        <v>46.227637999999999</v>
      </c>
      <c r="AB187">
        <v>2.213749</v>
      </c>
    </row>
    <row r="188" spans="1:28">
      <c r="A188">
        <v>184</v>
      </c>
      <c r="B188">
        <v>9800</v>
      </c>
      <c r="C188" t="s">
        <v>154</v>
      </c>
      <c r="D188" t="s">
        <v>604</v>
      </c>
      <c r="E188">
        <v>53</v>
      </c>
      <c r="F188" t="str">
        <f>IF(E188&gt;=90,"90-100",IF(E188&gt;=80,"80-90",IF(E188&gt;=70,"70-80",IF(E188&gt;=60,"60-70",IF(E188&gt;=50,"50-60",IF(E188&gt;=40,"40-50",IF(E188&gt;=30,"30-40","20-30")))))))</f>
        <v>50-60</v>
      </c>
      <c r="G188" t="s">
        <v>28</v>
      </c>
      <c r="H188" t="s">
        <v>603</v>
      </c>
      <c r="I188" t="s">
        <v>158</v>
      </c>
      <c r="J188" t="s">
        <v>154</v>
      </c>
      <c r="K188" t="s">
        <v>28</v>
      </c>
      <c r="L188" t="s">
        <v>605</v>
      </c>
      <c r="M188" t="b">
        <v>0</v>
      </c>
      <c r="N188" t="s">
        <v>212</v>
      </c>
      <c r="O188" t="s">
        <v>4867</v>
      </c>
      <c r="P188" t="s">
        <v>34</v>
      </c>
      <c r="Q188">
        <v>110.05</v>
      </c>
      <c r="R188">
        <v>1.1000000000000001</v>
      </c>
      <c r="S188" t="s">
        <v>35</v>
      </c>
      <c r="T188">
        <v>65.599999999999994</v>
      </c>
      <c r="U188" t="str">
        <f>IF(T188&gt;=100,"above 100",IF(T188&gt;=80,"80-100",IF(T188&gt;=60,"60-80",IF(T188&gt;=40,"40-60",IF(T188&gt;=20,"20-60","0-20")))))</f>
        <v>60-80</v>
      </c>
      <c r="V188">
        <v>102.5</v>
      </c>
      <c r="W188">
        <v>82.5</v>
      </c>
      <c r="X188">
        <v>24.2</v>
      </c>
      <c r="Y188">
        <v>60.7</v>
      </c>
      <c r="Z188">
        <v>67059887</v>
      </c>
      <c r="AA188">
        <v>46.227637999999999</v>
      </c>
      <c r="AB188">
        <v>2.213749</v>
      </c>
    </row>
    <row r="189" spans="1:28" hidden="1">
      <c r="A189">
        <v>184</v>
      </c>
      <c r="B189">
        <v>9800</v>
      </c>
      <c r="C189" t="s">
        <v>154</v>
      </c>
      <c r="D189" t="s">
        <v>606</v>
      </c>
      <c r="E189">
        <v>55</v>
      </c>
      <c r="G189" t="s">
        <v>28</v>
      </c>
      <c r="H189" t="s">
        <v>603</v>
      </c>
      <c r="I189" t="s">
        <v>158</v>
      </c>
      <c r="J189" t="s">
        <v>154</v>
      </c>
      <c r="K189" t="s">
        <v>28</v>
      </c>
      <c r="M189" t="b">
        <v>0</v>
      </c>
      <c r="N189" t="s">
        <v>212</v>
      </c>
      <c r="O189" t="s">
        <v>88</v>
      </c>
      <c r="Q189">
        <v>110.05</v>
      </c>
      <c r="R189">
        <v>1.1000000000000001</v>
      </c>
      <c r="S189" t="s">
        <v>35</v>
      </c>
      <c r="T189">
        <v>65.599999999999994</v>
      </c>
      <c r="V189">
        <v>102.5</v>
      </c>
      <c r="W189">
        <v>82.5</v>
      </c>
      <c r="X189">
        <v>24.2</v>
      </c>
      <c r="Y189">
        <v>60.7</v>
      </c>
      <c r="Z189">
        <v>67059887</v>
      </c>
      <c r="AA189">
        <v>46.227637999999999</v>
      </c>
      <c r="AB189">
        <v>2.213749</v>
      </c>
    </row>
    <row r="190" spans="1:28" hidden="1">
      <c r="A190">
        <v>184</v>
      </c>
      <c r="B190">
        <v>9800</v>
      </c>
      <c r="C190" t="s">
        <v>54</v>
      </c>
      <c r="D190" t="s">
        <v>607</v>
      </c>
      <c r="E190">
        <v>75</v>
      </c>
      <c r="G190" t="s">
        <v>397</v>
      </c>
      <c r="H190" t="s">
        <v>398</v>
      </c>
      <c r="I190" t="s">
        <v>231</v>
      </c>
      <c r="J190" t="s">
        <v>54</v>
      </c>
      <c r="K190" t="s">
        <v>397</v>
      </c>
      <c r="M190" t="b">
        <v>1</v>
      </c>
      <c r="N190" t="s">
        <v>42</v>
      </c>
      <c r="O190" t="s">
        <v>33</v>
      </c>
      <c r="Q190">
        <v>110.51</v>
      </c>
      <c r="R190">
        <v>1.8</v>
      </c>
      <c r="S190" t="s">
        <v>401</v>
      </c>
      <c r="T190">
        <v>67</v>
      </c>
      <c r="V190">
        <v>126.6</v>
      </c>
      <c r="W190">
        <v>82.5</v>
      </c>
      <c r="X190">
        <v>27.9</v>
      </c>
      <c r="Y190">
        <v>49.1</v>
      </c>
      <c r="Z190">
        <v>10285453</v>
      </c>
      <c r="AA190">
        <v>60.128160999999999</v>
      </c>
      <c r="AB190">
        <v>18.643501000000001</v>
      </c>
    </row>
    <row r="191" spans="1:28" hidden="1">
      <c r="A191">
        <v>190</v>
      </c>
      <c r="B191">
        <v>9700</v>
      </c>
      <c r="C191" t="s">
        <v>217</v>
      </c>
      <c r="D191" t="s">
        <v>608</v>
      </c>
      <c r="E191">
        <v>63</v>
      </c>
      <c r="G191" t="s">
        <v>263</v>
      </c>
      <c r="H191" t="s">
        <v>274</v>
      </c>
      <c r="I191" t="s">
        <v>609</v>
      </c>
      <c r="J191" t="s">
        <v>217</v>
      </c>
      <c r="K191" t="s">
        <v>263</v>
      </c>
      <c r="M191" t="b">
        <v>1</v>
      </c>
      <c r="N191" t="s">
        <v>32</v>
      </c>
      <c r="O191" t="s">
        <v>33</v>
      </c>
      <c r="Q191">
        <v>180.75</v>
      </c>
      <c r="R191">
        <v>4.5</v>
      </c>
      <c r="S191" t="s">
        <v>276</v>
      </c>
      <c r="T191">
        <v>81.900000000000006</v>
      </c>
      <c r="V191">
        <v>102.6</v>
      </c>
      <c r="W191">
        <v>72.7</v>
      </c>
      <c r="X191">
        <v>11.4</v>
      </c>
      <c r="Y191">
        <v>46.2</v>
      </c>
      <c r="Z191">
        <v>144373535</v>
      </c>
      <c r="AA191">
        <v>61.524009999999997</v>
      </c>
      <c r="AB191">
        <v>105.31875599999999</v>
      </c>
    </row>
    <row r="192" spans="1:28">
      <c r="A192">
        <v>190</v>
      </c>
      <c r="B192">
        <v>9700</v>
      </c>
      <c r="C192" t="s">
        <v>54</v>
      </c>
      <c r="D192" t="s">
        <v>610</v>
      </c>
      <c r="E192">
        <v>59</v>
      </c>
      <c r="F192" t="s">
        <v>4846</v>
      </c>
      <c r="G192" t="s">
        <v>611</v>
      </c>
      <c r="H192" t="s">
        <v>612</v>
      </c>
      <c r="I192" t="s">
        <v>613</v>
      </c>
      <c r="J192" t="s">
        <v>54</v>
      </c>
      <c r="K192" t="s">
        <v>38</v>
      </c>
      <c r="L192" t="s">
        <v>614</v>
      </c>
      <c r="M192" t="b">
        <v>1</v>
      </c>
      <c r="N192" t="s">
        <v>32</v>
      </c>
      <c r="O192" t="s">
        <v>33</v>
      </c>
      <c r="Q192">
        <v>115.16</v>
      </c>
      <c r="R192">
        <v>0.4</v>
      </c>
      <c r="S192" t="s">
        <v>615</v>
      </c>
      <c r="T192">
        <v>94.3</v>
      </c>
      <c r="U192" t="str">
        <f t="shared" ref="U192:U193" si="15">IF(T192&gt;=100,"above 100",IF(T192&gt;=80,"80-100",IF(T192&gt;=60,"60-80",IF(T192&gt;=40,"40-60",IF(T192&gt;=20,"20-60","0-20")))))</f>
        <v>80-100</v>
      </c>
      <c r="V192">
        <v>98.1</v>
      </c>
      <c r="W192">
        <v>82.6</v>
      </c>
      <c r="X192">
        <v>15.6</v>
      </c>
      <c r="Y192">
        <v>33.200000000000003</v>
      </c>
      <c r="Z192">
        <v>51709098</v>
      </c>
      <c r="AA192">
        <v>35.907756999999997</v>
      </c>
      <c r="AB192">
        <v>127.76692199999999</v>
      </c>
    </row>
    <row r="193" spans="1:28">
      <c r="A193">
        <v>190</v>
      </c>
      <c r="B193">
        <v>9700</v>
      </c>
      <c r="C193" t="s">
        <v>45</v>
      </c>
      <c r="D193" t="s">
        <v>616</v>
      </c>
      <c r="E193">
        <v>53</v>
      </c>
      <c r="F193" t="str">
        <f>IF(E193&gt;=90,"90-100",IF(E193&gt;=80,"80-90",IF(E193&gt;=70,"70-80",IF(E193&gt;=60,"60-70",IF(E193&gt;=50,"50-60",IF(E193&gt;=40,"40-50",IF(E193&gt;=30,"30-40","20-30")))))))</f>
        <v>50-60</v>
      </c>
      <c r="G193" t="s">
        <v>103</v>
      </c>
      <c r="H193" t="s">
        <v>143</v>
      </c>
      <c r="I193" t="s">
        <v>617</v>
      </c>
      <c r="J193" t="s">
        <v>45</v>
      </c>
      <c r="K193" t="s">
        <v>103</v>
      </c>
      <c r="L193" t="s">
        <v>618</v>
      </c>
      <c r="M193" t="b">
        <v>1</v>
      </c>
      <c r="N193" t="s">
        <v>42</v>
      </c>
      <c r="O193" t="s">
        <v>4867</v>
      </c>
      <c r="P193" t="s">
        <v>619</v>
      </c>
      <c r="Q193">
        <v>125.08</v>
      </c>
      <c r="R193">
        <v>2.9</v>
      </c>
      <c r="S193" t="s">
        <v>106</v>
      </c>
      <c r="T193">
        <v>50.6</v>
      </c>
      <c r="U193" t="str">
        <f t="shared" si="15"/>
        <v>40-60</v>
      </c>
      <c r="V193">
        <v>100.2</v>
      </c>
      <c r="W193">
        <v>77</v>
      </c>
      <c r="X193">
        <v>9.4</v>
      </c>
      <c r="Y193">
        <v>59.2</v>
      </c>
      <c r="Z193">
        <v>1397715000</v>
      </c>
      <c r="AA193">
        <v>35.861660000000001</v>
      </c>
      <c r="AB193">
        <v>104.195397</v>
      </c>
    </row>
    <row r="194" spans="1:28" hidden="1">
      <c r="A194">
        <v>190</v>
      </c>
      <c r="B194">
        <v>9700</v>
      </c>
      <c r="C194" t="s">
        <v>217</v>
      </c>
      <c r="D194" t="s">
        <v>620</v>
      </c>
      <c r="E194">
        <v>76</v>
      </c>
      <c r="G194" t="s">
        <v>148</v>
      </c>
      <c r="H194" t="s">
        <v>621</v>
      </c>
      <c r="I194" t="s">
        <v>217</v>
      </c>
      <c r="J194" t="s">
        <v>217</v>
      </c>
      <c r="K194" t="s">
        <v>148</v>
      </c>
      <c r="M194" t="b">
        <v>0</v>
      </c>
      <c r="N194" t="s">
        <v>32</v>
      </c>
      <c r="O194" t="s">
        <v>33</v>
      </c>
      <c r="Q194">
        <v>112.85</v>
      </c>
      <c r="R194">
        <v>1.4</v>
      </c>
      <c r="S194" t="s">
        <v>151</v>
      </c>
      <c r="T194">
        <v>70.2</v>
      </c>
      <c r="V194">
        <v>104</v>
      </c>
      <c r="W194">
        <v>80.900000000000006</v>
      </c>
      <c r="X194">
        <v>11.5</v>
      </c>
      <c r="Y194">
        <v>48.8</v>
      </c>
      <c r="Z194">
        <v>83132799</v>
      </c>
      <c r="AA194">
        <v>51.165691000000002</v>
      </c>
      <c r="AB194">
        <v>10.451525999999999</v>
      </c>
    </row>
    <row r="195" spans="1:28" hidden="1">
      <c r="A195">
        <v>190</v>
      </c>
      <c r="B195">
        <v>9700</v>
      </c>
      <c r="C195" t="s">
        <v>288</v>
      </c>
      <c r="D195" t="s">
        <v>622</v>
      </c>
      <c r="E195">
        <v>64</v>
      </c>
      <c r="G195" t="s">
        <v>103</v>
      </c>
      <c r="H195" t="s">
        <v>623</v>
      </c>
      <c r="I195" t="s">
        <v>418</v>
      </c>
      <c r="J195" t="s">
        <v>288</v>
      </c>
      <c r="K195" t="s">
        <v>103</v>
      </c>
      <c r="M195" t="b">
        <v>1</v>
      </c>
      <c r="N195" t="s">
        <v>42</v>
      </c>
      <c r="O195" t="s">
        <v>33</v>
      </c>
      <c r="Q195">
        <v>125.08</v>
      </c>
      <c r="R195">
        <v>2.9</v>
      </c>
      <c r="S195" t="s">
        <v>106</v>
      </c>
      <c r="T195">
        <v>50.6</v>
      </c>
      <c r="V195">
        <v>100.2</v>
      </c>
      <c r="W195">
        <v>77</v>
      </c>
      <c r="X195">
        <v>9.4</v>
      </c>
      <c r="Y195">
        <v>59.2</v>
      </c>
      <c r="Z195">
        <v>1397715000</v>
      </c>
      <c r="AA195">
        <v>35.861660000000001</v>
      </c>
      <c r="AB195">
        <v>104.195397</v>
      </c>
    </row>
    <row r="196" spans="1:28">
      <c r="A196">
        <v>195</v>
      </c>
      <c r="B196">
        <v>9600</v>
      </c>
      <c r="C196" t="s">
        <v>45</v>
      </c>
      <c r="D196" t="s">
        <v>624</v>
      </c>
      <c r="E196">
        <v>70</v>
      </c>
      <c r="F196" t="str">
        <f>IF(E196&gt;=90,"90-100",IF(E196&gt;=80,"80-90",IF(E196&gt;=70,"70-80",IF(E196&gt;=60,"60-70",IF(E196&gt;=50,"50-60",IF(E196&gt;=40,"40-50",IF(E196&gt;=30,"30-40","20-30")))))))</f>
        <v>70-80</v>
      </c>
      <c r="G196" t="s">
        <v>38</v>
      </c>
      <c r="H196" t="s">
        <v>625</v>
      </c>
      <c r="I196" t="s">
        <v>626</v>
      </c>
      <c r="J196" t="s">
        <v>45</v>
      </c>
      <c r="K196" t="s">
        <v>38</v>
      </c>
      <c r="L196" t="s">
        <v>627</v>
      </c>
      <c r="M196" t="b">
        <v>0</v>
      </c>
      <c r="N196" t="s">
        <v>192</v>
      </c>
      <c r="O196" t="s">
        <v>4867</v>
      </c>
      <c r="P196" t="s">
        <v>628</v>
      </c>
      <c r="Q196">
        <v>117.24</v>
      </c>
      <c r="R196">
        <v>7.5</v>
      </c>
      <c r="S196" t="s">
        <v>44</v>
      </c>
      <c r="T196">
        <v>88.2</v>
      </c>
      <c r="U196" t="str">
        <f>IF(T196&gt;=100,"above 100",IF(T196&gt;=80,"80-100",IF(T196&gt;=60,"60-80",IF(T196&gt;=40,"40-60",IF(T196&gt;=20,"20-60","0-20")))))</f>
        <v>80-100</v>
      </c>
      <c r="V196">
        <v>101.8</v>
      </c>
      <c r="W196">
        <v>78.5</v>
      </c>
      <c r="X196">
        <v>9.6</v>
      </c>
      <c r="Y196">
        <v>36.6</v>
      </c>
      <c r="Z196">
        <v>328239523</v>
      </c>
      <c r="AA196">
        <v>37.090240000000001</v>
      </c>
      <c r="AB196">
        <v>-95.712890999999999</v>
      </c>
    </row>
    <row r="197" spans="1:28" hidden="1">
      <c r="A197">
        <v>195</v>
      </c>
      <c r="B197">
        <v>9600</v>
      </c>
      <c r="C197" t="s">
        <v>250</v>
      </c>
      <c r="D197" t="s">
        <v>629</v>
      </c>
      <c r="E197">
        <v>70</v>
      </c>
      <c r="G197" t="s">
        <v>103</v>
      </c>
      <c r="H197" t="s">
        <v>630</v>
      </c>
      <c r="I197" t="s">
        <v>631</v>
      </c>
      <c r="J197" t="s">
        <v>250</v>
      </c>
      <c r="K197" t="s">
        <v>103</v>
      </c>
      <c r="M197" t="b">
        <v>1</v>
      </c>
      <c r="N197" t="s">
        <v>42</v>
      </c>
      <c r="O197" t="s">
        <v>33</v>
      </c>
      <c r="Q197">
        <v>125.08</v>
      </c>
      <c r="R197">
        <v>2.9</v>
      </c>
      <c r="S197" t="s">
        <v>106</v>
      </c>
      <c r="T197">
        <v>50.6</v>
      </c>
      <c r="V197">
        <v>100.2</v>
      </c>
      <c r="W197">
        <v>77</v>
      </c>
      <c r="X197">
        <v>9.4</v>
      </c>
      <c r="Y197">
        <v>59.2</v>
      </c>
      <c r="Z197">
        <v>1397715000</v>
      </c>
      <c r="AA197">
        <v>35.861660000000001</v>
      </c>
      <c r="AB197">
        <v>104.195397</v>
      </c>
    </row>
    <row r="198" spans="1:28" hidden="1">
      <c r="A198">
        <v>195</v>
      </c>
      <c r="B198">
        <v>9600</v>
      </c>
      <c r="C198" t="s">
        <v>217</v>
      </c>
      <c r="D198" t="s">
        <v>632</v>
      </c>
      <c r="E198">
        <v>67</v>
      </c>
      <c r="G198" t="s">
        <v>103</v>
      </c>
      <c r="H198" t="s">
        <v>633</v>
      </c>
      <c r="I198" t="s">
        <v>287</v>
      </c>
      <c r="J198" t="s">
        <v>217</v>
      </c>
      <c r="K198" t="s">
        <v>103</v>
      </c>
      <c r="M198" t="b">
        <v>1</v>
      </c>
      <c r="N198" t="s">
        <v>42</v>
      </c>
      <c r="O198" t="s">
        <v>33</v>
      </c>
      <c r="Q198">
        <v>125.08</v>
      </c>
      <c r="R198">
        <v>2.9</v>
      </c>
      <c r="S198" t="s">
        <v>106</v>
      </c>
      <c r="T198">
        <v>50.6</v>
      </c>
      <c r="V198">
        <v>100.2</v>
      </c>
      <c r="W198">
        <v>77</v>
      </c>
      <c r="X198">
        <v>9.4</v>
      </c>
      <c r="Y198">
        <v>59.2</v>
      </c>
      <c r="Z198">
        <v>1397715000</v>
      </c>
      <c r="AA198">
        <v>35.861660000000001</v>
      </c>
      <c r="AB198">
        <v>104.195397</v>
      </c>
    </row>
    <row r="199" spans="1:28" hidden="1">
      <c r="A199">
        <v>195</v>
      </c>
      <c r="B199">
        <v>9600</v>
      </c>
      <c r="C199" t="s">
        <v>101</v>
      </c>
      <c r="D199" t="s">
        <v>634</v>
      </c>
      <c r="E199">
        <v>58</v>
      </c>
      <c r="G199" t="s">
        <v>38</v>
      </c>
      <c r="H199" t="s">
        <v>635</v>
      </c>
      <c r="I199" t="s">
        <v>168</v>
      </c>
      <c r="J199" t="s">
        <v>101</v>
      </c>
      <c r="K199" t="s">
        <v>38</v>
      </c>
      <c r="M199" t="b">
        <v>0</v>
      </c>
      <c r="N199" t="s">
        <v>32</v>
      </c>
      <c r="O199" t="s">
        <v>88</v>
      </c>
      <c r="Q199">
        <v>117.24</v>
      </c>
      <c r="R199">
        <v>7.5</v>
      </c>
      <c r="S199" t="s">
        <v>44</v>
      </c>
      <c r="T199">
        <v>88.2</v>
      </c>
      <c r="V199">
        <v>101.8</v>
      </c>
      <c r="W199">
        <v>78.5</v>
      </c>
      <c r="X199">
        <v>9.6</v>
      </c>
      <c r="Y199">
        <v>36.6</v>
      </c>
      <c r="Z199">
        <v>328239523</v>
      </c>
      <c r="AA199">
        <v>37.090240000000001</v>
      </c>
      <c r="AB199">
        <v>-95.712890999999999</v>
      </c>
    </row>
    <row r="200" spans="1:28" hidden="1">
      <c r="A200">
        <v>195</v>
      </c>
      <c r="B200">
        <v>9600</v>
      </c>
      <c r="C200" t="s">
        <v>101</v>
      </c>
      <c r="D200" t="s">
        <v>636</v>
      </c>
      <c r="E200">
        <v>62</v>
      </c>
      <c r="G200" t="s">
        <v>38</v>
      </c>
      <c r="H200" t="s">
        <v>637</v>
      </c>
      <c r="I200" t="s">
        <v>168</v>
      </c>
      <c r="J200" t="s">
        <v>101</v>
      </c>
      <c r="K200" t="s">
        <v>38</v>
      </c>
      <c r="M200" t="b">
        <v>0</v>
      </c>
      <c r="N200" t="s">
        <v>32</v>
      </c>
      <c r="O200" t="s">
        <v>88</v>
      </c>
      <c r="Q200">
        <v>117.24</v>
      </c>
      <c r="R200">
        <v>7.5</v>
      </c>
      <c r="S200" t="s">
        <v>44</v>
      </c>
      <c r="T200">
        <v>88.2</v>
      </c>
      <c r="V200">
        <v>101.8</v>
      </c>
      <c r="W200">
        <v>78.5</v>
      </c>
      <c r="X200">
        <v>9.6</v>
      </c>
      <c r="Y200">
        <v>36.6</v>
      </c>
      <c r="Z200">
        <v>328239523</v>
      </c>
      <c r="AA200">
        <v>37.090240000000001</v>
      </c>
      <c r="AB200">
        <v>-95.712890999999999</v>
      </c>
    </row>
    <row r="201" spans="1:28" hidden="1">
      <c r="A201">
        <v>195</v>
      </c>
      <c r="B201">
        <v>9600</v>
      </c>
      <c r="C201" t="s">
        <v>101</v>
      </c>
      <c r="D201" t="s">
        <v>638</v>
      </c>
      <c r="E201">
        <v>64</v>
      </c>
      <c r="G201" t="s">
        <v>38</v>
      </c>
      <c r="H201" t="s">
        <v>65</v>
      </c>
      <c r="I201" t="s">
        <v>168</v>
      </c>
      <c r="J201" t="s">
        <v>101</v>
      </c>
      <c r="K201" t="s">
        <v>38</v>
      </c>
      <c r="M201" t="b">
        <v>0</v>
      </c>
      <c r="N201" t="s">
        <v>32</v>
      </c>
      <c r="O201" t="s">
        <v>88</v>
      </c>
      <c r="Q201">
        <v>117.24</v>
      </c>
      <c r="R201">
        <v>7.5</v>
      </c>
      <c r="S201" t="s">
        <v>44</v>
      </c>
      <c r="T201">
        <v>88.2</v>
      </c>
      <c r="V201">
        <v>101.8</v>
      </c>
      <c r="W201">
        <v>78.5</v>
      </c>
      <c r="X201">
        <v>9.6</v>
      </c>
      <c r="Y201">
        <v>36.6</v>
      </c>
      <c r="Z201">
        <v>328239523</v>
      </c>
      <c r="AA201">
        <v>37.090240000000001</v>
      </c>
      <c r="AB201">
        <v>-95.712890999999999</v>
      </c>
    </row>
    <row r="202" spans="1:28" hidden="1">
      <c r="A202">
        <v>195</v>
      </c>
      <c r="B202">
        <v>9600</v>
      </c>
      <c r="C202" t="s">
        <v>101</v>
      </c>
      <c r="D202" t="s">
        <v>639</v>
      </c>
      <c r="E202">
        <v>66</v>
      </c>
      <c r="G202" t="s">
        <v>38</v>
      </c>
      <c r="H202" t="s">
        <v>640</v>
      </c>
      <c r="I202" t="s">
        <v>168</v>
      </c>
      <c r="J202" t="s">
        <v>101</v>
      </c>
      <c r="K202" t="s">
        <v>38</v>
      </c>
      <c r="M202" t="b">
        <v>0</v>
      </c>
      <c r="N202" t="s">
        <v>32</v>
      </c>
      <c r="O202" t="s">
        <v>88</v>
      </c>
      <c r="Q202">
        <v>117.24</v>
      </c>
      <c r="R202">
        <v>7.5</v>
      </c>
      <c r="S202" t="s">
        <v>44</v>
      </c>
      <c r="T202">
        <v>88.2</v>
      </c>
      <c r="V202">
        <v>101.8</v>
      </c>
      <c r="W202">
        <v>78.5</v>
      </c>
      <c r="X202">
        <v>9.6</v>
      </c>
      <c r="Y202">
        <v>36.6</v>
      </c>
      <c r="Z202">
        <v>328239523</v>
      </c>
      <c r="AA202">
        <v>37.090240000000001</v>
      </c>
      <c r="AB202">
        <v>-95.712890999999999</v>
      </c>
    </row>
    <row r="203" spans="1:28" hidden="1">
      <c r="A203">
        <v>202</v>
      </c>
      <c r="B203">
        <v>9500</v>
      </c>
      <c r="C203" t="s">
        <v>54</v>
      </c>
      <c r="D203" t="s">
        <v>641</v>
      </c>
      <c r="E203">
        <v>71</v>
      </c>
      <c r="G203" t="s">
        <v>28</v>
      </c>
      <c r="H203" t="s">
        <v>29</v>
      </c>
      <c r="I203" t="s">
        <v>231</v>
      </c>
      <c r="J203" t="s">
        <v>54</v>
      </c>
      <c r="K203" t="s">
        <v>28</v>
      </c>
      <c r="M203" t="b">
        <v>0</v>
      </c>
      <c r="N203" t="s">
        <v>32</v>
      </c>
      <c r="O203" t="s">
        <v>33</v>
      </c>
      <c r="Q203">
        <v>110.05</v>
      </c>
      <c r="R203">
        <v>1.1000000000000001</v>
      </c>
      <c r="S203" t="s">
        <v>35</v>
      </c>
      <c r="T203">
        <v>65.599999999999994</v>
      </c>
      <c r="V203">
        <v>102.5</v>
      </c>
      <c r="W203">
        <v>82.5</v>
      </c>
      <c r="X203">
        <v>24.2</v>
      </c>
      <c r="Y203">
        <v>60.7</v>
      </c>
      <c r="Z203">
        <v>67059887</v>
      </c>
      <c r="AA203">
        <v>46.227637999999999</v>
      </c>
      <c r="AB203">
        <v>2.213749</v>
      </c>
    </row>
    <row r="204" spans="1:28">
      <c r="A204">
        <v>202</v>
      </c>
      <c r="B204">
        <v>9500</v>
      </c>
      <c r="C204" t="s">
        <v>75</v>
      </c>
      <c r="D204" t="s">
        <v>642</v>
      </c>
      <c r="E204">
        <v>94</v>
      </c>
      <c r="F204" t="str">
        <f>IF(E204&gt;=90,"90-100",IF(E204&gt;=80,"80-90",IF(E204&gt;=70,"70-80",IF(E204&gt;=60,"60-70",IF(E204&gt;=50,"50-60",IF(E204&gt;=40,"40-50",IF(E204&gt;=30,"30-40","20-30")))))))</f>
        <v>90-100</v>
      </c>
      <c r="G204" t="s">
        <v>127</v>
      </c>
      <c r="H204" t="s">
        <v>643</v>
      </c>
      <c r="I204" t="s">
        <v>75</v>
      </c>
      <c r="J204" t="s">
        <v>75</v>
      </c>
      <c r="K204" t="s">
        <v>127</v>
      </c>
      <c r="L204" t="s">
        <v>644</v>
      </c>
      <c r="M204" t="b">
        <v>1</v>
      </c>
      <c r="N204" t="s">
        <v>42</v>
      </c>
      <c r="O204" t="s">
        <v>4867</v>
      </c>
      <c r="P204" t="s">
        <v>645</v>
      </c>
      <c r="Q204">
        <v>116.76</v>
      </c>
      <c r="R204">
        <v>1.9</v>
      </c>
      <c r="S204" t="s">
        <v>132</v>
      </c>
      <c r="T204">
        <v>68.900000000000006</v>
      </c>
      <c r="U204" t="str">
        <f>IF(T204&gt;=100,"above 100",IF(T204&gt;=80,"80-100",IF(T204&gt;=60,"60-80",IF(T204&gt;=40,"40-60",IF(T204&gt;=20,"20-60","0-20")))))</f>
        <v>60-80</v>
      </c>
      <c r="V204">
        <v>100.9</v>
      </c>
      <c r="W204">
        <v>81.900000000000006</v>
      </c>
      <c r="X204">
        <v>12.8</v>
      </c>
      <c r="Y204">
        <v>24.5</v>
      </c>
      <c r="Z204">
        <v>36991981</v>
      </c>
      <c r="AA204">
        <v>56.130366000000002</v>
      </c>
      <c r="AB204">
        <v>-106.346771</v>
      </c>
    </row>
    <row r="205" spans="1:28" hidden="1">
      <c r="A205">
        <v>204</v>
      </c>
      <c r="B205">
        <v>9400</v>
      </c>
      <c r="C205" t="s">
        <v>288</v>
      </c>
      <c r="D205" t="s">
        <v>646</v>
      </c>
      <c r="E205">
        <v>57</v>
      </c>
      <c r="G205" t="s">
        <v>156</v>
      </c>
      <c r="H205" t="s">
        <v>647</v>
      </c>
      <c r="I205" t="s">
        <v>648</v>
      </c>
      <c r="J205" t="s">
        <v>288</v>
      </c>
      <c r="K205" t="s">
        <v>156</v>
      </c>
      <c r="M205" t="b">
        <v>0</v>
      </c>
      <c r="N205" t="s">
        <v>32</v>
      </c>
      <c r="O205" t="s">
        <v>33</v>
      </c>
      <c r="Q205">
        <v>99.55</v>
      </c>
      <c r="R205">
        <v>0.4</v>
      </c>
      <c r="S205" t="s">
        <v>159</v>
      </c>
      <c r="T205">
        <v>59.6</v>
      </c>
      <c r="V205">
        <v>105.2</v>
      </c>
      <c r="W205">
        <v>83.6</v>
      </c>
      <c r="X205">
        <v>10.1</v>
      </c>
      <c r="Y205">
        <v>28.8</v>
      </c>
      <c r="Z205">
        <v>8574832</v>
      </c>
      <c r="AA205">
        <v>46.818187999999999</v>
      </c>
      <c r="AB205">
        <v>8.2275120000000008</v>
      </c>
    </row>
    <row r="206" spans="1:28" hidden="1">
      <c r="A206">
        <v>204</v>
      </c>
      <c r="B206">
        <v>9400</v>
      </c>
      <c r="C206" t="s">
        <v>45</v>
      </c>
      <c r="D206" t="s">
        <v>649</v>
      </c>
      <c r="E206">
        <v>44</v>
      </c>
      <c r="G206" t="s">
        <v>103</v>
      </c>
      <c r="H206" t="s">
        <v>143</v>
      </c>
      <c r="I206" t="s">
        <v>650</v>
      </c>
      <c r="J206" t="s">
        <v>45</v>
      </c>
      <c r="K206" t="s">
        <v>103</v>
      </c>
      <c r="M206" t="b">
        <v>1</v>
      </c>
      <c r="N206" t="s">
        <v>42</v>
      </c>
      <c r="O206" t="s">
        <v>33</v>
      </c>
      <c r="Q206">
        <v>125.08</v>
      </c>
      <c r="R206">
        <v>2.9</v>
      </c>
      <c r="S206" t="s">
        <v>106</v>
      </c>
      <c r="T206">
        <v>50.6</v>
      </c>
      <c r="V206">
        <v>100.2</v>
      </c>
      <c r="W206">
        <v>77</v>
      </c>
      <c r="X206">
        <v>9.4</v>
      </c>
      <c r="Y206">
        <v>59.2</v>
      </c>
      <c r="Z206">
        <v>1397715000</v>
      </c>
      <c r="AA206">
        <v>35.861660000000001</v>
      </c>
      <c r="AB206">
        <v>104.195397</v>
      </c>
    </row>
    <row r="207" spans="1:28">
      <c r="A207">
        <v>206</v>
      </c>
      <c r="B207">
        <v>9300</v>
      </c>
      <c r="C207" t="s">
        <v>45</v>
      </c>
      <c r="D207" t="s">
        <v>651</v>
      </c>
      <c r="E207">
        <v>41</v>
      </c>
      <c r="F207" t="str">
        <f>IF(E207&gt;=90,"90-100",IF(E207&gt;=80,"80-90",IF(E207&gt;=70,"70-80",IF(E207&gt;=60,"60-70",IF(E207&gt;=50,"50-60",IF(E207&gt;=40,"40-50",IF(E207&gt;=30,"30-40","20-30")))))))</f>
        <v>40-50</v>
      </c>
      <c r="G207" t="s">
        <v>38</v>
      </c>
      <c r="H207" t="s">
        <v>652</v>
      </c>
      <c r="I207" t="s">
        <v>653</v>
      </c>
      <c r="J207" t="s">
        <v>45</v>
      </c>
      <c r="K207" t="s">
        <v>38</v>
      </c>
      <c r="L207" t="s">
        <v>654</v>
      </c>
      <c r="M207" t="b">
        <v>1</v>
      </c>
      <c r="N207" t="s">
        <v>42</v>
      </c>
      <c r="O207" t="s">
        <v>4867</v>
      </c>
      <c r="P207" t="s">
        <v>655</v>
      </c>
      <c r="Q207">
        <v>117.24</v>
      </c>
      <c r="R207">
        <v>7.5</v>
      </c>
      <c r="S207" t="s">
        <v>44</v>
      </c>
      <c r="T207">
        <v>88.2</v>
      </c>
      <c r="U207" t="str">
        <f>IF(T207&gt;=100,"above 100",IF(T207&gt;=80,"80-100",IF(T207&gt;=60,"60-80",IF(T207&gt;=40,"40-60",IF(T207&gt;=20,"20-60","0-20")))))</f>
        <v>80-100</v>
      </c>
      <c r="V207">
        <v>101.8</v>
      </c>
      <c r="W207">
        <v>78.5</v>
      </c>
      <c r="X207">
        <v>9.6</v>
      </c>
      <c r="Y207">
        <v>36.6</v>
      </c>
      <c r="Z207">
        <v>328239523</v>
      </c>
      <c r="AA207">
        <v>37.090240000000001</v>
      </c>
      <c r="AB207">
        <v>-95.712890999999999</v>
      </c>
    </row>
    <row r="208" spans="1:28" hidden="1">
      <c r="A208">
        <v>206</v>
      </c>
      <c r="B208">
        <v>9300</v>
      </c>
      <c r="C208" t="s">
        <v>217</v>
      </c>
      <c r="D208" t="s">
        <v>656</v>
      </c>
      <c r="E208">
        <v>75</v>
      </c>
      <c r="G208" t="s">
        <v>203</v>
      </c>
      <c r="H208" t="s">
        <v>657</v>
      </c>
      <c r="I208" t="s">
        <v>658</v>
      </c>
      <c r="J208" t="s">
        <v>217</v>
      </c>
      <c r="K208" t="s">
        <v>203</v>
      </c>
      <c r="M208" t="b">
        <v>1</v>
      </c>
      <c r="N208" t="s">
        <v>32</v>
      </c>
      <c r="O208" t="s">
        <v>33</v>
      </c>
      <c r="Q208">
        <v>119.62</v>
      </c>
      <c r="R208">
        <v>1.7</v>
      </c>
      <c r="S208" t="s">
        <v>206</v>
      </c>
      <c r="T208">
        <v>60</v>
      </c>
      <c r="V208">
        <v>101.2</v>
      </c>
      <c r="W208">
        <v>81.3</v>
      </c>
      <c r="X208">
        <v>25.5</v>
      </c>
      <c r="Y208">
        <v>30.6</v>
      </c>
      <c r="Z208">
        <v>66834405</v>
      </c>
      <c r="AA208">
        <v>55.378050999999999</v>
      </c>
      <c r="AB208">
        <v>-3.4359730000000002</v>
      </c>
    </row>
    <row r="209" spans="1:28" hidden="1">
      <c r="A209">
        <v>208</v>
      </c>
      <c r="B209">
        <v>9200</v>
      </c>
      <c r="C209" t="s">
        <v>75</v>
      </c>
      <c r="D209" t="s">
        <v>659</v>
      </c>
      <c r="E209">
        <v>56</v>
      </c>
      <c r="G209" t="s">
        <v>263</v>
      </c>
      <c r="H209" t="s">
        <v>274</v>
      </c>
      <c r="I209" t="s">
        <v>323</v>
      </c>
      <c r="J209" t="s">
        <v>75</v>
      </c>
      <c r="K209" t="s">
        <v>263</v>
      </c>
      <c r="M209" t="b">
        <v>1</v>
      </c>
      <c r="N209" t="s">
        <v>32</v>
      </c>
      <c r="O209" t="s">
        <v>33</v>
      </c>
      <c r="Q209">
        <v>180.75</v>
      </c>
      <c r="R209">
        <v>4.5</v>
      </c>
      <c r="S209" t="s">
        <v>276</v>
      </c>
      <c r="T209">
        <v>81.900000000000006</v>
      </c>
      <c r="V209">
        <v>102.6</v>
      </c>
      <c r="W209">
        <v>72.7</v>
      </c>
      <c r="X209">
        <v>11.4</v>
      </c>
      <c r="Y209">
        <v>46.2</v>
      </c>
      <c r="Z209">
        <v>144373535</v>
      </c>
      <c r="AA209">
        <v>61.524009999999997</v>
      </c>
      <c r="AB209">
        <v>105.31875599999999</v>
      </c>
    </row>
    <row r="210" spans="1:28" hidden="1">
      <c r="A210">
        <v>208</v>
      </c>
      <c r="B210">
        <v>9200</v>
      </c>
      <c r="C210" t="s">
        <v>75</v>
      </c>
      <c r="D210" t="s">
        <v>660</v>
      </c>
      <c r="E210">
        <v>79</v>
      </c>
      <c r="G210" t="s">
        <v>397</v>
      </c>
      <c r="H210" t="s">
        <v>398</v>
      </c>
      <c r="I210" t="s">
        <v>75</v>
      </c>
      <c r="J210" t="s">
        <v>75</v>
      </c>
      <c r="K210" t="s">
        <v>397</v>
      </c>
      <c r="M210" t="b">
        <v>0</v>
      </c>
      <c r="N210" t="s">
        <v>32</v>
      </c>
      <c r="O210" t="s">
        <v>88</v>
      </c>
      <c r="Q210">
        <v>110.51</v>
      </c>
      <c r="R210">
        <v>1.8</v>
      </c>
      <c r="S210" t="s">
        <v>401</v>
      </c>
      <c r="T210">
        <v>67</v>
      </c>
      <c r="V210">
        <v>126.6</v>
      </c>
      <c r="W210">
        <v>82.5</v>
      </c>
      <c r="X210">
        <v>27.9</v>
      </c>
      <c r="Y210">
        <v>49.1</v>
      </c>
      <c r="Z210">
        <v>10285453</v>
      </c>
      <c r="AA210">
        <v>60.128160999999999</v>
      </c>
      <c r="AB210">
        <v>18.643501000000001</v>
      </c>
    </row>
    <row r="211" spans="1:28" hidden="1">
      <c r="A211">
        <v>208</v>
      </c>
      <c r="B211">
        <v>9200</v>
      </c>
      <c r="C211" t="s">
        <v>250</v>
      </c>
      <c r="D211" t="s">
        <v>661</v>
      </c>
      <c r="E211">
        <v>47</v>
      </c>
      <c r="G211" t="s">
        <v>389</v>
      </c>
      <c r="H211" t="s">
        <v>390</v>
      </c>
      <c r="I211" t="s">
        <v>662</v>
      </c>
      <c r="J211" t="s">
        <v>250</v>
      </c>
      <c r="K211" t="s">
        <v>389</v>
      </c>
      <c r="M211" t="b">
        <v>1</v>
      </c>
      <c r="N211" t="s">
        <v>32</v>
      </c>
      <c r="O211" t="s">
        <v>33</v>
      </c>
      <c r="Q211">
        <v>116.48</v>
      </c>
      <c r="R211">
        <v>2.8</v>
      </c>
      <c r="S211" t="s">
        <v>392</v>
      </c>
      <c r="T211">
        <v>64.099999999999994</v>
      </c>
      <c r="V211">
        <v>100.7</v>
      </c>
      <c r="W211">
        <v>79</v>
      </c>
      <c r="X211">
        <v>14.9</v>
      </c>
      <c r="Y211">
        <v>46.1</v>
      </c>
      <c r="Z211">
        <v>10669709</v>
      </c>
      <c r="AA211">
        <v>49.817492000000001</v>
      </c>
      <c r="AB211">
        <v>15.472962000000001</v>
      </c>
    </row>
    <row r="212" spans="1:28" hidden="1">
      <c r="A212">
        <v>208</v>
      </c>
      <c r="B212">
        <v>9200</v>
      </c>
      <c r="C212" t="s">
        <v>63</v>
      </c>
      <c r="D212" t="s">
        <v>663</v>
      </c>
      <c r="E212">
        <v>82</v>
      </c>
      <c r="G212" t="s">
        <v>38</v>
      </c>
      <c r="H212" t="s">
        <v>664</v>
      </c>
      <c r="I212" t="s">
        <v>665</v>
      </c>
      <c r="J212" t="s">
        <v>63</v>
      </c>
      <c r="K212" t="s">
        <v>38</v>
      </c>
      <c r="M212" t="b">
        <v>1</v>
      </c>
      <c r="N212" t="s">
        <v>32</v>
      </c>
      <c r="O212" t="s">
        <v>33</v>
      </c>
      <c r="Q212">
        <v>117.24</v>
      </c>
      <c r="R212">
        <v>7.5</v>
      </c>
      <c r="S212" t="s">
        <v>44</v>
      </c>
      <c r="T212">
        <v>88.2</v>
      </c>
      <c r="V212">
        <v>101.8</v>
      </c>
      <c r="W212">
        <v>78.5</v>
      </c>
      <c r="X212">
        <v>9.6</v>
      </c>
      <c r="Y212">
        <v>36.6</v>
      </c>
      <c r="Z212">
        <v>328239523</v>
      </c>
      <c r="AA212">
        <v>37.090240000000001</v>
      </c>
      <c r="AB212">
        <v>-95.712890999999999</v>
      </c>
    </row>
    <row r="213" spans="1:28">
      <c r="A213">
        <v>208</v>
      </c>
      <c r="B213">
        <v>9200</v>
      </c>
      <c r="C213" t="s">
        <v>45</v>
      </c>
      <c r="D213" t="s">
        <v>666</v>
      </c>
      <c r="E213">
        <v>77</v>
      </c>
      <c r="F213" t="str">
        <f>IF(E213&gt;=90,"90-100",IF(E213&gt;=80,"80-90",IF(E213&gt;=70,"70-80",IF(E213&gt;=60,"60-70",IF(E213&gt;=50,"50-60",IF(E213&gt;=40,"40-50",IF(E213&gt;=30,"30-40","20-30")))))))</f>
        <v>70-80</v>
      </c>
      <c r="G213" t="s">
        <v>77</v>
      </c>
      <c r="H213" t="s">
        <v>667</v>
      </c>
      <c r="I213" t="s">
        <v>668</v>
      </c>
      <c r="J213" t="s">
        <v>45</v>
      </c>
      <c r="K213" t="s">
        <v>77</v>
      </c>
      <c r="L213" t="s">
        <v>669</v>
      </c>
      <c r="M213" t="b">
        <v>0</v>
      </c>
      <c r="N213" t="s">
        <v>42</v>
      </c>
      <c r="O213" t="s">
        <v>4867</v>
      </c>
      <c r="P213" t="s">
        <v>670</v>
      </c>
      <c r="Q213">
        <v>180.44</v>
      </c>
      <c r="R213">
        <v>7.7</v>
      </c>
      <c r="S213" t="s">
        <v>81</v>
      </c>
      <c r="T213">
        <v>28.1</v>
      </c>
      <c r="U213" t="str">
        <f t="shared" ref="U213:U214" si="16">IF(T213&gt;=100,"above 100",IF(T213&gt;=80,"80-100",IF(T213&gt;=60,"60-80",IF(T213&gt;=40,"40-60",IF(T213&gt;=20,"20-60","0-20")))))</f>
        <v>20-60</v>
      </c>
      <c r="V213">
        <v>113</v>
      </c>
      <c r="W213">
        <v>69.400000000000006</v>
      </c>
      <c r="X213">
        <v>11.2</v>
      </c>
      <c r="Y213">
        <v>49.7</v>
      </c>
      <c r="Z213">
        <v>1366417754</v>
      </c>
      <c r="AA213">
        <v>20.593684</v>
      </c>
      <c r="AB213">
        <v>78.962879999999998</v>
      </c>
    </row>
    <row r="214" spans="1:28">
      <c r="A214">
        <v>208</v>
      </c>
      <c r="B214">
        <v>9200</v>
      </c>
      <c r="C214" t="s">
        <v>54</v>
      </c>
      <c r="D214" t="s">
        <v>671</v>
      </c>
      <c r="E214">
        <v>85</v>
      </c>
      <c r="F214" t="str">
        <f>IF(E214&gt;=90,"90-100",IF(E214&gt;=80,"80-90",IF(E214&gt;=70,"70-80",IF(E214&gt;=60,"60-70",IF(E214&gt;=50,"50-60",IF(E214&gt;=40,"40-50",IF(E214&gt;=30,"30-40","20-30")))))))</f>
        <v>80-90</v>
      </c>
      <c r="G214" t="s">
        <v>38</v>
      </c>
      <c r="H214" t="s">
        <v>672</v>
      </c>
      <c r="I214" t="s">
        <v>258</v>
      </c>
      <c r="J214" t="s">
        <v>54</v>
      </c>
      <c r="K214" t="s">
        <v>38</v>
      </c>
      <c r="L214" t="s">
        <v>673</v>
      </c>
      <c r="M214" t="b">
        <v>1</v>
      </c>
      <c r="N214" t="s">
        <v>42</v>
      </c>
      <c r="O214" t="s">
        <v>4867</v>
      </c>
      <c r="P214" t="s">
        <v>468</v>
      </c>
      <c r="Q214">
        <v>117.24</v>
      </c>
      <c r="R214">
        <v>7.5</v>
      </c>
      <c r="S214" t="s">
        <v>44</v>
      </c>
      <c r="T214">
        <v>88.2</v>
      </c>
      <c r="U214" t="str">
        <f t="shared" si="16"/>
        <v>80-100</v>
      </c>
      <c r="V214">
        <v>101.8</v>
      </c>
      <c r="W214">
        <v>78.5</v>
      </c>
      <c r="X214">
        <v>9.6</v>
      </c>
      <c r="Y214">
        <v>36.6</v>
      </c>
      <c r="Z214">
        <v>328239523</v>
      </c>
      <c r="AA214">
        <v>37.090240000000001</v>
      </c>
      <c r="AB214">
        <v>-95.712890999999999</v>
      </c>
    </row>
    <row r="215" spans="1:28" hidden="1">
      <c r="A215">
        <v>208</v>
      </c>
      <c r="B215">
        <v>9200</v>
      </c>
      <c r="C215" t="s">
        <v>26</v>
      </c>
      <c r="D215" t="s">
        <v>674</v>
      </c>
      <c r="E215">
        <v>63</v>
      </c>
      <c r="G215" t="s">
        <v>38</v>
      </c>
      <c r="H215" t="s">
        <v>675</v>
      </c>
      <c r="I215" t="s">
        <v>676</v>
      </c>
      <c r="J215" t="s">
        <v>26</v>
      </c>
      <c r="K215" t="s">
        <v>38</v>
      </c>
      <c r="M215" t="b">
        <v>1</v>
      </c>
      <c r="N215" t="s">
        <v>32</v>
      </c>
      <c r="O215" t="s">
        <v>33</v>
      </c>
      <c r="Q215">
        <v>117.24</v>
      </c>
      <c r="R215">
        <v>7.5</v>
      </c>
      <c r="S215" t="s">
        <v>44</v>
      </c>
      <c r="T215">
        <v>88.2</v>
      </c>
      <c r="V215">
        <v>101.8</v>
      </c>
      <c r="W215">
        <v>78.5</v>
      </c>
      <c r="X215">
        <v>9.6</v>
      </c>
      <c r="Y215">
        <v>36.6</v>
      </c>
      <c r="Z215">
        <v>328239523</v>
      </c>
      <c r="AA215">
        <v>37.090240000000001</v>
      </c>
      <c r="AB215">
        <v>-95.712890999999999</v>
      </c>
    </row>
    <row r="216" spans="1:28">
      <c r="A216">
        <v>215</v>
      </c>
      <c r="B216">
        <v>9000</v>
      </c>
      <c r="C216" t="s">
        <v>45</v>
      </c>
      <c r="D216" t="s">
        <v>677</v>
      </c>
      <c r="E216">
        <v>72</v>
      </c>
      <c r="F216" t="str">
        <f>IF(E216&gt;=90,"90-100",IF(E216&gt;=80,"80-90",IF(E216&gt;=70,"70-80",IF(E216&gt;=60,"60-70",IF(E216&gt;=50,"50-60",IF(E216&gt;=40,"40-50",IF(E216&gt;=30,"30-40","20-30")))))))</f>
        <v>70-80</v>
      </c>
      <c r="G216" t="s">
        <v>38</v>
      </c>
      <c r="H216" t="s">
        <v>90</v>
      </c>
      <c r="I216" t="s">
        <v>91</v>
      </c>
      <c r="J216" t="s">
        <v>45</v>
      </c>
      <c r="K216" t="s">
        <v>127</v>
      </c>
      <c r="L216" t="s">
        <v>678</v>
      </c>
      <c r="M216" t="b">
        <v>1</v>
      </c>
      <c r="N216" t="s">
        <v>42</v>
      </c>
      <c r="O216" t="s">
        <v>4867</v>
      </c>
      <c r="P216" t="s">
        <v>679</v>
      </c>
      <c r="Q216">
        <v>117.24</v>
      </c>
      <c r="R216">
        <v>7.5</v>
      </c>
      <c r="S216" t="s">
        <v>44</v>
      </c>
      <c r="T216">
        <v>88.2</v>
      </c>
      <c r="U216" t="str">
        <f>IF(T216&gt;=100,"above 100",IF(T216&gt;=80,"80-100",IF(T216&gt;=60,"60-80",IF(T216&gt;=40,"40-60",IF(T216&gt;=20,"20-60","0-20")))))</f>
        <v>80-100</v>
      </c>
      <c r="V216">
        <v>101.8</v>
      </c>
      <c r="W216">
        <v>78.5</v>
      </c>
      <c r="X216">
        <v>9.6</v>
      </c>
      <c r="Y216">
        <v>36.6</v>
      </c>
      <c r="Z216">
        <v>328239523</v>
      </c>
      <c r="AA216">
        <v>37.090240000000001</v>
      </c>
      <c r="AB216">
        <v>-95.712890999999999</v>
      </c>
    </row>
    <row r="217" spans="1:28" hidden="1">
      <c r="A217">
        <v>215</v>
      </c>
      <c r="B217">
        <v>9000</v>
      </c>
      <c r="C217" t="s">
        <v>236</v>
      </c>
      <c r="D217" t="s">
        <v>680</v>
      </c>
      <c r="E217">
        <v>66</v>
      </c>
      <c r="G217" t="s">
        <v>156</v>
      </c>
      <c r="H217" t="s">
        <v>681</v>
      </c>
      <c r="I217" t="s">
        <v>240</v>
      </c>
      <c r="J217" t="s">
        <v>236</v>
      </c>
      <c r="K217" t="s">
        <v>156</v>
      </c>
      <c r="M217" t="b">
        <v>1</v>
      </c>
      <c r="N217" t="s">
        <v>42</v>
      </c>
      <c r="O217" t="s">
        <v>33</v>
      </c>
      <c r="Q217">
        <v>99.55</v>
      </c>
      <c r="R217">
        <v>0.4</v>
      </c>
      <c r="S217" t="s">
        <v>159</v>
      </c>
      <c r="T217">
        <v>59.6</v>
      </c>
      <c r="V217">
        <v>105.2</v>
      </c>
      <c r="W217">
        <v>83.6</v>
      </c>
      <c r="X217">
        <v>10.1</v>
      </c>
      <c r="Y217">
        <v>28.8</v>
      </c>
      <c r="Z217">
        <v>8574832</v>
      </c>
      <c r="AA217">
        <v>46.818187999999999</v>
      </c>
      <c r="AB217">
        <v>8.2275120000000008</v>
      </c>
    </row>
    <row r="218" spans="1:28" hidden="1">
      <c r="A218">
        <v>215</v>
      </c>
      <c r="B218">
        <v>9000</v>
      </c>
      <c r="C218" t="s">
        <v>221</v>
      </c>
      <c r="D218" t="s">
        <v>682</v>
      </c>
      <c r="E218">
        <v>55</v>
      </c>
      <c r="G218" t="s">
        <v>148</v>
      </c>
      <c r="H218" t="s">
        <v>683</v>
      </c>
      <c r="I218" t="s">
        <v>223</v>
      </c>
      <c r="J218" t="s">
        <v>221</v>
      </c>
      <c r="K218" t="s">
        <v>148</v>
      </c>
      <c r="M218" t="b">
        <v>0</v>
      </c>
      <c r="N218" t="s">
        <v>42</v>
      </c>
      <c r="O218" t="s">
        <v>33</v>
      </c>
      <c r="Q218">
        <v>112.85</v>
      </c>
      <c r="R218">
        <v>1.4</v>
      </c>
      <c r="S218" t="s">
        <v>151</v>
      </c>
      <c r="T218">
        <v>70.2</v>
      </c>
      <c r="V218">
        <v>104</v>
      </c>
      <c r="W218">
        <v>80.900000000000006</v>
      </c>
      <c r="X218">
        <v>11.5</v>
      </c>
      <c r="Y218">
        <v>48.8</v>
      </c>
      <c r="Z218">
        <v>83132799</v>
      </c>
      <c r="AA218">
        <v>51.165691000000002</v>
      </c>
      <c r="AB218">
        <v>10.451525999999999</v>
      </c>
    </row>
    <row r="219" spans="1:28" hidden="1">
      <c r="A219">
        <v>215</v>
      </c>
      <c r="B219">
        <v>9000</v>
      </c>
      <c r="C219" t="s">
        <v>101</v>
      </c>
      <c r="D219" t="s">
        <v>684</v>
      </c>
      <c r="E219">
        <v>73</v>
      </c>
      <c r="G219" t="s">
        <v>127</v>
      </c>
      <c r="H219" t="s">
        <v>643</v>
      </c>
      <c r="I219" t="s">
        <v>685</v>
      </c>
      <c r="J219" t="s">
        <v>101</v>
      </c>
      <c r="K219" t="s">
        <v>127</v>
      </c>
      <c r="M219" t="b">
        <v>1</v>
      </c>
      <c r="N219" t="s">
        <v>32</v>
      </c>
      <c r="O219" t="s">
        <v>33</v>
      </c>
      <c r="Q219">
        <v>116.76</v>
      </c>
      <c r="R219">
        <v>1.9</v>
      </c>
      <c r="S219" t="s">
        <v>132</v>
      </c>
      <c r="T219">
        <v>68.900000000000006</v>
      </c>
      <c r="V219">
        <v>100.9</v>
      </c>
      <c r="W219">
        <v>81.900000000000006</v>
      </c>
      <c r="X219">
        <v>12.8</v>
      </c>
      <c r="Y219">
        <v>24.5</v>
      </c>
      <c r="Z219">
        <v>36991981</v>
      </c>
      <c r="AA219">
        <v>56.130366000000002</v>
      </c>
      <c r="AB219">
        <v>-106.346771</v>
      </c>
    </row>
    <row r="220" spans="1:28" hidden="1">
      <c r="A220">
        <v>215</v>
      </c>
      <c r="B220">
        <v>9000</v>
      </c>
      <c r="C220" t="s">
        <v>217</v>
      </c>
      <c r="D220" t="s">
        <v>686</v>
      </c>
      <c r="E220">
        <v>57</v>
      </c>
      <c r="G220" t="s">
        <v>103</v>
      </c>
      <c r="H220" t="s">
        <v>687</v>
      </c>
      <c r="I220" t="s">
        <v>688</v>
      </c>
      <c r="J220" t="s">
        <v>217</v>
      </c>
      <c r="K220" t="s">
        <v>103</v>
      </c>
      <c r="M220" t="b">
        <v>1</v>
      </c>
      <c r="N220" t="s">
        <v>32</v>
      </c>
      <c r="O220" t="s">
        <v>33</v>
      </c>
      <c r="Q220">
        <v>125.08</v>
      </c>
      <c r="R220">
        <v>2.9</v>
      </c>
      <c r="S220" t="s">
        <v>106</v>
      </c>
      <c r="T220">
        <v>50.6</v>
      </c>
      <c r="V220">
        <v>100.2</v>
      </c>
      <c r="W220">
        <v>77</v>
      </c>
      <c r="X220">
        <v>9.4</v>
      </c>
      <c r="Y220">
        <v>59.2</v>
      </c>
      <c r="Z220">
        <v>1397715000</v>
      </c>
      <c r="AA220">
        <v>35.861660000000001</v>
      </c>
      <c r="AB220">
        <v>104.195397</v>
      </c>
    </row>
    <row r="221" spans="1:28" hidden="1">
      <c r="A221">
        <v>220</v>
      </c>
      <c r="B221">
        <v>8900</v>
      </c>
      <c r="C221" t="s">
        <v>101</v>
      </c>
      <c r="D221" t="s">
        <v>689</v>
      </c>
      <c r="E221">
        <v>68</v>
      </c>
      <c r="G221" t="s">
        <v>203</v>
      </c>
      <c r="H221" t="s">
        <v>204</v>
      </c>
      <c r="I221" t="s">
        <v>690</v>
      </c>
      <c r="J221" t="s">
        <v>101</v>
      </c>
      <c r="K221" t="s">
        <v>397</v>
      </c>
      <c r="M221" t="b">
        <v>0</v>
      </c>
      <c r="N221" t="s">
        <v>42</v>
      </c>
      <c r="O221" t="s">
        <v>33</v>
      </c>
      <c r="Q221">
        <v>119.62</v>
      </c>
      <c r="R221">
        <v>1.7</v>
      </c>
      <c r="S221" t="s">
        <v>206</v>
      </c>
      <c r="T221">
        <v>60</v>
      </c>
      <c r="V221">
        <v>101.2</v>
      </c>
      <c r="W221">
        <v>81.3</v>
      </c>
      <c r="X221">
        <v>25.5</v>
      </c>
      <c r="Y221">
        <v>30.6</v>
      </c>
      <c r="Z221">
        <v>66834405</v>
      </c>
      <c r="AA221">
        <v>55.378050999999999</v>
      </c>
      <c r="AB221">
        <v>-3.4359730000000002</v>
      </c>
    </row>
    <row r="222" spans="1:28" hidden="1">
      <c r="A222">
        <v>220</v>
      </c>
      <c r="B222">
        <v>8900</v>
      </c>
      <c r="C222" t="s">
        <v>101</v>
      </c>
      <c r="D222" t="s">
        <v>691</v>
      </c>
      <c r="E222">
        <v>63</v>
      </c>
      <c r="G222" t="s">
        <v>203</v>
      </c>
      <c r="H222" t="s">
        <v>692</v>
      </c>
      <c r="I222" t="s">
        <v>690</v>
      </c>
      <c r="J222" t="s">
        <v>101</v>
      </c>
      <c r="K222" t="s">
        <v>397</v>
      </c>
      <c r="M222" t="b">
        <v>0</v>
      </c>
      <c r="N222" t="s">
        <v>42</v>
      </c>
      <c r="O222" t="s">
        <v>33</v>
      </c>
      <c r="Q222">
        <v>119.62</v>
      </c>
      <c r="R222">
        <v>1.7</v>
      </c>
      <c r="S222" t="s">
        <v>206</v>
      </c>
      <c r="T222">
        <v>60</v>
      </c>
      <c r="V222">
        <v>101.2</v>
      </c>
      <c r="W222">
        <v>81.3</v>
      </c>
      <c r="X222">
        <v>25.5</v>
      </c>
      <c r="Y222">
        <v>30.6</v>
      </c>
      <c r="Z222">
        <v>66834405</v>
      </c>
      <c r="AA222">
        <v>55.378050999999999</v>
      </c>
      <c r="AB222">
        <v>-3.4359730000000002</v>
      </c>
    </row>
    <row r="223" spans="1:28" hidden="1">
      <c r="A223">
        <v>220</v>
      </c>
      <c r="B223">
        <v>8900</v>
      </c>
      <c r="C223" t="s">
        <v>101</v>
      </c>
      <c r="D223" t="s">
        <v>693</v>
      </c>
      <c r="E223">
        <v>70</v>
      </c>
      <c r="G223" t="s">
        <v>203</v>
      </c>
      <c r="H223" t="s">
        <v>694</v>
      </c>
      <c r="I223" t="s">
        <v>690</v>
      </c>
      <c r="J223" t="s">
        <v>101</v>
      </c>
      <c r="K223" t="s">
        <v>397</v>
      </c>
      <c r="M223" t="b">
        <v>0</v>
      </c>
      <c r="N223" t="s">
        <v>42</v>
      </c>
      <c r="O223" t="s">
        <v>88</v>
      </c>
      <c r="Q223">
        <v>119.62</v>
      </c>
      <c r="R223">
        <v>1.7</v>
      </c>
      <c r="S223" t="s">
        <v>206</v>
      </c>
      <c r="T223">
        <v>60</v>
      </c>
      <c r="V223">
        <v>101.2</v>
      </c>
      <c r="W223">
        <v>81.3</v>
      </c>
      <c r="X223">
        <v>25.5</v>
      </c>
      <c r="Y223">
        <v>30.6</v>
      </c>
      <c r="Z223">
        <v>66834405</v>
      </c>
      <c r="AA223">
        <v>55.378050999999999</v>
      </c>
      <c r="AB223">
        <v>-3.4359730000000002</v>
      </c>
    </row>
    <row r="224" spans="1:28" hidden="1">
      <c r="A224">
        <v>223</v>
      </c>
      <c r="B224">
        <v>8800</v>
      </c>
      <c r="C224" t="s">
        <v>26</v>
      </c>
      <c r="D224" t="s">
        <v>695</v>
      </c>
      <c r="E224">
        <v>47</v>
      </c>
      <c r="G224" t="s">
        <v>263</v>
      </c>
      <c r="H224" t="s">
        <v>696</v>
      </c>
      <c r="I224" t="s">
        <v>697</v>
      </c>
      <c r="J224" t="s">
        <v>26</v>
      </c>
      <c r="K224" t="s">
        <v>263</v>
      </c>
      <c r="M224" t="b">
        <v>1</v>
      </c>
      <c r="N224" t="s">
        <v>32</v>
      </c>
      <c r="O224" t="s">
        <v>88</v>
      </c>
      <c r="Q224">
        <v>180.75</v>
      </c>
      <c r="R224">
        <v>4.5</v>
      </c>
      <c r="S224" t="s">
        <v>276</v>
      </c>
      <c r="T224">
        <v>81.900000000000006</v>
      </c>
      <c r="V224">
        <v>102.6</v>
      </c>
      <c r="W224">
        <v>72.7</v>
      </c>
      <c r="X224">
        <v>11.4</v>
      </c>
      <c r="Y224">
        <v>46.2</v>
      </c>
      <c r="Z224">
        <v>144373535</v>
      </c>
      <c r="AA224">
        <v>61.524009999999997</v>
      </c>
      <c r="AB224">
        <v>105.31875599999999</v>
      </c>
    </row>
    <row r="225" spans="1:28">
      <c r="A225">
        <v>223</v>
      </c>
      <c r="B225">
        <v>8800</v>
      </c>
      <c r="C225" t="s">
        <v>45</v>
      </c>
      <c r="D225" t="s">
        <v>698</v>
      </c>
      <c r="E225">
        <v>71</v>
      </c>
      <c r="F225" t="str">
        <f>IF(E225&gt;=90,"90-100",IF(E225&gt;=80,"80-90",IF(E225&gt;=70,"70-80",IF(E225&gt;=60,"60-70",IF(E225&gt;=50,"50-60",IF(E225&gt;=40,"40-50",IF(E225&gt;=30,"30-40","20-30")))))))</f>
        <v>70-80</v>
      </c>
      <c r="G225" t="s">
        <v>38</v>
      </c>
      <c r="H225" t="s">
        <v>672</v>
      </c>
      <c r="I225" t="s">
        <v>699</v>
      </c>
      <c r="J225" t="s">
        <v>45</v>
      </c>
      <c r="K225" t="s">
        <v>38</v>
      </c>
      <c r="L225" t="s">
        <v>700</v>
      </c>
      <c r="M225" t="b">
        <v>1</v>
      </c>
      <c r="N225" t="s">
        <v>42</v>
      </c>
      <c r="O225" t="s">
        <v>4867</v>
      </c>
      <c r="P225" t="s">
        <v>468</v>
      </c>
      <c r="Q225">
        <v>117.24</v>
      </c>
      <c r="R225">
        <v>7.5</v>
      </c>
      <c r="S225" t="s">
        <v>44</v>
      </c>
      <c r="T225">
        <v>88.2</v>
      </c>
      <c r="U225" t="str">
        <f>IF(T225&gt;=100,"above 100",IF(T225&gt;=80,"80-100",IF(T225&gt;=60,"60-80",IF(T225&gt;=40,"40-60",IF(T225&gt;=20,"20-60","0-20")))))</f>
        <v>80-100</v>
      </c>
      <c r="V225">
        <v>101.8</v>
      </c>
      <c r="W225">
        <v>78.5</v>
      </c>
      <c r="X225">
        <v>9.6</v>
      </c>
      <c r="Y225">
        <v>36.6</v>
      </c>
      <c r="Z225">
        <v>328239523</v>
      </c>
      <c r="AA225">
        <v>37.090240000000001</v>
      </c>
      <c r="AB225">
        <v>-95.712890999999999</v>
      </c>
    </row>
    <row r="226" spans="1:28" hidden="1">
      <c r="A226">
        <v>223</v>
      </c>
      <c r="B226">
        <v>8800</v>
      </c>
      <c r="C226" t="s">
        <v>45</v>
      </c>
      <c r="D226" t="s">
        <v>701</v>
      </c>
      <c r="E226">
        <v>49</v>
      </c>
      <c r="G226" t="s">
        <v>103</v>
      </c>
      <c r="H226" t="s">
        <v>143</v>
      </c>
      <c r="I226" t="s">
        <v>216</v>
      </c>
      <c r="J226" t="s">
        <v>45</v>
      </c>
      <c r="K226" t="s">
        <v>103</v>
      </c>
      <c r="M226" t="b">
        <v>1</v>
      </c>
      <c r="N226" t="s">
        <v>42</v>
      </c>
      <c r="O226" t="s">
        <v>33</v>
      </c>
      <c r="Q226">
        <v>125.08</v>
      </c>
      <c r="R226">
        <v>2.9</v>
      </c>
      <c r="S226" t="s">
        <v>106</v>
      </c>
      <c r="T226">
        <v>50.6</v>
      </c>
      <c r="V226">
        <v>100.2</v>
      </c>
      <c r="W226">
        <v>77</v>
      </c>
      <c r="X226">
        <v>9.4</v>
      </c>
      <c r="Y226">
        <v>59.2</v>
      </c>
      <c r="Z226">
        <v>1397715000</v>
      </c>
      <c r="AA226">
        <v>35.861660000000001</v>
      </c>
      <c r="AB226">
        <v>104.195397</v>
      </c>
    </row>
    <row r="227" spans="1:28">
      <c r="A227">
        <v>223</v>
      </c>
      <c r="B227">
        <v>8800</v>
      </c>
      <c r="C227" t="s">
        <v>45</v>
      </c>
      <c r="D227" t="s">
        <v>702</v>
      </c>
      <c r="E227">
        <v>38</v>
      </c>
      <c r="F227" t="str">
        <f>IF(E227&gt;=90,"90-100",IF(E227&gt;=80,"80-90",IF(E227&gt;=70,"70-80",IF(E227&gt;=60,"60-70",IF(E227&gt;=50,"50-60",IF(E227&gt;=40,"40-50",IF(E227&gt;=30,"30-40","20-30")))))))</f>
        <v>30-40</v>
      </c>
      <c r="G227" t="s">
        <v>38</v>
      </c>
      <c r="H227" t="s">
        <v>652</v>
      </c>
      <c r="I227" t="s">
        <v>108</v>
      </c>
      <c r="J227" t="s">
        <v>45</v>
      </c>
      <c r="K227" t="s">
        <v>38</v>
      </c>
      <c r="L227" t="s">
        <v>703</v>
      </c>
      <c r="M227" t="b">
        <v>1</v>
      </c>
      <c r="N227" t="s">
        <v>42</v>
      </c>
      <c r="O227" t="s">
        <v>4867</v>
      </c>
      <c r="P227" t="s">
        <v>110</v>
      </c>
      <c r="Q227">
        <v>117.24</v>
      </c>
      <c r="R227">
        <v>7.5</v>
      </c>
      <c r="S227" t="s">
        <v>44</v>
      </c>
      <c r="T227">
        <v>88.2</v>
      </c>
      <c r="U227" t="str">
        <f t="shared" ref="U227:U228" si="17">IF(T227&gt;=100,"above 100",IF(T227&gt;=80,"80-100",IF(T227&gt;=60,"60-80",IF(T227&gt;=40,"40-60",IF(T227&gt;=20,"20-60","0-20")))))</f>
        <v>80-100</v>
      </c>
      <c r="V227">
        <v>101.8</v>
      </c>
      <c r="W227">
        <v>78.5</v>
      </c>
      <c r="X227">
        <v>9.6</v>
      </c>
      <c r="Y227">
        <v>36.6</v>
      </c>
      <c r="Z227">
        <v>328239523</v>
      </c>
      <c r="AA227">
        <v>37.090240000000001</v>
      </c>
      <c r="AB227">
        <v>-95.712890999999999</v>
      </c>
    </row>
    <row r="228" spans="1:28">
      <c r="A228">
        <v>223</v>
      </c>
      <c r="B228">
        <v>8800</v>
      </c>
      <c r="C228" t="s">
        <v>45</v>
      </c>
      <c r="D228" t="s">
        <v>704</v>
      </c>
      <c r="E228">
        <v>55</v>
      </c>
      <c r="F228" t="str">
        <f>IF(E228&gt;=90,"90-100",IF(E228&gt;=80,"80-90",IF(E228&gt;=70,"70-80",IF(E228&gt;=60,"60-70",IF(E228&gt;=50,"50-60",IF(E228&gt;=40,"40-50",IF(E228&gt;=30,"30-40","20-30")))))))</f>
        <v>50-60</v>
      </c>
      <c r="G228" t="s">
        <v>38</v>
      </c>
      <c r="H228" t="s">
        <v>705</v>
      </c>
      <c r="I228" t="s">
        <v>706</v>
      </c>
      <c r="J228" t="s">
        <v>45</v>
      </c>
      <c r="K228" t="s">
        <v>38</v>
      </c>
      <c r="L228" t="s">
        <v>707</v>
      </c>
      <c r="M228" t="b">
        <v>1</v>
      </c>
      <c r="N228" t="s">
        <v>42</v>
      </c>
      <c r="O228" t="s">
        <v>4867</v>
      </c>
      <c r="P228" t="s">
        <v>146</v>
      </c>
      <c r="Q228">
        <v>117.24</v>
      </c>
      <c r="R228">
        <v>7.5</v>
      </c>
      <c r="S228" t="s">
        <v>44</v>
      </c>
      <c r="T228">
        <v>88.2</v>
      </c>
      <c r="U228" t="str">
        <f t="shared" si="17"/>
        <v>80-100</v>
      </c>
      <c r="V228">
        <v>101.8</v>
      </c>
      <c r="W228">
        <v>78.5</v>
      </c>
      <c r="X228">
        <v>9.6</v>
      </c>
      <c r="Y228">
        <v>36.6</v>
      </c>
      <c r="Z228">
        <v>328239523</v>
      </c>
      <c r="AA228">
        <v>37.090240000000001</v>
      </c>
      <c r="AB228">
        <v>-95.712890999999999</v>
      </c>
    </row>
    <row r="229" spans="1:28" hidden="1">
      <c r="A229">
        <v>223</v>
      </c>
      <c r="B229">
        <v>8800</v>
      </c>
      <c r="C229" t="s">
        <v>250</v>
      </c>
      <c r="D229" t="s">
        <v>708</v>
      </c>
      <c r="E229">
        <v>64</v>
      </c>
      <c r="G229" t="s">
        <v>103</v>
      </c>
      <c r="H229" t="s">
        <v>195</v>
      </c>
      <c r="I229" t="s">
        <v>196</v>
      </c>
      <c r="J229" t="s">
        <v>250</v>
      </c>
      <c r="K229" t="s">
        <v>103</v>
      </c>
      <c r="M229" t="b">
        <v>1</v>
      </c>
      <c r="N229" t="s">
        <v>42</v>
      </c>
      <c r="O229" t="s">
        <v>33</v>
      </c>
      <c r="Q229">
        <v>125.08</v>
      </c>
      <c r="R229">
        <v>2.9</v>
      </c>
      <c r="S229" t="s">
        <v>106</v>
      </c>
      <c r="T229">
        <v>50.6</v>
      </c>
      <c r="V229">
        <v>100.2</v>
      </c>
      <c r="W229">
        <v>77</v>
      </c>
      <c r="X229">
        <v>9.4</v>
      </c>
      <c r="Y229">
        <v>59.2</v>
      </c>
      <c r="Z229">
        <v>1397715000</v>
      </c>
      <c r="AA229">
        <v>35.861660000000001</v>
      </c>
      <c r="AB229">
        <v>104.195397</v>
      </c>
    </row>
    <row r="230" spans="1:28" hidden="1">
      <c r="A230">
        <v>223</v>
      </c>
      <c r="B230">
        <v>8800</v>
      </c>
      <c r="C230" t="s">
        <v>250</v>
      </c>
      <c r="D230" t="s">
        <v>709</v>
      </c>
      <c r="E230">
        <v>72</v>
      </c>
      <c r="G230" t="s">
        <v>203</v>
      </c>
      <c r="H230" t="s">
        <v>204</v>
      </c>
      <c r="I230" t="s">
        <v>325</v>
      </c>
      <c r="J230" t="s">
        <v>250</v>
      </c>
      <c r="K230" t="s">
        <v>28</v>
      </c>
      <c r="M230" t="b">
        <v>0</v>
      </c>
      <c r="N230" t="s">
        <v>32</v>
      </c>
      <c r="O230" t="s">
        <v>88</v>
      </c>
      <c r="P230" t="s">
        <v>125</v>
      </c>
      <c r="Q230">
        <v>119.62</v>
      </c>
      <c r="R230">
        <v>1.7</v>
      </c>
      <c r="S230" t="s">
        <v>206</v>
      </c>
      <c r="T230">
        <v>60</v>
      </c>
      <c r="V230">
        <v>101.2</v>
      </c>
      <c r="W230">
        <v>81.3</v>
      </c>
      <c r="X230">
        <v>25.5</v>
      </c>
      <c r="Y230">
        <v>30.6</v>
      </c>
      <c r="Z230">
        <v>66834405</v>
      </c>
      <c r="AA230">
        <v>55.378050999999999</v>
      </c>
      <c r="AB230">
        <v>-3.4359730000000002</v>
      </c>
    </row>
    <row r="231" spans="1:28" hidden="1">
      <c r="A231">
        <v>230</v>
      </c>
      <c r="B231">
        <v>8700</v>
      </c>
      <c r="C231" t="s">
        <v>217</v>
      </c>
      <c r="D231" t="s">
        <v>710</v>
      </c>
      <c r="E231">
        <v>52</v>
      </c>
      <c r="G231" t="s">
        <v>103</v>
      </c>
      <c r="H231" t="s">
        <v>711</v>
      </c>
      <c r="I231" t="s">
        <v>287</v>
      </c>
      <c r="J231" t="s">
        <v>217</v>
      </c>
      <c r="K231" t="s">
        <v>103</v>
      </c>
      <c r="M231" t="b">
        <v>1</v>
      </c>
      <c r="N231" t="s">
        <v>32</v>
      </c>
      <c r="O231" t="s">
        <v>33</v>
      </c>
      <c r="Q231">
        <v>125.08</v>
      </c>
      <c r="R231">
        <v>2.9</v>
      </c>
      <c r="S231" t="s">
        <v>106</v>
      </c>
      <c r="T231">
        <v>50.6</v>
      </c>
      <c r="V231">
        <v>100.2</v>
      </c>
      <c r="W231">
        <v>77</v>
      </c>
      <c r="X231">
        <v>9.4</v>
      </c>
      <c r="Y231">
        <v>59.2</v>
      </c>
      <c r="Z231">
        <v>1397715000</v>
      </c>
      <c r="AA231">
        <v>35.861660000000001</v>
      </c>
      <c r="AB231">
        <v>104.195397</v>
      </c>
    </row>
    <row r="232" spans="1:28" hidden="1">
      <c r="A232">
        <v>230</v>
      </c>
      <c r="B232">
        <v>8700</v>
      </c>
      <c r="C232" t="s">
        <v>26</v>
      </c>
      <c r="D232" t="s">
        <v>712</v>
      </c>
      <c r="E232">
        <v>79</v>
      </c>
      <c r="G232" t="s">
        <v>148</v>
      </c>
      <c r="H232" t="s">
        <v>683</v>
      </c>
      <c r="I232" t="s">
        <v>713</v>
      </c>
      <c r="J232" t="s">
        <v>26</v>
      </c>
      <c r="K232" t="s">
        <v>148</v>
      </c>
      <c r="M232" t="b">
        <v>0</v>
      </c>
      <c r="N232" t="s">
        <v>42</v>
      </c>
      <c r="O232" t="s">
        <v>33</v>
      </c>
      <c r="Q232">
        <v>112.85</v>
      </c>
      <c r="R232">
        <v>1.4</v>
      </c>
      <c r="S232" t="s">
        <v>151</v>
      </c>
      <c r="T232">
        <v>70.2</v>
      </c>
      <c r="V232">
        <v>104</v>
      </c>
      <c r="W232">
        <v>80.900000000000006</v>
      </c>
      <c r="X232">
        <v>11.5</v>
      </c>
      <c r="Y232">
        <v>48.8</v>
      </c>
      <c r="Z232">
        <v>83132799</v>
      </c>
      <c r="AA232">
        <v>51.165691000000002</v>
      </c>
      <c r="AB232">
        <v>10.451525999999999</v>
      </c>
    </row>
    <row r="233" spans="1:28" hidden="1">
      <c r="A233">
        <v>232</v>
      </c>
      <c r="B233">
        <v>8600</v>
      </c>
      <c r="C233" t="s">
        <v>54</v>
      </c>
      <c r="D233" t="s">
        <v>714</v>
      </c>
      <c r="E233">
        <v>71</v>
      </c>
      <c r="G233" t="s">
        <v>38</v>
      </c>
      <c r="H233" t="s">
        <v>65</v>
      </c>
      <c r="I233" t="s">
        <v>613</v>
      </c>
      <c r="J233" t="s">
        <v>54</v>
      </c>
      <c r="K233" t="s">
        <v>38</v>
      </c>
      <c r="M233" t="b">
        <v>1</v>
      </c>
      <c r="N233" t="s">
        <v>42</v>
      </c>
      <c r="O233" t="s">
        <v>33</v>
      </c>
      <c r="Q233">
        <v>117.24</v>
      </c>
      <c r="R233">
        <v>7.5</v>
      </c>
      <c r="S233" t="s">
        <v>44</v>
      </c>
      <c r="T233">
        <v>88.2</v>
      </c>
      <c r="V233">
        <v>101.8</v>
      </c>
      <c r="W233">
        <v>78.5</v>
      </c>
      <c r="X233">
        <v>9.6</v>
      </c>
      <c r="Y233">
        <v>36.6</v>
      </c>
      <c r="Z233">
        <v>328239523</v>
      </c>
      <c r="AA233">
        <v>37.090240000000001</v>
      </c>
      <c r="AB233">
        <v>-95.712890999999999</v>
      </c>
    </row>
    <row r="234" spans="1:28" hidden="1">
      <c r="A234">
        <v>232</v>
      </c>
      <c r="B234">
        <v>8600</v>
      </c>
      <c r="C234" t="s">
        <v>54</v>
      </c>
      <c r="D234" t="s">
        <v>715</v>
      </c>
      <c r="E234">
        <v>67</v>
      </c>
      <c r="G234" t="s">
        <v>716</v>
      </c>
      <c r="H234" t="s">
        <v>717</v>
      </c>
      <c r="I234" t="s">
        <v>231</v>
      </c>
      <c r="J234" t="s">
        <v>54</v>
      </c>
      <c r="K234" t="s">
        <v>716</v>
      </c>
      <c r="M234" t="b">
        <v>1</v>
      </c>
      <c r="N234" t="s">
        <v>42</v>
      </c>
      <c r="O234" t="s">
        <v>33</v>
      </c>
      <c r="Q234">
        <v>114.24</v>
      </c>
      <c r="R234">
        <v>1.6</v>
      </c>
      <c r="S234" t="s">
        <v>718</v>
      </c>
      <c r="T234">
        <v>82</v>
      </c>
      <c r="V234">
        <v>100</v>
      </c>
      <c r="W234">
        <v>81.900000000000006</v>
      </c>
      <c r="X234">
        <v>29</v>
      </c>
      <c r="Y234">
        <v>34.6</v>
      </c>
      <c r="Z234">
        <v>4841000</v>
      </c>
      <c r="AA234">
        <v>-40.900556999999999</v>
      </c>
      <c r="AB234">
        <v>174.88597100000001</v>
      </c>
    </row>
    <row r="235" spans="1:28" hidden="1">
      <c r="A235">
        <v>232</v>
      </c>
      <c r="B235">
        <v>8600</v>
      </c>
      <c r="C235" t="s">
        <v>101</v>
      </c>
      <c r="D235" t="s">
        <v>719</v>
      </c>
      <c r="E235">
        <v>68</v>
      </c>
      <c r="G235" t="s">
        <v>77</v>
      </c>
      <c r="H235" t="s">
        <v>248</v>
      </c>
      <c r="I235" t="s">
        <v>720</v>
      </c>
      <c r="J235" t="s">
        <v>101</v>
      </c>
      <c r="K235" t="s">
        <v>77</v>
      </c>
      <c r="M235" t="b">
        <v>0</v>
      </c>
      <c r="N235" t="s">
        <v>32</v>
      </c>
      <c r="O235" t="s">
        <v>33</v>
      </c>
      <c r="Q235">
        <v>180.44</v>
      </c>
      <c r="R235">
        <v>7.7</v>
      </c>
      <c r="S235" t="s">
        <v>81</v>
      </c>
      <c r="T235">
        <v>28.1</v>
      </c>
      <c r="V235">
        <v>113</v>
      </c>
      <c r="W235">
        <v>69.400000000000006</v>
      </c>
      <c r="X235">
        <v>11.2</v>
      </c>
      <c r="Y235">
        <v>49.7</v>
      </c>
      <c r="Z235">
        <v>1366417754</v>
      </c>
      <c r="AA235">
        <v>20.593684</v>
      </c>
      <c r="AB235">
        <v>78.962879999999998</v>
      </c>
    </row>
    <row r="236" spans="1:28" hidden="1">
      <c r="A236">
        <v>232</v>
      </c>
      <c r="B236">
        <v>8600</v>
      </c>
      <c r="C236" t="s">
        <v>45</v>
      </c>
      <c r="D236" t="s">
        <v>721</v>
      </c>
      <c r="E236">
        <v>79</v>
      </c>
      <c r="G236" t="s">
        <v>148</v>
      </c>
      <c r="H236" t="s">
        <v>722</v>
      </c>
      <c r="I236" t="s">
        <v>572</v>
      </c>
      <c r="J236" t="s">
        <v>45</v>
      </c>
      <c r="K236" t="s">
        <v>148</v>
      </c>
      <c r="M236" t="b">
        <v>1</v>
      </c>
      <c r="N236" t="s">
        <v>32</v>
      </c>
      <c r="O236" t="s">
        <v>33</v>
      </c>
      <c r="Q236">
        <v>112.85</v>
      </c>
      <c r="R236">
        <v>1.4</v>
      </c>
      <c r="S236" t="s">
        <v>151</v>
      </c>
      <c r="T236">
        <v>70.2</v>
      </c>
      <c r="V236">
        <v>104</v>
      </c>
      <c r="W236">
        <v>80.900000000000006</v>
      </c>
      <c r="X236">
        <v>11.5</v>
      </c>
      <c r="Y236">
        <v>48.8</v>
      </c>
      <c r="Z236">
        <v>83132799</v>
      </c>
      <c r="AA236">
        <v>51.165691000000002</v>
      </c>
      <c r="AB236">
        <v>10.451525999999999</v>
      </c>
    </row>
    <row r="237" spans="1:28" hidden="1">
      <c r="A237">
        <v>232</v>
      </c>
      <c r="B237">
        <v>8600</v>
      </c>
      <c r="C237" t="s">
        <v>101</v>
      </c>
      <c r="D237" t="s">
        <v>723</v>
      </c>
      <c r="E237">
        <v>75</v>
      </c>
      <c r="G237" t="s">
        <v>156</v>
      </c>
      <c r="H237" t="s">
        <v>724</v>
      </c>
      <c r="I237" t="s">
        <v>414</v>
      </c>
      <c r="J237" t="s">
        <v>101</v>
      </c>
      <c r="K237" t="s">
        <v>384</v>
      </c>
      <c r="M237" t="b">
        <v>1</v>
      </c>
      <c r="N237" t="s">
        <v>32</v>
      </c>
      <c r="O237" t="s">
        <v>33</v>
      </c>
      <c r="Q237">
        <v>99.55</v>
      </c>
      <c r="R237">
        <v>0.4</v>
      </c>
      <c r="S237" t="s">
        <v>159</v>
      </c>
      <c r="T237">
        <v>59.6</v>
      </c>
      <c r="V237">
        <v>105.2</v>
      </c>
      <c r="W237">
        <v>83.6</v>
      </c>
      <c r="X237">
        <v>10.1</v>
      </c>
      <c r="Y237">
        <v>28.8</v>
      </c>
      <c r="Z237">
        <v>8574832</v>
      </c>
      <c r="AA237">
        <v>46.818187999999999</v>
      </c>
      <c r="AB237">
        <v>8.2275120000000008</v>
      </c>
    </row>
    <row r="238" spans="1:28" hidden="1">
      <c r="A238">
        <v>232</v>
      </c>
      <c r="B238">
        <v>8600</v>
      </c>
      <c r="C238" t="s">
        <v>221</v>
      </c>
      <c r="D238" t="s">
        <v>725</v>
      </c>
      <c r="E238">
        <v>73</v>
      </c>
      <c r="G238" t="s">
        <v>726</v>
      </c>
      <c r="H238" t="s">
        <v>727</v>
      </c>
      <c r="I238" t="s">
        <v>223</v>
      </c>
      <c r="J238" t="s">
        <v>221</v>
      </c>
      <c r="K238" t="s">
        <v>726</v>
      </c>
      <c r="M238" t="b">
        <v>1</v>
      </c>
      <c r="N238" t="s">
        <v>32</v>
      </c>
      <c r="O238" t="s">
        <v>33</v>
      </c>
      <c r="Q238">
        <v>129.61000000000001</v>
      </c>
      <c r="R238">
        <v>2.5</v>
      </c>
      <c r="S238" t="s">
        <v>728</v>
      </c>
      <c r="T238">
        <v>35.5</v>
      </c>
      <c r="V238">
        <v>107.5</v>
      </c>
      <c r="W238">
        <v>71.099999999999994</v>
      </c>
      <c r="X238">
        <v>14</v>
      </c>
      <c r="Y238">
        <v>43.1</v>
      </c>
      <c r="Z238">
        <v>108116615</v>
      </c>
      <c r="AA238">
        <v>12.879721</v>
      </c>
      <c r="AB238">
        <v>121.774017</v>
      </c>
    </row>
    <row r="239" spans="1:28">
      <c r="A239">
        <v>232</v>
      </c>
      <c r="B239">
        <v>8600</v>
      </c>
      <c r="C239" t="s">
        <v>45</v>
      </c>
      <c r="D239" t="s">
        <v>729</v>
      </c>
      <c r="E239">
        <v>67</v>
      </c>
      <c r="F239" t="str">
        <f>IF(E239&gt;=90,"90-100",IF(E239&gt;=80,"80-90",IF(E239&gt;=70,"70-80",IF(E239&gt;=60,"60-70",IF(E239&gt;=50,"50-60",IF(E239&gt;=40,"40-50",IF(E239&gt;=30,"30-40","20-30")))))))</f>
        <v>60-70</v>
      </c>
      <c r="G239" t="s">
        <v>38</v>
      </c>
      <c r="H239" t="s">
        <v>90</v>
      </c>
      <c r="I239" t="s">
        <v>91</v>
      </c>
      <c r="J239" t="s">
        <v>45</v>
      </c>
      <c r="K239" t="s">
        <v>148</v>
      </c>
      <c r="L239" t="s">
        <v>730</v>
      </c>
      <c r="M239" t="b">
        <v>1</v>
      </c>
      <c r="N239" t="s">
        <v>42</v>
      </c>
      <c r="O239" t="s">
        <v>4867</v>
      </c>
      <c r="P239" t="s">
        <v>731</v>
      </c>
      <c r="Q239">
        <v>117.24</v>
      </c>
      <c r="R239">
        <v>7.5</v>
      </c>
      <c r="S239" t="s">
        <v>44</v>
      </c>
      <c r="T239">
        <v>88.2</v>
      </c>
      <c r="U239" t="str">
        <f t="shared" ref="U239:U240" si="18">IF(T239&gt;=100,"above 100",IF(T239&gt;=80,"80-100",IF(T239&gt;=60,"60-80",IF(T239&gt;=40,"40-60",IF(T239&gt;=20,"20-60","0-20")))))</f>
        <v>80-100</v>
      </c>
      <c r="V239">
        <v>101.8</v>
      </c>
      <c r="W239">
        <v>78.5</v>
      </c>
      <c r="X239">
        <v>9.6</v>
      </c>
      <c r="Y239">
        <v>36.6</v>
      </c>
      <c r="Z239">
        <v>328239523</v>
      </c>
      <c r="AA239">
        <v>37.090240000000001</v>
      </c>
      <c r="AB239">
        <v>-95.712890999999999</v>
      </c>
    </row>
    <row r="240" spans="1:28">
      <c r="A240">
        <v>239</v>
      </c>
      <c r="B240">
        <v>8500</v>
      </c>
      <c r="C240" t="s">
        <v>54</v>
      </c>
      <c r="D240" t="s">
        <v>732</v>
      </c>
      <c r="E240">
        <v>47</v>
      </c>
      <c r="F240" t="str">
        <f>IF(E240&gt;=90,"90-100",IF(E240&gt;=80,"80-90",IF(E240&gt;=70,"70-80",IF(E240&gt;=60,"60-70",IF(E240&gt;=50,"50-60",IF(E240&gt;=40,"40-50",IF(E240&gt;=30,"30-40","20-30")))))))</f>
        <v>40-50</v>
      </c>
      <c r="G240" t="s">
        <v>38</v>
      </c>
      <c r="H240" t="s">
        <v>65</v>
      </c>
      <c r="I240" t="s">
        <v>231</v>
      </c>
      <c r="J240" t="s">
        <v>54</v>
      </c>
      <c r="K240" t="s">
        <v>38</v>
      </c>
      <c r="L240" t="s">
        <v>733</v>
      </c>
      <c r="M240" t="b">
        <v>1</v>
      </c>
      <c r="N240" t="s">
        <v>42</v>
      </c>
      <c r="O240" t="s">
        <v>4867</v>
      </c>
      <c r="P240" t="s">
        <v>468</v>
      </c>
      <c r="Q240">
        <v>117.24</v>
      </c>
      <c r="R240">
        <v>7.5</v>
      </c>
      <c r="S240" t="s">
        <v>44</v>
      </c>
      <c r="T240">
        <v>88.2</v>
      </c>
      <c r="U240" t="str">
        <f t="shared" si="18"/>
        <v>80-100</v>
      </c>
      <c r="V240">
        <v>101.8</v>
      </c>
      <c r="W240">
        <v>78.5</v>
      </c>
      <c r="X240">
        <v>9.6</v>
      </c>
      <c r="Y240">
        <v>36.6</v>
      </c>
      <c r="Z240">
        <v>328239523</v>
      </c>
      <c r="AA240">
        <v>37.090240000000001</v>
      </c>
      <c r="AB240">
        <v>-95.712890999999999</v>
      </c>
    </row>
    <row r="241" spans="1:28" hidden="1">
      <c r="A241">
        <v>239</v>
      </c>
      <c r="B241">
        <v>8500</v>
      </c>
      <c r="C241" t="s">
        <v>26</v>
      </c>
      <c r="D241" t="s">
        <v>734</v>
      </c>
      <c r="E241">
        <v>74</v>
      </c>
      <c r="G241" t="s">
        <v>38</v>
      </c>
      <c r="H241" t="s">
        <v>495</v>
      </c>
      <c r="I241" t="s">
        <v>118</v>
      </c>
      <c r="J241" t="s">
        <v>26</v>
      </c>
      <c r="K241" t="s">
        <v>38</v>
      </c>
      <c r="M241" t="b">
        <v>0</v>
      </c>
      <c r="N241" t="s">
        <v>42</v>
      </c>
      <c r="O241" t="s">
        <v>88</v>
      </c>
      <c r="Q241">
        <v>117.24</v>
      </c>
      <c r="R241">
        <v>7.5</v>
      </c>
      <c r="S241" t="s">
        <v>44</v>
      </c>
      <c r="T241">
        <v>88.2</v>
      </c>
      <c r="V241">
        <v>101.8</v>
      </c>
      <c r="W241">
        <v>78.5</v>
      </c>
      <c r="X241">
        <v>9.6</v>
      </c>
      <c r="Y241">
        <v>36.6</v>
      </c>
      <c r="Z241">
        <v>328239523</v>
      </c>
      <c r="AA241">
        <v>37.090240000000001</v>
      </c>
      <c r="AB241">
        <v>-95.712890999999999</v>
      </c>
    </row>
    <row r="242" spans="1:28" hidden="1">
      <c r="A242">
        <v>239</v>
      </c>
      <c r="B242">
        <v>8500</v>
      </c>
      <c r="C242" t="s">
        <v>217</v>
      </c>
      <c r="D242" t="s">
        <v>735</v>
      </c>
      <c r="E242">
        <v>55</v>
      </c>
      <c r="G242" t="s">
        <v>103</v>
      </c>
      <c r="H242" t="s">
        <v>736</v>
      </c>
      <c r="I242" t="s">
        <v>737</v>
      </c>
      <c r="J242" t="s">
        <v>217</v>
      </c>
      <c r="K242" t="s">
        <v>103</v>
      </c>
      <c r="M242" t="b">
        <v>1</v>
      </c>
      <c r="N242" t="s">
        <v>42</v>
      </c>
      <c r="O242" t="s">
        <v>33</v>
      </c>
      <c r="Q242">
        <v>125.08</v>
      </c>
      <c r="R242">
        <v>2.9</v>
      </c>
      <c r="S242" t="s">
        <v>106</v>
      </c>
      <c r="T242">
        <v>50.6</v>
      </c>
      <c r="V242">
        <v>100.2</v>
      </c>
      <c r="W242">
        <v>77</v>
      </c>
      <c r="X242">
        <v>9.4</v>
      </c>
      <c r="Y242">
        <v>59.2</v>
      </c>
      <c r="Z242">
        <v>1397715000</v>
      </c>
      <c r="AA242">
        <v>35.861660000000001</v>
      </c>
      <c r="AB242">
        <v>104.195397</v>
      </c>
    </row>
    <row r="243" spans="1:28">
      <c r="A243">
        <v>242</v>
      </c>
      <c r="B243">
        <v>8400</v>
      </c>
      <c r="C243" t="s">
        <v>63</v>
      </c>
      <c r="D243" t="s">
        <v>738</v>
      </c>
      <c r="E243">
        <v>75</v>
      </c>
      <c r="F243" t="str">
        <f>IF(E243&gt;=90,"90-100",IF(E243&gt;=80,"80-90",IF(E243&gt;=70,"70-80",IF(E243&gt;=60,"60-70",IF(E243&gt;=50,"50-60",IF(E243&gt;=40,"40-50",IF(E243&gt;=30,"30-40","20-30")))))))</f>
        <v>70-80</v>
      </c>
      <c r="G243" t="s">
        <v>38</v>
      </c>
      <c r="H243" t="s">
        <v>739</v>
      </c>
      <c r="I243" t="s">
        <v>740</v>
      </c>
      <c r="J243" t="s">
        <v>63</v>
      </c>
      <c r="K243" t="s">
        <v>38</v>
      </c>
      <c r="L243" t="s">
        <v>741</v>
      </c>
      <c r="M243" t="b">
        <v>0</v>
      </c>
      <c r="N243" t="s">
        <v>32</v>
      </c>
      <c r="O243" t="s">
        <v>4867</v>
      </c>
      <c r="P243" t="s">
        <v>318</v>
      </c>
      <c r="Q243">
        <v>117.24</v>
      </c>
      <c r="R243">
        <v>7.5</v>
      </c>
      <c r="S243" t="s">
        <v>44</v>
      </c>
      <c r="T243">
        <v>88.2</v>
      </c>
      <c r="U243" t="str">
        <f>IF(T243&gt;=100,"above 100",IF(T243&gt;=80,"80-100",IF(T243&gt;=60,"60-80",IF(T243&gt;=40,"40-60",IF(T243&gt;=20,"20-60","0-20")))))</f>
        <v>80-100</v>
      </c>
      <c r="V243">
        <v>101.8</v>
      </c>
      <c r="W243">
        <v>78.5</v>
      </c>
      <c r="X243">
        <v>9.6</v>
      </c>
      <c r="Y243">
        <v>36.6</v>
      </c>
      <c r="Z243">
        <v>328239523</v>
      </c>
      <c r="AA243">
        <v>37.090240000000001</v>
      </c>
      <c r="AB243">
        <v>-95.712890999999999</v>
      </c>
    </row>
    <row r="244" spans="1:28" hidden="1">
      <c r="A244">
        <v>242</v>
      </c>
      <c r="B244">
        <v>8400</v>
      </c>
      <c r="C244" t="s">
        <v>236</v>
      </c>
      <c r="D244" t="s">
        <v>743</v>
      </c>
      <c r="E244">
        <v>77</v>
      </c>
      <c r="G244" t="s">
        <v>541</v>
      </c>
      <c r="H244" t="s">
        <v>744</v>
      </c>
      <c r="I244" t="s">
        <v>745</v>
      </c>
      <c r="J244" t="s">
        <v>236</v>
      </c>
      <c r="K244" t="s">
        <v>541</v>
      </c>
      <c r="M244" t="b">
        <v>0</v>
      </c>
      <c r="N244" t="s">
        <v>42</v>
      </c>
      <c r="O244" t="s">
        <v>33</v>
      </c>
      <c r="Q244">
        <v>158.93</v>
      </c>
      <c r="R244">
        <v>4.0999999999999996</v>
      </c>
      <c r="S244" t="s">
        <v>543</v>
      </c>
      <c r="T244">
        <v>22.4</v>
      </c>
      <c r="V244">
        <v>100.9</v>
      </c>
      <c r="W244">
        <v>63.9</v>
      </c>
      <c r="X244">
        <v>27.5</v>
      </c>
      <c r="Y244">
        <v>29.2</v>
      </c>
      <c r="Z244">
        <v>58558270</v>
      </c>
      <c r="AA244">
        <v>-30.559481999999999</v>
      </c>
      <c r="AB244">
        <v>22.937505999999999</v>
      </c>
    </row>
    <row r="245" spans="1:28" hidden="1">
      <c r="A245">
        <v>242</v>
      </c>
      <c r="B245">
        <v>8400</v>
      </c>
      <c r="C245" t="s">
        <v>63</v>
      </c>
      <c r="D245" t="s">
        <v>746</v>
      </c>
      <c r="E245">
        <v>72</v>
      </c>
      <c r="G245" t="s">
        <v>238</v>
      </c>
      <c r="H245" t="s">
        <v>747</v>
      </c>
      <c r="I245" t="s">
        <v>740</v>
      </c>
      <c r="J245" t="s">
        <v>63</v>
      </c>
      <c r="K245" t="s">
        <v>38</v>
      </c>
      <c r="M245" t="b">
        <v>0</v>
      </c>
      <c r="N245" t="s">
        <v>32</v>
      </c>
      <c r="O245" t="s">
        <v>88</v>
      </c>
      <c r="Q245">
        <v>119.8</v>
      </c>
      <c r="R245">
        <v>1.6</v>
      </c>
      <c r="S245" t="s">
        <v>243</v>
      </c>
      <c r="T245">
        <v>113.1</v>
      </c>
      <c r="V245">
        <v>100.3</v>
      </c>
      <c r="W245">
        <v>82.7</v>
      </c>
      <c r="X245">
        <v>23</v>
      </c>
      <c r="Y245">
        <v>47.4</v>
      </c>
      <c r="Z245">
        <v>25766605</v>
      </c>
      <c r="AA245">
        <v>-25.274398000000001</v>
      </c>
      <c r="AB245">
        <v>133.775136</v>
      </c>
    </row>
    <row r="246" spans="1:28" hidden="1">
      <c r="A246">
        <v>242</v>
      </c>
      <c r="B246">
        <v>8400</v>
      </c>
      <c r="C246" t="s">
        <v>236</v>
      </c>
      <c r="D246" t="s">
        <v>748</v>
      </c>
      <c r="E246">
        <v>77</v>
      </c>
      <c r="G246" t="s">
        <v>103</v>
      </c>
      <c r="H246" t="s">
        <v>749</v>
      </c>
      <c r="I246" t="s">
        <v>750</v>
      </c>
      <c r="J246" t="s">
        <v>236</v>
      </c>
      <c r="K246" t="s">
        <v>103</v>
      </c>
      <c r="M246" t="b">
        <v>0</v>
      </c>
      <c r="N246" t="s">
        <v>42</v>
      </c>
      <c r="O246" t="s">
        <v>88</v>
      </c>
      <c r="Q246">
        <v>125.08</v>
      </c>
      <c r="R246">
        <v>2.9</v>
      </c>
      <c r="S246" t="s">
        <v>106</v>
      </c>
      <c r="T246">
        <v>50.6</v>
      </c>
      <c r="V246">
        <v>100.2</v>
      </c>
      <c r="W246">
        <v>77</v>
      </c>
      <c r="X246">
        <v>9.4</v>
      </c>
      <c r="Y246">
        <v>59.2</v>
      </c>
      <c r="Z246">
        <v>1397715000</v>
      </c>
      <c r="AA246">
        <v>35.861660000000001</v>
      </c>
      <c r="AB246">
        <v>104.195397</v>
      </c>
    </row>
    <row r="247" spans="1:28" hidden="1">
      <c r="A247">
        <v>246</v>
      </c>
      <c r="B247">
        <v>8300</v>
      </c>
      <c r="C247" t="s">
        <v>26</v>
      </c>
      <c r="D247" t="s">
        <v>751</v>
      </c>
      <c r="E247">
        <v>75</v>
      </c>
      <c r="G247" t="s">
        <v>38</v>
      </c>
      <c r="H247" t="s">
        <v>752</v>
      </c>
      <c r="I247" t="s">
        <v>753</v>
      </c>
      <c r="J247" t="s">
        <v>26</v>
      </c>
      <c r="K247" t="s">
        <v>38</v>
      </c>
      <c r="M247" t="b">
        <v>1</v>
      </c>
      <c r="N247" t="s">
        <v>32</v>
      </c>
      <c r="O247" t="s">
        <v>33</v>
      </c>
      <c r="Q247">
        <v>117.24</v>
      </c>
      <c r="R247">
        <v>7.5</v>
      </c>
      <c r="S247" t="s">
        <v>44</v>
      </c>
      <c r="T247">
        <v>88.2</v>
      </c>
      <c r="V247">
        <v>101.8</v>
      </c>
      <c r="W247">
        <v>78.5</v>
      </c>
      <c r="X247">
        <v>9.6</v>
      </c>
      <c r="Y247">
        <v>36.6</v>
      </c>
      <c r="Z247">
        <v>328239523</v>
      </c>
      <c r="AA247">
        <v>37.090240000000001</v>
      </c>
      <c r="AB247">
        <v>-95.712890999999999</v>
      </c>
    </row>
    <row r="248" spans="1:28" hidden="1">
      <c r="A248">
        <v>246</v>
      </c>
      <c r="B248">
        <v>8300</v>
      </c>
      <c r="C248" t="s">
        <v>26</v>
      </c>
      <c r="D248" t="s">
        <v>754</v>
      </c>
      <c r="E248">
        <v>81</v>
      </c>
      <c r="G248" t="s">
        <v>339</v>
      </c>
      <c r="H248" t="s">
        <v>340</v>
      </c>
      <c r="I248" t="s">
        <v>755</v>
      </c>
      <c r="J248" t="s">
        <v>26</v>
      </c>
      <c r="K248" t="s">
        <v>339</v>
      </c>
      <c r="M248" t="b">
        <v>0</v>
      </c>
      <c r="N248" t="s">
        <v>42</v>
      </c>
      <c r="O248" t="s">
        <v>33</v>
      </c>
      <c r="S248" t="s">
        <v>343</v>
      </c>
      <c r="Z248">
        <v>38964</v>
      </c>
      <c r="AA248">
        <v>43.738417599999998</v>
      </c>
      <c r="AB248">
        <v>7.4246157999999998</v>
      </c>
    </row>
    <row r="249" spans="1:28" hidden="1">
      <c r="A249">
        <v>246</v>
      </c>
      <c r="B249">
        <v>8300</v>
      </c>
      <c r="C249" t="s">
        <v>54</v>
      </c>
      <c r="D249" t="s">
        <v>756</v>
      </c>
      <c r="G249" t="s">
        <v>156</v>
      </c>
      <c r="H249" t="s">
        <v>757</v>
      </c>
      <c r="I249" t="s">
        <v>231</v>
      </c>
      <c r="J249" t="s">
        <v>54</v>
      </c>
      <c r="K249" t="s">
        <v>148</v>
      </c>
      <c r="M249" t="b">
        <v>0</v>
      </c>
      <c r="N249" t="s">
        <v>42</v>
      </c>
      <c r="O249" t="s">
        <v>88</v>
      </c>
      <c r="Q249">
        <v>99.55</v>
      </c>
      <c r="R249">
        <v>0.4</v>
      </c>
      <c r="S249" t="s">
        <v>159</v>
      </c>
      <c r="T249">
        <v>59.6</v>
      </c>
      <c r="V249">
        <v>105.2</v>
      </c>
      <c r="W249">
        <v>83.6</v>
      </c>
      <c r="X249">
        <v>10.1</v>
      </c>
      <c r="Y249">
        <v>28.8</v>
      </c>
      <c r="Z249">
        <v>8574832</v>
      </c>
      <c r="AA249">
        <v>46.818187999999999</v>
      </c>
      <c r="AB249">
        <v>8.2275120000000008</v>
      </c>
    </row>
    <row r="250" spans="1:28" hidden="1">
      <c r="A250">
        <v>249</v>
      </c>
      <c r="B250">
        <v>8200</v>
      </c>
      <c r="C250" t="s">
        <v>221</v>
      </c>
      <c r="D250" t="s">
        <v>758</v>
      </c>
      <c r="E250">
        <v>75</v>
      </c>
      <c r="G250" t="s">
        <v>172</v>
      </c>
      <c r="H250" t="s">
        <v>172</v>
      </c>
      <c r="I250" t="s">
        <v>223</v>
      </c>
      <c r="J250" t="s">
        <v>221</v>
      </c>
      <c r="K250" t="s">
        <v>172</v>
      </c>
      <c r="M250" t="b">
        <v>1</v>
      </c>
      <c r="N250" t="s">
        <v>32</v>
      </c>
      <c r="O250" t="s">
        <v>33</v>
      </c>
    </row>
    <row r="251" spans="1:28" hidden="1">
      <c r="A251">
        <v>249</v>
      </c>
      <c r="B251">
        <v>8200</v>
      </c>
      <c r="C251" t="s">
        <v>250</v>
      </c>
      <c r="D251" t="s">
        <v>759</v>
      </c>
      <c r="E251">
        <v>61</v>
      </c>
      <c r="G251" t="s">
        <v>263</v>
      </c>
      <c r="H251" t="s">
        <v>274</v>
      </c>
      <c r="I251" t="s">
        <v>498</v>
      </c>
      <c r="J251" t="s">
        <v>250</v>
      </c>
      <c r="K251" t="s">
        <v>263</v>
      </c>
      <c r="M251" t="b">
        <v>1</v>
      </c>
      <c r="N251" t="s">
        <v>32</v>
      </c>
      <c r="O251" t="s">
        <v>33</v>
      </c>
      <c r="Q251">
        <v>180.75</v>
      </c>
      <c r="R251">
        <v>4.5</v>
      </c>
      <c r="S251" t="s">
        <v>276</v>
      </c>
      <c r="T251">
        <v>81.900000000000006</v>
      </c>
      <c r="V251">
        <v>102.6</v>
      </c>
      <c r="W251">
        <v>72.7</v>
      </c>
      <c r="X251">
        <v>11.4</v>
      </c>
      <c r="Y251">
        <v>46.2</v>
      </c>
      <c r="Z251">
        <v>144373535</v>
      </c>
      <c r="AA251">
        <v>61.524009999999997</v>
      </c>
      <c r="AB251">
        <v>105.31875599999999</v>
      </c>
    </row>
    <row r="252" spans="1:28" hidden="1">
      <c r="A252">
        <v>249</v>
      </c>
      <c r="B252">
        <v>8200</v>
      </c>
      <c r="C252" t="s">
        <v>75</v>
      </c>
      <c r="D252" t="s">
        <v>760</v>
      </c>
      <c r="E252">
        <v>62</v>
      </c>
      <c r="G252" t="s">
        <v>455</v>
      </c>
      <c r="H252" t="s">
        <v>456</v>
      </c>
      <c r="I252" t="s">
        <v>457</v>
      </c>
      <c r="J252" t="s">
        <v>75</v>
      </c>
      <c r="K252" t="s">
        <v>455</v>
      </c>
      <c r="M252" t="b">
        <v>0</v>
      </c>
      <c r="N252" t="s">
        <v>32</v>
      </c>
      <c r="O252" t="s">
        <v>33</v>
      </c>
      <c r="Q252">
        <v>267.51</v>
      </c>
      <c r="R252">
        <v>11.4</v>
      </c>
      <c r="S252" t="s">
        <v>459</v>
      </c>
      <c r="T252">
        <v>10.199999999999999</v>
      </c>
      <c r="V252">
        <v>84.7</v>
      </c>
      <c r="W252">
        <v>54.3</v>
      </c>
      <c r="X252">
        <v>1.5</v>
      </c>
      <c r="Y252">
        <v>34.799999999999997</v>
      </c>
      <c r="Z252">
        <v>200963599</v>
      </c>
      <c r="AA252">
        <v>9.0819989999999997</v>
      </c>
      <c r="AB252">
        <v>8.6752769999999995</v>
      </c>
    </row>
    <row r="253" spans="1:28" hidden="1">
      <c r="A253">
        <v>249</v>
      </c>
      <c r="B253">
        <v>8200</v>
      </c>
      <c r="C253" t="s">
        <v>54</v>
      </c>
      <c r="D253" t="s">
        <v>761</v>
      </c>
      <c r="E253">
        <v>79</v>
      </c>
      <c r="G253" t="s">
        <v>38</v>
      </c>
      <c r="H253" t="s">
        <v>403</v>
      </c>
      <c r="I253" t="s">
        <v>613</v>
      </c>
      <c r="J253" t="s">
        <v>54</v>
      </c>
      <c r="K253" t="s">
        <v>38</v>
      </c>
      <c r="M253" t="b">
        <v>1</v>
      </c>
      <c r="N253" t="s">
        <v>32</v>
      </c>
      <c r="O253" t="s">
        <v>33</v>
      </c>
      <c r="Q253">
        <v>117.24</v>
      </c>
      <c r="R253">
        <v>7.5</v>
      </c>
      <c r="S253" t="s">
        <v>44</v>
      </c>
      <c r="T253">
        <v>88.2</v>
      </c>
      <c r="V253">
        <v>101.8</v>
      </c>
      <c r="W253">
        <v>78.5</v>
      </c>
      <c r="X253">
        <v>9.6</v>
      </c>
      <c r="Y253">
        <v>36.6</v>
      </c>
      <c r="Z253">
        <v>328239523</v>
      </c>
      <c r="AA253">
        <v>37.090240000000001</v>
      </c>
      <c r="AB253">
        <v>-95.712890999999999</v>
      </c>
    </row>
    <row r="254" spans="1:28" hidden="1">
      <c r="A254">
        <v>249</v>
      </c>
      <c r="B254">
        <v>8200</v>
      </c>
      <c r="C254" t="s">
        <v>221</v>
      </c>
      <c r="D254" t="s">
        <v>762</v>
      </c>
      <c r="E254">
        <v>91</v>
      </c>
      <c r="G254" t="s">
        <v>77</v>
      </c>
      <c r="H254" t="s">
        <v>248</v>
      </c>
      <c r="I254" t="s">
        <v>223</v>
      </c>
      <c r="J254" t="s">
        <v>221</v>
      </c>
      <c r="K254" t="s">
        <v>77</v>
      </c>
      <c r="M254" t="b">
        <v>0</v>
      </c>
      <c r="N254" t="s">
        <v>42</v>
      </c>
      <c r="O254" t="s">
        <v>33</v>
      </c>
      <c r="Q254">
        <v>180.44</v>
      </c>
      <c r="R254">
        <v>7.7</v>
      </c>
      <c r="S254" t="s">
        <v>81</v>
      </c>
      <c r="T254">
        <v>28.1</v>
      </c>
      <c r="V254">
        <v>113</v>
      </c>
      <c r="W254">
        <v>69.400000000000006</v>
      </c>
      <c r="X254">
        <v>11.2</v>
      </c>
      <c r="Y254">
        <v>49.7</v>
      </c>
      <c r="Z254">
        <v>1366417754</v>
      </c>
      <c r="AA254">
        <v>20.593684</v>
      </c>
      <c r="AB254">
        <v>78.962879999999998</v>
      </c>
    </row>
    <row r="255" spans="1:28">
      <c r="A255">
        <v>249</v>
      </c>
      <c r="B255">
        <v>8200</v>
      </c>
      <c r="C255" t="s">
        <v>221</v>
      </c>
      <c r="D255" t="s">
        <v>763</v>
      </c>
      <c r="E255">
        <v>68</v>
      </c>
      <c r="F255" t="str">
        <f>IF(E255&gt;=90,"90-100",IF(E255&gt;=80,"80-90",IF(E255&gt;=70,"70-80",IF(E255&gt;=60,"60-70",IF(E255&gt;=50,"50-60",IF(E255&gt;=40,"40-50",IF(E255&gt;=30,"30-40","20-30")))))))</f>
        <v>60-70</v>
      </c>
      <c r="G255" t="s">
        <v>103</v>
      </c>
      <c r="H255" t="s">
        <v>143</v>
      </c>
      <c r="I255" t="s">
        <v>223</v>
      </c>
      <c r="J255" t="s">
        <v>221</v>
      </c>
      <c r="K255" t="s">
        <v>103</v>
      </c>
      <c r="L255" t="s">
        <v>764</v>
      </c>
      <c r="M255" t="b">
        <v>1</v>
      </c>
      <c r="N255" t="s">
        <v>42</v>
      </c>
      <c r="O255" t="s">
        <v>4867</v>
      </c>
      <c r="P255" t="s">
        <v>131</v>
      </c>
      <c r="Q255">
        <v>125.08</v>
      </c>
      <c r="R255">
        <v>2.9</v>
      </c>
      <c r="S255" t="s">
        <v>106</v>
      </c>
      <c r="T255">
        <v>50.6</v>
      </c>
      <c r="U255" t="str">
        <f>IF(T255&gt;=100,"above 100",IF(T255&gt;=80,"80-100",IF(T255&gt;=60,"60-80",IF(T255&gt;=40,"40-60",IF(T255&gt;=20,"20-60","0-20")))))</f>
        <v>40-60</v>
      </c>
      <c r="V255">
        <v>100.2</v>
      </c>
      <c r="W255">
        <v>77</v>
      </c>
      <c r="X255">
        <v>9.4</v>
      </c>
      <c r="Y255">
        <v>59.2</v>
      </c>
      <c r="Z255">
        <v>1397715000</v>
      </c>
      <c r="AA255">
        <v>35.861660000000001</v>
      </c>
      <c r="AB255">
        <v>104.195397</v>
      </c>
    </row>
    <row r="256" spans="1:28" hidden="1">
      <c r="A256">
        <v>249</v>
      </c>
      <c r="B256">
        <v>8200</v>
      </c>
      <c r="C256" t="s">
        <v>221</v>
      </c>
      <c r="D256" t="s">
        <v>765</v>
      </c>
      <c r="E256">
        <v>41</v>
      </c>
      <c r="G256" t="s">
        <v>103</v>
      </c>
      <c r="H256" t="s">
        <v>279</v>
      </c>
      <c r="I256" t="s">
        <v>223</v>
      </c>
      <c r="J256" t="s">
        <v>221</v>
      </c>
      <c r="K256" t="s">
        <v>103</v>
      </c>
      <c r="M256" t="b">
        <v>0</v>
      </c>
      <c r="N256" t="s">
        <v>42</v>
      </c>
      <c r="O256" t="s">
        <v>88</v>
      </c>
      <c r="Q256">
        <v>125.08</v>
      </c>
      <c r="R256">
        <v>2.9</v>
      </c>
      <c r="S256" t="s">
        <v>106</v>
      </c>
      <c r="T256">
        <v>50.6</v>
      </c>
      <c r="V256">
        <v>100.2</v>
      </c>
      <c r="W256">
        <v>77</v>
      </c>
      <c r="X256">
        <v>9.4</v>
      </c>
      <c r="Y256">
        <v>59.2</v>
      </c>
      <c r="Z256">
        <v>1397715000</v>
      </c>
      <c r="AA256">
        <v>35.861660000000001</v>
      </c>
      <c r="AB256">
        <v>104.195397</v>
      </c>
    </row>
    <row r="257" spans="1:28" hidden="1">
      <c r="A257">
        <v>256</v>
      </c>
      <c r="B257">
        <v>8100</v>
      </c>
      <c r="C257" t="s">
        <v>75</v>
      </c>
      <c r="D257" t="s">
        <v>766</v>
      </c>
      <c r="E257">
        <v>69</v>
      </c>
      <c r="G257" t="s">
        <v>28</v>
      </c>
      <c r="H257" t="s">
        <v>29</v>
      </c>
      <c r="I257" t="s">
        <v>75</v>
      </c>
      <c r="J257" t="s">
        <v>75</v>
      </c>
      <c r="K257" t="s">
        <v>28</v>
      </c>
      <c r="M257" t="b">
        <v>0</v>
      </c>
      <c r="N257" t="s">
        <v>42</v>
      </c>
      <c r="O257" t="s">
        <v>33</v>
      </c>
      <c r="Q257">
        <v>110.05</v>
      </c>
      <c r="R257">
        <v>1.1000000000000001</v>
      </c>
      <c r="S257" t="s">
        <v>35</v>
      </c>
      <c r="T257">
        <v>65.599999999999994</v>
      </c>
      <c r="V257">
        <v>102.5</v>
      </c>
      <c r="W257">
        <v>82.5</v>
      </c>
      <c r="X257">
        <v>24.2</v>
      </c>
      <c r="Y257">
        <v>60.7</v>
      </c>
      <c r="Z257">
        <v>67059887</v>
      </c>
      <c r="AA257">
        <v>46.227637999999999</v>
      </c>
      <c r="AB257">
        <v>2.213749</v>
      </c>
    </row>
    <row r="258" spans="1:28" hidden="1">
      <c r="A258">
        <v>256</v>
      </c>
      <c r="B258">
        <v>8100</v>
      </c>
      <c r="C258" t="s">
        <v>75</v>
      </c>
      <c r="D258" t="s">
        <v>767</v>
      </c>
      <c r="E258">
        <v>66</v>
      </c>
      <c r="G258" t="s">
        <v>28</v>
      </c>
      <c r="H258" t="s">
        <v>29</v>
      </c>
      <c r="I258" t="s">
        <v>75</v>
      </c>
      <c r="J258" t="s">
        <v>75</v>
      </c>
      <c r="K258" t="s">
        <v>28</v>
      </c>
      <c r="M258" t="b">
        <v>0</v>
      </c>
      <c r="N258" t="s">
        <v>42</v>
      </c>
      <c r="O258" t="s">
        <v>33</v>
      </c>
      <c r="Q258">
        <v>110.05</v>
      </c>
      <c r="R258">
        <v>1.1000000000000001</v>
      </c>
      <c r="S258" t="s">
        <v>35</v>
      </c>
      <c r="T258">
        <v>65.599999999999994</v>
      </c>
      <c r="V258">
        <v>102.5</v>
      </c>
      <c r="W258">
        <v>82.5</v>
      </c>
      <c r="X258">
        <v>24.2</v>
      </c>
      <c r="Y258">
        <v>60.7</v>
      </c>
      <c r="Z258">
        <v>67059887</v>
      </c>
      <c r="AA258">
        <v>46.227637999999999</v>
      </c>
      <c r="AB258">
        <v>2.213749</v>
      </c>
    </row>
    <row r="259" spans="1:28">
      <c r="A259">
        <v>256</v>
      </c>
      <c r="B259">
        <v>8100</v>
      </c>
      <c r="C259" t="s">
        <v>101</v>
      </c>
      <c r="D259" t="s">
        <v>768</v>
      </c>
      <c r="E259">
        <v>65</v>
      </c>
      <c r="F259" t="str">
        <f>IF(E259&gt;=90,"90-100",IF(E259&gt;=80,"80-90",IF(E259&gt;=70,"70-80",IF(E259&gt;=60,"60-70",IF(E259&gt;=50,"50-60",IF(E259&gt;=40,"40-50",IF(E259&gt;=30,"30-40","20-30")))))))</f>
        <v>60-70</v>
      </c>
      <c r="G259" t="s">
        <v>38</v>
      </c>
      <c r="H259" t="s">
        <v>581</v>
      </c>
      <c r="I259" t="s">
        <v>769</v>
      </c>
      <c r="J259" t="s">
        <v>101</v>
      </c>
      <c r="K259" t="s">
        <v>38</v>
      </c>
      <c r="L259" t="s">
        <v>770</v>
      </c>
      <c r="M259" t="b">
        <v>1</v>
      </c>
      <c r="N259" t="s">
        <v>32</v>
      </c>
      <c r="O259" t="s">
        <v>4867</v>
      </c>
      <c r="P259" t="s">
        <v>34</v>
      </c>
      <c r="Q259">
        <v>117.24</v>
      </c>
      <c r="R259">
        <v>7.5</v>
      </c>
      <c r="S259" t="s">
        <v>44</v>
      </c>
      <c r="T259">
        <v>88.2</v>
      </c>
      <c r="U259" t="str">
        <f>IF(T259&gt;=100,"above 100",IF(T259&gt;=80,"80-100",IF(T259&gt;=60,"60-80",IF(T259&gt;=40,"40-60",IF(T259&gt;=20,"20-60","0-20")))))</f>
        <v>80-100</v>
      </c>
      <c r="V259">
        <v>101.8</v>
      </c>
      <c r="W259">
        <v>78.5</v>
      </c>
      <c r="X259">
        <v>9.6</v>
      </c>
      <c r="Y259">
        <v>36.6</v>
      </c>
      <c r="Z259">
        <v>328239523</v>
      </c>
      <c r="AA259">
        <v>37.090240000000001</v>
      </c>
      <c r="AB259">
        <v>-95.712890999999999</v>
      </c>
    </row>
    <row r="260" spans="1:28" hidden="1">
      <c r="A260">
        <v>256</v>
      </c>
      <c r="B260">
        <v>8100</v>
      </c>
      <c r="C260" t="s">
        <v>75</v>
      </c>
      <c r="D260" t="s">
        <v>771</v>
      </c>
      <c r="E260">
        <v>58</v>
      </c>
      <c r="G260" t="s">
        <v>28</v>
      </c>
      <c r="H260" t="s">
        <v>29</v>
      </c>
      <c r="I260" t="s">
        <v>75</v>
      </c>
      <c r="J260" t="s">
        <v>75</v>
      </c>
      <c r="K260" t="s">
        <v>28</v>
      </c>
      <c r="M260" t="b">
        <v>0</v>
      </c>
      <c r="N260" t="s">
        <v>42</v>
      </c>
      <c r="O260" t="s">
        <v>88</v>
      </c>
      <c r="Q260">
        <v>110.05</v>
      </c>
      <c r="R260">
        <v>1.1000000000000001</v>
      </c>
      <c r="S260" t="s">
        <v>35</v>
      </c>
      <c r="T260">
        <v>65.599999999999994</v>
      </c>
      <c r="V260">
        <v>102.5</v>
      </c>
      <c r="W260">
        <v>82.5</v>
      </c>
      <c r="X260">
        <v>24.2</v>
      </c>
      <c r="Y260">
        <v>60.7</v>
      </c>
      <c r="Z260">
        <v>67059887</v>
      </c>
      <c r="AA260">
        <v>46.227637999999999</v>
      </c>
      <c r="AB260">
        <v>2.213749</v>
      </c>
    </row>
    <row r="261" spans="1:28" hidden="1">
      <c r="A261">
        <v>256</v>
      </c>
      <c r="B261">
        <v>8100</v>
      </c>
      <c r="C261" t="s">
        <v>179</v>
      </c>
      <c r="D261" t="s">
        <v>772</v>
      </c>
      <c r="E261">
        <v>54</v>
      </c>
      <c r="G261" t="s">
        <v>156</v>
      </c>
      <c r="H261" t="s">
        <v>773</v>
      </c>
      <c r="I261" t="s">
        <v>774</v>
      </c>
      <c r="J261" t="s">
        <v>179</v>
      </c>
      <c r="K261" t="s">
        <v>389</v>
      </c>
      <c r="M261" t="b">
        <v>1</v>
      </c>
      <c r="N261" t="s">
        <v>32</v>
      </c>
      <c r="O261" t="s">
        <v>33</v>
      </c>
      <c r="Q261">
        <v>99.55</v>
      </c>
      <c r="R261">
        <v>0.4</v>
      </c>
      <c r="S261" t="s">
        <v>159</v>
      </c>
      <c r="T261">
        <v>59.6</v>
      </c>
      <c r="V261">
        <v>105.2</v>
      </c>
      <c r="W261">
        <v>83.6</v>
      </c>
      <c r="X261">
        <v>10.1</v>
      </c>
      <c r="Y261">
        <v>28.8</v>
      </c>
      <c r="Z261">
        <v>8574832</v>
      </c>
      <c r="AA261">
        <v>46.818187999999999</v>
      </c>
      <c r="AB261">
        <v>8.2275120000000008</v>
      </c>
    </row>
    <row r="262" spans="1:28" hidden="1">
      <c r="A262">
        <v>261</v>
      </c>
      <c r="B262">
        <v>8000</v>
      </c>
      <c r="C262" t="s">
        <v>45</v>
      </c>
      <c r="D262" t="s">
        <v>775</v>
      </c>
      <c r="E262">
        <v>39</v>
      </c>
      <c r="G262" t="s">
        <v>38</v>
      </c>
      <c r="H262" t="s">
        <v>652</v>
      </c>
      <c r="I262" t="s">
        <v>653</v>
      </c>
      <c r="J262" t="s">
        <v>45</v>
      </c>
      <c r="K262" t="s">
        <v>38</v>
      </c>
      <c r="M262" t="b">
        <v>1</v>
      </c>
      <c r="N262" t="s">
        <v>42</v>
      </c>
      <c r="O262" t="s">
        <v>33</v>
      </c>
      <c r="Q262">
        <v>117.24</v>
      </c>
      <c r="R262">
        <v>7.5</v>
      </c>
      <c r="S262" t="s">
        <v>44</v>
      </c>
      <c r="T262">
        <v>88.2</v>
      </c>
      <c r="V262">
        <v>101.8</v>
      </c>
      <c r="W262">
        <v>78.5</v>
      </c>
      <c r="X262">
        <v>9.6</v>
      </c>
      <c r="Y262">
        <v>36.6</v>
      </c>
      <c r="Z262">
        <v>328239523</v>
      </c>
      <c r="AA262">
        <v>37.090240000000001</v>
      </c>
      <c r="AB262">
        <v>-95.712890999999999</v>
      </c>
    </row>
    <row r="263" spans="1:28" hidden="1">
      <c r="A263">
        <v>261</v>
      </c>
      <c r="B263">
        <v>8000</v>
      </c>
      <c r="C263" t="s">
        <v>250</v>
      </c>
      <c r="D263" t="s">
        <v>776</v>
      </c>
      <c r="E263">
        <v>66</v>
      </c>
      <c r="G263" t="s">
        <v>263</v>
      </c>
      <c r="H263" t="s">
        <v>274</v>
      </c>
      <c r="I263" t="s">
        <v>325</v>
      </c>
      <c r="J263" t="s">
        <v>250</v>
      </c>
      <c r="K263" t="s">
        <v>263</v>
      </c>
      <c r="M263" t="b">
        <v>1</v>
      </c>
      <c r="N263" t="s">
        <v>32</v>
      </c>
      <c r="O263" t="s">
        <v>33</v>
      </c>
      <c r="Q263">
        <v>180.75</v>
      </c>
      <c r="R263">
        <v>4.5</v>
      </c>
      <c r="S263" t="s">
        <v>276</v>
      </c>
      <c r="T263">
        <v>81.900000000000006</v>
      </c>
      <c r="V263">
        <v>102.6</v>
      </c>
      <c r="W263">
        <v>72.7</v>
      </c>
      <c r="X263">
        <v>11.4</v>
      </c>
      <c r="Y263">
        <v>46.2</v>
      </c>
      <c r="Z263">
        <v>144373535</v>
      </c>
      <c r="AA263">
        <v>61.524009999999997</v>
      </c>
      <c r="AB263">
        <v>105.31875599999999</v>
      </c>
    </row>
    <row r="264" spans="1:28">
      <c r="A264">
        <v>261</v>
      </c>
      <c r="B264">
        <v>8000</v>
      </c>
      <c r="C264" t="s">
        <v>26</v>
      </c>
      <c r="D264" t="s">
        <v>777</v>
      </c>
      <c r="E264">
        <v>93</v>
      </c>
      <c r="F264" t="str">
        <f>IF(E264&gt;=90,"90-100",IF(E264&gt;=80,"80-90",IF(E264&gt;=70,"70-80",IF(E264&gt;=60,"60-70",IF(E264&gt;=50,"50-60",IF(E264&gt;=40,"40-50",IF(E264&gt;=30,"30-40","20-30")))))))</f>
        <v>90-100</v>
      </c>
      <c r="G264" t="s">
        <v>38</v>
      </c>
      <c r="H264" t="s">
        <v>739</v>
      </c>
      <c r="I264" t="s">
        <v>778</v>
      </c>
      <c r="J264" t="s">
        <v>26</v>
      </c>
      <c r="K264" t="s">
        <v>38</v>
      </c>
      <c r="L264" t="s">
        <v>778</v>
      </c>
      <c r="M264" t="b">
        <v>1</v>
      </c>
      <c r="N264" t="s">
        <v>42</v>
      </c>
      <c r="O264" t="s">
        <v>4867</v>
      </c>
      <c r="P264" t="s">
        <v>779</v>
      </c>
      <c r="Q264">
        <v>117.24</v>
      </c>
      <c r="R264">
        <v>7.5</v>
      </c>
      <c r="S264" t="s">
        <v>44</v>
      </c>
      <c r="T264">
        <v>88.2</v>
      </c>
      <c r="U264" t="str">
        <f t="shared" ref="U264:U265" si="19">IF(T264&gt;=100,"above 100",IF(T264&gt;=80,"80-100",IF(T264&gt;=60,"60-80",IF(T264&gt;=40,"40-60",IF(T264&gt;=20,"20-60","0-20")))))</f>
        <v>80-100</v>
      </c>
      <c r="V264">
        <v>101.8</v>
      </c>
      <c r="W264">
        <v>78.5</v>
      </c>
      <c r="X264">
        <v>9.6</v>
      </c>
      <c r="Y264">
        <v>36.6</v>
      </c>
      <c r="Z264">
        <v>328239523</v>
      </c>
      <c r="AA264">
        <v>37.090240000000001</v>
      </c>
      <c r="AB264">
        <v>-95.712890999999999</v>
      </c>
    </row>
    <row r="265" spans="1:28">
      <c r="A265">
        <v>261</v>
      </c>
      <c r="B265">
        <v>8000</v>
      </c>
      <c r="C265" t="s">
        <v>54</v>
      </c>
      <c r="D265" t="s">
        <v>780</v>
      </c>
      <c r="E265">
        <v>85</v>
      </c>
      <c r="F265" t="str">
        <f>IF(E265&gt;=90,"90-100",IF(E265&gt;=80,"80-90",IF(E265&gt;=70,"70-80",IF(E265&gt;=60,"60-70",IF(E265&gt;=50,"50-60",IF(E265&gt;=40,"40-50",IF(E265&gt;=30,"30-40","20-30")))))))</f>
        <v>80-90</v>
      </c>
      <c r="G265" t="s">
        <v>38</v>
      </c>
      <c r="H265" t="s">
        <v>781</v>
      </c>
      <c r="I265" t="s">
        <v>782</v>
      </c>
      <c r="J265" t="s">
        <v>54</v>
      </c>
      <c r="K265" t="s">
        <v>38</v>
      </c>
      <c r="L265" t="s">
        <v>783</v>
      </c>
      <c r="M265" t="b">
        <v>1</v>
      </c>
      <c r="N265" t="s">
        <v>419</v>
      </c>
      <c r="O265" t="s">
        <v>4867</v>
      </c>
      <c r="P265" t="s">
        <v>34</v>
      </c>
      <c r="Q265">
        <v>117.24</v>
      </c>
      <c r="R265">
        <v>7.5</v>
      </c>
      <c r="S265" t="s">
        <v>44</v>
      </c>
      <c r="T265">
        <v>88.2</v>
      </c>
      <c r="U265" t="str">
        <f t="shared" si="19"/>
        <v>80-100</v>
      </c>
      <c r="V265">
        <v>101.8</v>
      </c>
      <c r="W265">
        <v>78.5</v>
      </c>
      <c r="X265">
        <v>9.6</v>
      </c>
      <c r="Y265">
        <v>36.6</v>
      </c>
      <c r="Z265">
        <v>328239523</v>
      </c>
      <c r="AA265">
        <v>37.090240000000001</v>
      </c>
      <c r="AB265">
        <v>-95.712890999999999</v>
      </c>
    </row>
    <row r="266" spans="1:28" hidden="1">
      <c r="A266">
        <v>261</v>
      </c>
      <c r="B266">
        <v>8000</v>
      </c>
      <c r="C266" t="s">
        <v>54</v>
      </c>
      <c r="D266" t="s">
        <v>784</v>
      </c>
      <c r="E266">
        <v>60</v>
      </c>
      <c r="G266" t="s">
        <v>38</v>
      </c>
      <c r="H266" t="s">
        <v>39</v>
      </c>
      <c r="I266" t="s">
        <v>613</v>
      </c>
      <c r="J266" t="s">
        <v>54</v>
      </c>
      <c r="K266" t="s">
        <v>38</v>
      </c>
      <c r="M266" t="b">
        <v>1</v>
      </c>
      <c r="N266" t="s">
        <v>32</v>
      </c>
      <c r="O266" t="s">
        <v>33</v>
      </c>
      <c r="P266" t="s">
        <v>468</v>
      </c>
      <c r="Q266">
        <v>117.24</v>
      </c>
      <c r="R266">
        <v>7.5</v>
      </c>
      <c r="S266" t="s">
        <v>44</v>
      </c>
      <c r="T266">
        <v>88.2</v>
      </c>
      <c r="V266">
        <v>101.8</v>
      </c>
      <c r="W266">
        <v>78.5</v>
      </c>
      <c r="X266">
        <v>9.6</v>
      </c>
      <c r="Y266">
        <v>36.6</v>
      </c>
      <c r="Z266">
        <v>328239523</v>
      </c>
      <c r="AA266">
        <v>37.090240000000001</v>
      </c>
      <c r="AB266">
        <v>-95.712890999999999</v>
      </c>
    </row>
    <row r="267" spans="1:28" hidden="1">
      <c r="A267">
        <v>261</v>
      </c>
      <c r="B267">
        <v>8000</v>
      </c>
      <c r="C267" t="s">
        <v>236</v>
      </c>
      <c r="D267" t="s">
        <v>785</v>
      </c>
      <c r="E267">
        <v>58</v>
      </c>
      <c r="G267" t="s">
        <v>389</v>
      </c>
      <c r="H267" t="s">
        <v>390</v>
      </c>
      <c r="I267" t="s">
        <v>786</v>
      </c>
      <c r="J267" t="s">
        <v>236</v>
      </c>
      <c r="K267" t="s">
        <v>389</v>
      </c>
      <c r="M267" t="b">
        <v>1</v>
      </c>
      <c r="N267" t="s">
        <v>32</v>
      </c>
      <c r="O267" t="s">
        <v>33</v>
      </c>
      <c r="Q267">
        <v>116.48</v>
      </c>
      <c r="R267">
        <v>2.8</v>
      </c>
      <c r="S267" t="s">
        <v>392</v>
      </c>
      <c r="T267">
        <v>64.099999999999994</v>
      </c>
      <c r="V267">
        <v>100.7</v>
      </c>
      <c r="W267">
        <v>79</v>
      </c>
      <c r="X267">
        <v>14.9</v>
      </c>
      <c r="Y267">
        <v>46.1</v>
      </c>
      <c r="Z267">
        <v>10669709</v>
      </c>
      <c r="AA267">
        <v>49.817492000000001</v>
      </c>
      <c r="AB267">
        <v>15.472962000000001</v>
      </c>
    </row>
    <row r="268" spans="1:28" hidden="1">
      <c r="A268">
        <v>261</v>
      </c>
      <c r="B268">
        <v>8000</v>
      </c>
      <c r="C268" t="s">
        <v>54</v>
      </c>
      <c r="D268" t="s">
        <v>787</v>
      </c>
      <c r="E268">
        <v>76</v>
      </c>
      <c r="G268" t="s">
        <v>339</v>
      </c>
      <c r="I268" t="s">
        <v>231</v>
      </c>
      <c r="J268" t="s">
        <v>54</v>
      </c>
      <c r="K268" t="s">
        <v>161</v>
      </c>
      <c r="M268" t="b">
        <v>0</v>
      </c>
      <c r="N268" t="s">
        <v>42</v>
      </c>
      <c r="O268" t="s">
        <v>33</v>
      </c>
      <c r="S268" t="s">
        <v>343</v>
      </c>
      <c r="Z268">
        <v>38964</v>
      </c>
      <c r="AA268">
        <v>43.738417599999998</v>
      </c>
      <c r="AB268">
        <v>7.4246157999999998</v>
      </c>
    </row>
    <row r="269" spans="1:28" hidden="1">
      <c r="A269">
        <v>268</v>
      </c>
      <c r="B269">
        <v>7900</v>
      </c>
      <c r="C269" t="s">
        <v>54</v>
      </c>
      <c r="D269" t="s">
        <v>788</v>
      </c>
      <c r="E269">
        <v>52</v>
      </c>
      <c r="G269" t="s">
        <v>38</v>
      </c>
      <c r="H269" t="s">
        <v>789</v>
      </c>
      <c r="I269" t="s">
        <v>613</v>
      </c>
      <c r="J269" t="s">
        <v>54</v>
      </c>
      <c r="K269" t="s">
        <v>38</v>
      </c>
      <c r="M269" t="b">
        <v>1</v>
      </c>
      <c r="N269" t="s">
        <v>32</v>
      </c>
      <c r="O269" t="s">
        <v>33</v>
      </c>
      <c r="Q269">
        <v>117.24</v>
      </c>
      <c r="R269">
        <v>7.5</v>
      </c>
      <c r="S269" t="s">
        <v>44</v>
      </c>
      <c r="T269">
        <v>88.2</v>
      </c>
      <c r="V269">
        <v>101.8</v>
      </c>
      <c r="W269">
        <v>78.5</v>
      </c>
      <c r="X269">
        <v>9.6</v>
      </c>
      <c r="Y269">
        <v>36.6</v>
      </c>
      <c r="Z269">
        <v>328239523</v>
      </c>
      <c r="AA269">
        <v>37.090240000000001</v>
      </c>
      <c r="AB269">
        <v>-95.712890999999999</v>
      </c>
    </row>
    <row r="270" spans="1:28" hidden="1">
      <c r="A270">
        <v>268</v>
      </c>
      <c r="B270">
        <v>7900</v>
      </c>
      <c r="C270" t="s">
        <v>26</v>
      </c>
      <c r="D270" t="s">
        <v>790</v>
      </c>
      <c r="E270">
        <v>52</v>
      </c>
      <c r="G270" t="s">
        <v>103</v>
      </c>
      <c r="H270" t="s">
        <v>791</v>
      </c>
      <c r="I270" t="s">
        <v>792</v>
      </c>
      <c r="J270" t="s">
        <v>26</v>
      </c>
      <c r="K270" t="s">
        <v>103</v>
      </c>
      <c r="M270" t="b">
        <v>1</v>
      </c>
      <c r="N270" t="s">
        <v>32</v>
      </c>
      <c r="O270" t="s">
        <v>33</v>
      </c>
      <c r="Q270">
        <v>125.08</v>
      </c>
      <c r="R270">
        <v>2.9</v>
      </c>
      <c r="S270" t="s">
        <v>106</v>
      </c>
      <c r="T270">
        <v>50.6</v>
      </c>
      <c r="V270">
        <v>100.2</v>
      </c>
      <c r="W270">
        <v>77</v>
      </c>
      <c r="X270">
        <v>9.4</v>
      </c>
      <c r="Y270">
        <v>59.2</v>
      </c>
      <c r="Z270">
        <v>1397715000</v>
      </c>
      <c r="AA270">
        <v>35.861660000000001</v>
      </c>
      <c r="AB270">
        <v>104.195397</v>
      </c>
    </row>
    <row r="271" spans="1:28" hidden="1">
      <c r="A271">
        <v>268</v>
      </c>
      <c r="B271">
        <v>7900</v>
      </c>
      <c r="C271" t="s">
        <v>26</v>
      </c>
      <c r="D271" t="s">
        <v>793</v>
      </c>
      <c r="E271">
        <v>71</v>
      </c>
      <c r="G271" t="s">
        <v>38</v>
      </c>
      <c r="H271" t="s">
        <v>794</v>
      </c>
      <c r="I271" t="s">
        <v>118</v>
      </c>
      <c r="J271" t="s">
        <v>26</v>
      </c>
      <c r="K271" t="s">
        <v>38</v>
      </c>
      <c r="M271" t="b">
        <v>0</v>
      </c>
      <c r="N271" t="s">
        <v>42</v>
      </c>
      <c r="O271" t="s">
        <v>88</v>
      </c>
      <c r="Q271">
        <v>117.24</v>
      </c>
      <c r="R271">
        <v>7.5</v>
      </c>
      <c r="S271" t="s">
        <v>44</v>
      </c>
      <c r="T271">
        <v>88.2</v>
      </c>
      <c r="V271">
        <v>101.8</v>
      </c>
      <c r="W271">
        <v>78.5</v>
      </c>
      <c r="X271">
        <v>9.6</v>
      </c>
      <c r="Y271">
        <v>36.6</v>
      </c>
      <c r="Z271">
        <v>328239523</v>
      </c>
      <c r="AA271">
        <v>37.090240000000001</v>
      </c>
      <c r="AB271">
        <v>-95.712890999999999</v>
      </c>
    </row>
    <row r="272" spans="1:28" hidden="1">
      <c r="A272">
        <v>268</v>
      </c>
      <c r="B272">
        <v>7900</v>
      </c>
      <c r="C272" t="s">
        <v>45</v>
      </c>
      <c r="D272" t="s">
        <v>795</v>
      </c>
      <c r="E272">
        <v>54</v>
      </c>
      <c r="G272" t="s">
        <v>611</v>
      </c>
      <c r="H272" t="s">
        <v>612</v>
      </c>
      <c r="I272" t="s">
        <v>796</v>
      </c>
      <c r="J272" t="s">
        <v>45</v>
      </c>
      <c r="K272" t="s">
        <v>611</v>
      </c>
      <c r="M272" t="b">
        <v>0</v>
      </c>
      <c r="N272" t="s">
        <v>42</v>
      </c>
      <c r="O272" t="s">
        <v>33</v>
      </c>
      <c r="Q272">
        <v>115.16</v>
      </c>
      <c r="R272">
        <v>0.4</v>
      </c>
      <c r="S272" t="s">
        <v>615</v>
      </c>
      <c r="T272">
        <v>94.3</v>
      </c>
      <c r="V272">
        <v>98.1</v>
      </c>
      <c r="W272">
        <v>82.6</v>
      </c>
      <c r="X272">
        <v>15.6</v>
      </c>
      <c r="Y272">
        <v>33.200000000000003</v>
      </c>
      <c r="Z272">
        <v>51709098</v>
      </c>
      <c r="AA272">
        <v>35.907756999999997</v>
      </c>
      <c r="AB272">
        <v>127.76692199999999</v>
      </c>
    </row>
    <row r="273" spans="1:28" hidden="1">
      <c r="A273">
        <v>268</v>
      </c>
      <c r="B273">
        <v>7900</v>
      </c>
      <c r="C273" t="s">
        <v>54</v>
      </c>
      <c r="D273" t="s">
        <v>797</v>
      </c>
      <c r="E273">
        <v>54</v>
      </c>
      <c r="G273" t="s">
        <v>38</v>
      </c>
      <c r="H273" t="s">
        <v>65</v>
      </c>
      <c r="I273" t="s">
        <v>613</v>
      </c>
      <c r="J273" t="s">
        <v>54</v>
      </c>
      <c r="K273" t="s">
        <v>38</v>
      </c>
      <c r="M273" t="b">
        <v>1</v>
      </c>
      <c r="N273" t="s">
        <v>32</v>
      </c>
      <c r="O273" t="s">
        <v>33</v>
      </c>
      <c r="Q273">
        <v>117.24</v>
      </c>
      <c r="R273">
        <v>7.5</v>
      </c>
      <c r="S273" t="s">
        <v>44</v>
      </c>
      <c r="T273">
        <v>88.2</v>
      </c>
      <c r="V273">
        <v>101.8</v>
      </c>
      <c r="W273">
        <v>78.5</v>
      </c>
      <c r="X273">
        <v>9.6</v>
      </c>
      <c r="Y273">
        <v>36.6</v>
      </c>
      <c r="Z273">
        <v>328239523</v>
      </c>
      <c r="AA273">
        <v>37.090240000000001</v>
      </c>
      <c r="AB273">
        <v>-95.712890999999999</v>
      </c>
    </row>
    <row r="274" spans="1:28">
      <c r="A274">
        <v>268</v>
      </c>
      <c r="B274">
        <v>7900</v>
      </c>
      <c r="C274" t="s">
        <v>54</v>
      </c>
      <c r="D274" t="s">
        <v>798</v>
      </c>
      <c r="E274">
        <v>72</v>
      </c>
      <c r="F274" t="str">
        <f>IF(E274&gt;=90,"90-100",IF(E274&gt;=80,"80-90",IF(E274&gt;=70,"70-80",IF(E274&gt;=60,"60-70",IF(E274&gt;=50,"50-60",IF(E274&gt;=40,"40-50",IF(E274&gt;=30,"30-40","20-30")))))))</f>
        <v>70-80</v>
      </c>
      <c r="G274" t="s">
        <v>38</v>
      </c>
      <c r="H274" t="s">
        <v>65</v>
      </c>
      <c r="I274" t="s">
        <v>185</v>
      </c>
      <c r="J274" t="s">
        <v>54</v>
      </c>
      <c r="K274" t="s">
        <v>38</v>
      </c>
      <c r="L274" t="s">
        <v>799</v>
      </c>
      <c r="M274" t="b">
        <v>1</v>
      </c>
      <c r="N274" t="s">
        <v>32</v>
      </c>
      <c r="O274" t="s">
        <v>4867</v>
      </c>
      <c r="P274" t="s">
        <v>146</v>
      </c>
      <c r="Q274">
        <v>117.24</v>
      </c>
      <c r="R274">
        <v>7.5</v>
      </c>
      <c r="S274" t="s">
        <v>44</v>
      </c>
      <c r="T274">
        <v>88.2</v>
      </c>
      <c r="U274" t="str">
        <f>IF(T274&gt;=100,"above 100",IF(T274&gt;=80,"80-100",IF(T274&gt;=60,"60-80",IF(T274&gt;=40,"40-60",IF(T274&gt;=20,"20-60","0-20")))))</f>
        <v>80-100</v>
      </c>
      <c r="V274">
        <v>101.8</v>
      </c>
      <c r="W274">
        <v>78.5</v>
      </c>
      <c r="X274">
        <v>9.6</v>
      </c>
      <c r="Y274">
        <v>36.6</v>
      </c>
      <c r="Z274">
        <v>328239523</v>
      </c>
      <c r="AA274">
        <v>37.090240000000001</v>
      </c>
      <c r="AB274">
        <v>-95.712890999999999</v>
      </c>
    </row>
    <row r="275" spans="1:28" hidden="1">
      <c r="A275">
        <v>268</v>
      </c>
      <c r="B275">
        <v>7900</v>
      </c>
      <c r="C275" t="s">
        <v>236</v>
      </c>
      <c r="D275" t="s">
        <v>800</v>
      </c>
      <c r="E275">
        <v>57</v>
      </c>
      <c r="G275" t="s">
        <v>263</v>
      </c>
      <c r="H275" t="s">
        <v>274</v>
      </c>
      <c r="I275" t="s">
        <v>801</v>
      </c>
      <c r="J275" t="s">
        <v>236</v>
      </c>
      <c r="K275" t="s">
        <v>263</v>
      </c>
      <c r="M275" t="b">
        <v>1</v>
      </c>
      <c r="N275" t="s">
        <v>32</v>
      </c>
      <c r="O275" t="s">
        <v>33</v>
      </c>
      <c r="Q275">
        <v>180.75</v>
      </c>
      <c r="R275">
        <v>4.5</v>
      </c>
      <c r="S275" t="s">
        <v>276</v>
      </c>
      <c r="T275">
        <v>81.900000000000006</v>
      </c>
      <c r="V275">
        <v>102.6</v>
      </c>
      <c r="W275">
        <v>72.7</v>
      </c>
      <c r="X275">
        <v>11.4</v>
      </c>
      <c r="Y275">
        <v>46.2</v>
      </c>
      <c r="Z275">
        <v>144373535</v>
      </c>
      <c r="AA275">
        <v>61.524009999999997</v>
      </c>
      <c r="AB275">
        <v>105.31875599999999</v>
      </c>
    </row>
    <row r="276" spans="1:28" hidden="1">
      <c r="A276">
        <v>268</v>
      </c>
      <c r="B276">
        <v>7900</v>
      </c>
      <c r="C276" t="s">
        <v>75</v>
      </c>
      <c r="D276" t="s">
        <v>802</v>
      </c>
      <c r="E276">
        <v>50</v>
      </c>
      <c r="G276" t="s">
        <v>189</v>
      </c>
      <c r="H276" t="s">
        <v>803</v>
      </c>
      <c r="I276" t="s">
        <v>804</v>
      </c>
      <c r="J276" t="s">
        <v>75</v>
      </c>
      <c r="K276" t="s">
        <v>189</v>
      </c>
      <c r="M276" t="b">
        <v>1</v>
      </c>
      <c r="N276" t="s">
        <v>419</v>
      </c>
      <c r="O276" t="s">
        <v>33</v>
      </c>
      <c r="Q276">
        <v>118.06</v>
      </c>
      <c r="R276">
        <v>1.5</v>
      </c>
      <c r="S276" t="s">
        <v>193</v>
      </c>
      <c r="T276">
        <v>85.1</v>
      </c>
      <c r="V276">
        <v>103.1</v>
      </c>
      <c r="W276">
        <v>81.599999999999994</v>
      </c>
      <c r="X276">
        <v>25.4</v>
      </c>
      <c r="Y276">
        <v>51.4</v>
      </c>
      <c r="Z276">
        <v>8877067</v>
      </c>
      <c r="AA276">
        <v>47.516230999999998</v>
      </c>
      <c r="AB276">
        <v>14.550072</v>
      </c>
    </row>
    <row r="277" spans="1:28" hidden="1">
      <c r="A277">
        <v>276</v>
      </c>
      <c r="B277">
        <v>7800</v>
      </c>
      <c r="C277" t="s">
        <v>68</v>
      </c>
      <c r="D277" t="s">
        <v>805</v>
      </c>
      <c r="E277">
        <v>73</v>
      </c>
      <c r="G277" t="s">
        <v>38</v>
      </c>
      <c r="H277" t="s">
        <v>806</v>
      </c>
      <c r="I277" t="s">
        <v>68</v>
      </c>
      <c r="J277" t="s">
        <v>68</v>
      </c>
      <c r="K277" t="s">
        <v>38</v>
      </c>
      <c r="M277" t="b">
        <v>1</v>
      </c>
      <c r="N277" t="s">
        <v>32</v>
      </c>
      <c r="O277" t="s">
        <v>33</v>
      </c>
      <c r="Q277">
        <v>117.24</v>
      </c>
      <c r="R277">
        <v>7.5</v>
      </c>
      <c r="S277" t="s">
        <v>44</v>
      </c>
      <c r="T277">
        <v>88.2</v>
      </c>
      <c r="V277">
        <v>101.8</v>
      </c>
      <c r="W277">
        <v>78.5</v>
      </c>
      <c r="X277">
        <v>9.6</v>
      </c>
      <c r="Y277">
        <v>36.6</v>
      </c>
      <c r="Z277">
        <v>328239523</v>
      </c>
      <c r="AA277">
        <v>37.090240000000001</v>
      </c>
      <c r="AB277">
        <v>-95.712890999999999</v>
      </c>
    </row>
    <row r="278" spans="1:28" hidden="1">
      <c r="A278">
        <v>276</v>
      </c>
      <c r="B278">
        <v>7800</v>
      </c>
      <c r="C278" t="s">
        <v>217</v>
      </c>
      <c r="D278" t="s">
        <v>807</v>
      </c>
      <c r="E278">
        <v>66</v>
      </c>
      <c r="G278" t="s">
        <v>103</v>
      </c>
      <c r="H278" t="s">
        <v>104</v>
      </c>
      <c r="I278" t="s">
        <v>808</v>
      </c>
      <c r="J278" t="s">
        <v>217</v>
      </c>
      <c r="K278" t="s">
        <v>103</v>
      </c>
      <c r="M278" t="b">
        <v>1</v>
      </c>
      <c r="N278" t="s">
        <v>42</v>
      </c>
      <c r="O278" t="s">
        <v>33</v>
      </c>
      <c r="Q278">
        <v>125.08</v>
      </c>
      <c r="R278">
        <v>2.9</v>
      </c>
      <c r="S278" t="s">
        <v>106</v>
      </c>
      <c r="T278">
        <v>50.6</v>
      </c>
      <c r="V278">
        <v>100.2</v>
      </c>
      <c r="W278">
        <v>77</v>
      </c>
      <c r="X278">
        <v>9.4</v>
      </c>
      <c r="Y278">
        <v>59.2</v>
      </c>
      <c r="Z278">
        <v>1397715000</v>
      </c>
      <c r="AA278">
        <v>35.861660000000001</v>
      </c>
      <c r="AB278">
        <v>104.195397</v>
      </c>
    </row>
    <row r="279" spans="1:28" hidden="1">
      <c r="A279">
        <v>276</v>
      </c>
      <c r="B279">
        <v>7800</v>
      </c>
      <c r="C279" t="s">
        <v>217</v>
      </c>
      <c r="D279" t="s">
        <v>809</v>
      </c>
      <c r="E279">
        <v>94</v>
      </c>
      <c r="G279" t="s">
        <v>810</v>
      </c>
      <c r="H279" t="s">
        <v>811</v>
      </c>
      <c r="I279" t="s">
        <v>808</v>
      </c>
      <c r="J279" t="s">
        <v>217</v>
      </c>
      <c r="K279" t="s">
        <v>810</v>
      </c>
      <c r="M279" t="b">
        <v>1</v>
      </c>
      <c r="N279" t="s">
        <v>32</v>
      </c>
      <c r="O279" t="s">
        <v>33</v>
      </c>
    </row>
    <row r="280" spans="1:28" hidden="1">
      <c r="A280">
        <v>276</v>
      </c>
      <c r="B280">
        <v>7800</v>
      </c>
      <c r="C280" t="s">
        <v>45</v>
      </c>
      <c r="D280" t="s">
        <v>812</v>
      </c>
      <c r="E280">
        <v>53</v>
      </c>
      <c r="G280" t="s">
        <v>103</v>
      </c>
      <c r="H280" t="s">
        <v>215</v>
      </c>
      <c r="I280" t="s">
        <v>813</v>
      </c>
      <c r="J280" t="s">
        <v>45</v>
      </c>
      <c r="K280" t="s">
        <v>103</v>
      </c>
      <c r="M280" t="b">
        <v>1</v>
      </c>
      <c r="N280" t="s">
        <v>42</v>
      </c>
      <c r="O280" t="s">
        <v>33</v>
      </c>
      <c r="Q280">
        <v>125.08</v>
      </c>
      <c r="R280">
        <v>2.9</v>
      </c>
      <c r="S280" t="s">
        <v>106</v>
      </c>
      <c r="T280">
        <v>50.6</v>
      </c>
      <c r="V280">
        <v>100.2</v>
      </c>
      <c r="W280">
        <v>77</v>
      </c>
      <c r="X280">
        <v>9.4</v>
      </c>
      <c r="Y280">
        <v>59.2</v>
      </c>
      <c r="Z280">
        <v>1397715000</v>
      </c>
      <c r="AA280">
        <v>35.861660000000001</v>
      </c>
      <c r="AB280">
        <v>104.195397</v>
      </c>
    </row>
    <row r="281" spans="1:28" hidden="1">
      <c r="A281">
        <v>276</v>
      </c>
      <c r="B281">
        <v>7800</v>
      </c>
      <c r="C281" t="s">
        <v>217</v>
      </c>
      <c r="D281" t="s">
        <v>814</v>
      </c>
      <c r="E281">
        <v>58</v>
      </c>
      <c r="G281" t="s">
        <v>103</v>
      </c>
      <c r="H281" t="s">
        <v>489</v>
      </c>
      <c r="I281" t="s">
        <v>815</v>
      </c>
      <c r="J281" t="s">
        <v>217</v>
      </c>
      <c r="K281" t="s">
        <v>103</v>
      </c>
      <c r="M281" t="b">
        <v>1</v>
      </c>
      <c r="N281" t="s">
        <v>42</v>
      </c>
      <c r="O281" t="s">
        <v>33</v>
      </c>
      <c r="Q281">
        <v>125.08</v>
      </c>
      <c r="R281">
        <v>2.9</v>
      </c>
      <c r="S281" t="s">
        <v>106</v>
      </c>
      <c r="T281">
        <v>50.6</v>
      </c>
      <c r="V281">
        <v>100.2</v>
      </c>
      <c r="W281">
        <v>77</v>
      </c>
      <c r="X281">
        <v>9.4</v>
      </c>
      <c r="Y281">
        <v>59.2</v>
      </c>
      <c r="Z281">
        <v>1397715000</v>
      </c>
      <c r="AA281">
        <v>35.861660000000001</v>
      </c>
      <c r="AB281">
        <v>104.195397</v>
      </c>
    </row>
    <row r="282" spans="1:28" hidden="1">
      <c r="A282">
        <v>276</v>
      </c>
      <c r="B282">
        <v>7800</v>
      </c>
      <c r="C282" t="s">
        <v>26</v>
      </c>
      <c r="D282" t="s">
        <v>816</v>
      </c>
      <c r="E282">
        <v>75</v>
      </c>
      <c r="G282" t="s">
        <v>810</v>
      </c>
      <c r="H282" t="s">
        <v>817</v>
      </c>
      <c r="I282" t="s">
        <v>818</v>
      </c>
      <c r="J282" t="s">
        <v>26</v>
      </c>
      <c r="K282" t="s">
        <v>810</v>
      </c>
      <c r="M282" t="b">
        <v>1</v>
      </c>
      <c r="N282" t="s">
        <v>42</v>
      </c>
      <c r="O282" t="s">
        <v>33</v>
      </c>
    </row>
    <row r="283" spans="1:28" hidden="1">
      <c r="A283">
        <v>282</v>
      </c>
      <c r="B283">
        <v>7700</v>
      </c>
      <c r="C283" t="s">
        <v>101</v>
      </c>
      <c r="D283" t="s">
        <v>819</v>
      </c>
      <c r="E283">
        <v>55</v>
      </c>
      <c r="G283" t="s">
        <v>28</v>
      </c>
      <c r="H283" t="s">
        <v>298</v>
      </c>
      <c r="I283" t="s">
        <v>299</v>
      </c>
      <c r="J283" t="s">
        <v>101</v>
      </c>
      <c r="K283" t="s">
        <v>28</v>
      </c>
      <c r="M283" t="b">
        <v>0</v>
      </c>
      <c r="N283" t="s">
        <v>42</v>
      </c>
      <c r="O283" t="s">
        <v>33</v>
      </c>
      <c r="Q283">
        <v>110.05</v>
      </c>
      <c r="R283">
        <v>1.1000000000000001</v>
      </c>
      <c r="S283" t="s">
        <v>35</v>
      </c>
      <c r="T283">
        <v>65.599999999999994</v>
      </c>
      <c r="V283">
        <v>102.5</v>
      </c>
      <c r="W283">
        <v>82.5</v>
      </c>
      <c r="X283">
        <v>24.2</v>
      </c>
      <c r="Y283">
        <v>60.7</v>
      </c>
      <c r="Z283">
        <v>67059887</v>
      </c>
      <c r="AA283">
        <v>46.227637999999999</v>
      </c>
      <c r="AB283">
        <v>2.213749</v>
      </c>
    </row>
    <row r="284" spans="1:28" hidden="1">
      <c r="A284">
        <v>282</v>
      </c>
      <c r="B284">
        <v>7700</v>
      </c>
      <c r="C284" t="s">
        <v>101</v>
      </c>
      <c r="D284" t="s">
        <v>820</v>
      </c>
      <c r="E284">
        <v>42</v>
      </c>
      <c r="G284" t="s">
        <v>28</v>
      </c>
      <c r="H284" t="s">
        <v>298</v>
      </c>
      <c r="I284" t="s">
        <v>299</v>
      </c>
      <c r="J284" t="s">
        <v>101</v>
      </c>
      <c r="K284" t="s">
        <v>28</v>
      </c>
      <c r="M284" t="b">
        <v>0</v>
      </c>
      <c r="N284" t="s">
        <v>42</v>
      </c>
      <c r="O284" t="s">
        <v>88</v>
      </c>
      <c r="Q284">
        <v>110.05</v>
      </c>
      <c r="R284">
        <v>1.1000000000000001</v>
      </c>
      <c r="S284" t="s">
        <v>35</v>
      </c>
      <c r="T284">
        <v>65.599999999999994</v>
      </c>
      <c r="V284">
        <v>102.5</v>
      </c>
      <c r="W284">
        <v>82.5</v>
      </c>
      <c r="X284">
        <v>24.2</v>
      </c>
      <c r="Y284">
        <v>60.7</v>
      </c>
      <c r="Z284">
        <v>67059887</v>
      </c>
      <c r="AA284">
        <v>46.227637999999999</v>
      </c>
      <c r="AB284">
        <v>2.213749</v>
      </c>
    </row>
    <row r="285" spans="1:28">
      <c r="A285">
        <v>282</v>
      </c>
      <c r="B285">
        <v>7700</v>
      </c>
      <c r="C285" t="s">
        <v>63</v>
      </c>
      <c r="D285" t="s">
        <v>821</v>
      </c>
      <c r="E285">
        <v>80</v>
      </c>
      <c r="F285" t="str">
        <f>IF(E285&gt;=90,"90-100",IF(E285&gt;=80,"80-90",IF(E285&gt;=70,"70-80",IF(E285&gt;=60,"60-70",IF(E285&gt;=50,"50-60",IF(E285&gt;=40,"40-50",IF(E285&gt;=30,"30-40","20-30")))))))</f>
        <v>80-90</v>
      </c>
      <c r="G285" t="s">
        <v>38</v>
      </c>
      <c r="H285" t="s">
        <v>675</v>
      </c>
      <c r="I285" t="s">
        <v>822</v>
      </c>
      <c r="J285" t="s">
        <v>63</v>
      </c>
      <c r="K285" t="s">
        <v>38</v>
      </c>
      <c r="L285" t="s">
        <v>823</v>
      </c>
      <c r="M285" t="b">
        <v>1</v>
      </c>
      <c r="N285" t="s">
        <v>42</v>
      </c>
      <c r="O285" t="s">
        <v>4867</v>
      </c>
      <c r="P285" t="s">
        <v>110</v>
      </c>
      <c r="Q285">
        <v>117.24</v>
      </c>
      <c r="R285">
        <v>7.5</v>
      </c>
      <c r="S285" t="s">
        <v>44</v>
      </c>
      <c r="T285">
        <v>88.2</v>
      </c>
      <c r="U285" t="str">
        <f t="shared" ref="U285:U286" si="20">IF(T285&gt;=100,"above 100",IF(T285&gt;=80,"80-100",IF(T285&gt;=60,"60-80",IF(T285&gt;=40,"40-60",IF(T285&gt;=20,"20-60","0-20")))))</f>
        <v>80-100</v>
      </c>
      <c r="V285">
        <v>101.8</v>
      </c>
      <c r="W285">
        <v>78.5</v>
      </c>
      <c r="X285">
        <v>9.6</v>
      </c>
      <c r="Y285">
        <v>36.6</v>
      </c>
      <c r="Z285">
        <v>328239523</v>
      </c>
      <c r="AA285">
        <v>37.090240000000001</v>
      </c>
      <c r="AB285">
        <v>-95.712890999999999</v>
      </c>
    </row>
    <row r="286" spans="1:28">
      <c r="A286">
        <v>282</v>
      </c>
      <c r="B286">
        <v>7700</v>
      </c>
      <c r="C286" t="s">
        <v>45</v>
      </c>
      <c r="D286" t="s">
        <v>824</v>
      </c>
      <c r="E286">
        <v>54</v>
      </c>
      <c r="F286" t="str">
        <f>IF(E286&gt;=90,"90-100",IF(E286&gt;=80,"80-90",IF(E286&gt;=70,"70-80",IF(E286&gt;=60,"60-70",IF(E286&gt;=50,"50-60",IF(E286&gt;=40,"40-50",IF(E286&gt;=30,"30-40","20-30")))))))</f>
        <v>50-60</v>
      </c>
      <c r="G286" t="s">
        <v>103</v>
      </c>
      <c r="H286" t="s">
        <v>143</v>
      </c>
      <c r="I286" t="s">
        <v>825</v>
      </c>
      <c r="J286" t="s">
        <v>45</v>
      </c>
      <c r="K286" t="s">
        <v>103</v>
      </c>
      <c r="L286" t="s">
        <v>826</v>
      </c>
      <c r="M286" t="b">
        <v>1</v>
      </c>
      <c r="N286" t="s">
        <v>32</v>
      </c>
      <c r="O286" t="s">
        <v>4867</v>
      </c>
      <c r="P286" t="s">
        <v>619</v>
      </c>
      <c r="Q286">
        <v>125.08</v>
      </c>
      <c r="R286">
        <v>2.9</v>
      </c>
      <c r="S286" t="s">
        <v>106</v>
      </c>
      <c r="T286">
        <v>50.6</v>
      </c>
      <c r="U286" t="str">
        <f t="shared" si="20"/>
        <v>40-60</v>
      </c>
      <c r="V286">
        <v>100.2</v>
      </c>
      <c r="W286">
        <v>77</v>
      </c>
      <c r="X286">
        <v>9.4</v>
      </c>
      <c r="Y286">
        <v>59.2</v>
      </c>
      <c r="Z286">
        <v>1397715000</v>
      </c>
      <c r="AA286">
        <v>35.861660000000001</v>
      </c>
      <c r="AB286">
        <v>104.195397</v>
      </c>
    </row>
    <row r="287" spans="1:28" hidden="1">
      <c r="A287">
        <v>282</v>
      </c>
      <c r="B287">
        <v>7700</v>
      </c>
      <c r="C287" t="s">
        <v>308</v>
      </c>
      <c r="D287" t="s">
        <v>827</v>
      </c>
      <c r="E287">
        <v>71</v>
      </c>
      <c r="G287" t="s">
        <v>103</v>
      </c>
      <c r="H287" t="s">
        <v>521</v>
      </c>
      <c r="I287" t="s">
        <v>522</v>
      </c>
      <c r="J287" t="s">
        <v>308</v>
      </c>
      <c r="K287" t="s">
        <v>103</v>
      </c>
      <c r="M287" t="b">
        <v>1</v>
      </c>
      <c r="N287" t="s">
        <v>42</v>
      </c>
      <c r="O287" t="s">
        <v>33</v>
      </c>
      <c r="Q287">
        <v>125.08</v>
      </c>
      <c r="R287">
        <v>2.9</v>
      </c>
      <c r="S287" t="s">
        <v>106</v>
      </c>
      <c r="T287">
        <v>50.6</v>
      </c>
      <c r="V287">
        <v>100.2</v>
      </c>
      <c r="W287">
        <v>77</v>
      </c>
      <c r="X287">
        <v>9.4</v>
      </c>
      <c r="Y287">
        <v>59.2</v>
      </c>
      <c r="Z287">
        <v>1397715000</v>
      </c>
      <c r="AA287">
        <v>35.861660000000001</v>
      </c>
      <c r="AB287">
        <v>104.195397</v>
      </c>
    </row>
    <row r="288" spans="1:28">
      <c r="A288">
        <v>282</v>
      </c>
      <c r="B288">
        <v>7700</v>
      </c>
      <c r="C288" t="s">
        <v>45</v>
      </c>
      <c r="D288" t="s">
        <v>828</v>
      </c>
      <c r="E288">
        <v>68</v>
      </c>
      <c r="F288" t="str">
        <f>IF(E288&gt;=90,"90-100",IF(E288&gt;=80,"80-90",IF(E288&gt;=70,"70-80",IF(E288&gt;=60,"60-70",IF(E288&gt;=50,"50-60",IF(E288&gt;=40,"40-50",IF(E288&gt;=30,"30-40","20-30")))))))</f>
        <v>60-70</v>
      </c>
      <c r="G288" t="s">
        <v>38</v>
      </c>
      <c r="H288" t="s">
        <v>372</v>
      </c>
      <c r="I288" t="s">
        <v>312</v>
      </c>
      <c r="J288" t="s">
        <v>45</v>
      </c>
      <c r="K288" t="s">
        <v>38</v>
      </c>
      <c r="L288" t="s">
        <v>829</v>
      </c>
      <c r="M288" t="b">
        <v>1</v>
      </c>
      <c r="N288" t="s">
        <v>32</v>
      </c>
      <c r="O288" t="s">
        <v>4867</v>
      </c>
      <c r="P288" t="s">
        <v>830</v>
      </c>
      <c r="Q288">
        <v>117.24</v>
      </c>
      <c r="R288">
        <v>7.5</v>
      </c>
      <c r="S288" t="s">
        <v>44</v>
      </c>
      <c r="T288">
        <v>88.2</v>
      </c>
      <c r="U288" t="str">
        <f>IF(T288&gt;=100,"above 100",IF(T288&gt;=80,"80-100",IF(T288&gt;=60,"60-80",IF(T288&gt;=40,"40-60",IF(T288&gt;=20,"20-60","0-20")))))</f>
        <v>80-100</v>
      </c>
      <c r="V288">
        <v>101.8</v>
      </c>
      <c r="W288">
        <v>78.5</v>
      </c>
      <c r="X288">
        <v>9.6</v>
      </c>
      <c r="Y288">
        <v>36.6</v>
      </c>
      <c r="Z288">
        <v>328239523</v>
      </c>
      <c r="AA288">
        <v>37.090240000000001</v>
      </c>
      <c r="AB288">
        <v>-95.712890999999999</v>
      </c>
    </row>
    <row r="289" spans="1:28" hidden="1">
      <c r="A289">
        <v>282</v>
      </c>
      <c r="B289">
        <v>7700</v>
      </c>
      <c r="C289" t="s">
        <v>288</v>
      </c>
      <c r="D289" t="s">
        <v>831</v>
      </c>
      <c r="E289">
        <v>68</v>
      </c>
      <c r="G289" t="s">
        <v>38</v>
      </c>
      <c r="H289" t="s">
        <v>505</v>
      </c>
      <c r="I289" t="s">
        <v>440</v>
      </c>
      <c r="J289" t="s">
        <v>288</v>
      </c>
      <c r="K289" t="s">
        <v>38</v>
      </c>
      <c r="M289" t="b">
        <v>1</v>
      </c>
      <c r="N289" t="s">
        <v>32</v>
      </c>
      <c r="O289" t="s">
        <v>33</v>
      </c>
      <c r="Q289">
        <v>117.24</v>
      </c>
      <c r="R289">
        <v>7.5</v>
      </c>
      <c r="S289" t="s">
        <v>44</v>
      </c>
      <c r="T289">
        <v>88.2</v>
      </c>
      <c r="V289">
        <v>101.8</v>
      </c>
      <c r="W289">
        <v>78.5</v>
      </c>
      <c r="X289">
        <v>9.6</v>
      </c>
      <c r="Y289">
        <v>36.6</v>
      </c>
      <c r="Z289">
        <v>328239523</v>
      </c>
      <c r="AA289">
        <v>37.090240000000001</v>
      </c>
      <c r="AB289">
        <v>-95.712890999999999</v>
      </c>
    </row>
    <row r="290" spans="1:28" hidden="1">
      <c r="A290">
        <v>282</v>
      </c>
      <c r="B290">
        <v>7700</v>
      </c>
      <c r="C290" t="s">
        <v>221</v>
      </c>
      <c r="D290" t="s">
        <v>832</v>
      </c>
      <c r="E290">
        <v>61</v>
      </c>
      <c r="G290" t="s">
        <v>833</v>
      </c>
      <c r="H290" t="s">
        <v>834</v>
      </c>
      <c r="I290" t="s">
        <v>223</v>
      </c>
      <c r="J290" t="s">
        <v>221</v>
      </c>
      <c r="K290" t="s">
        <v>833</v>
      </c>
      <c r="M290" t="b">
        <v>1</v>
      </c>
      <c r="N290" t="s">
        <v>32</v>
      </c>
      <c r="O290" t="s">
        <v>33</v>
      </c>
      <c r="Q290">
        <v>120.27</v>
      </c>
      <c r="R290">
        <v>2.2000000000000002</v>
      </c>
      <c r="S290" t="s">
        <v>835</v>
      </c>
      <c r="T290">
        <v>82</v>
      </c>
      <c r="V290">
        <v>100.3</v>
      </c>
      <c r="W290">
        <v>82.8</v>
      </c>
      <c r="X290">
        <v>23.9</v>
      </c>
      <c r="Y290">
        <v>36.200000000000003</v>
      </c>
      <c r="Z290">
        <v>5347896</v>
      </c>
      <c r="AA290">
        <v>60.472023999999998</v>
      </c>
      <c r="AB290">
        <v>8.4689460000000008</v>
      </c>
    </row>
    <row r="291" spans="1:28" hidden="1">
      <c r="A291">
        <v>290</v>
      </c>
      <c r="B291">
        <v>7600</v>
      </c>
      <c r="C291" t="s">
        <v>250</v>
      </c>
      <c r="D291" t="s">
        <v>836</v>
      </c>
      <c r="E291">
        <v>54</v>
      </c>
      <c r="G291" t="s">
        <v>103</v>
      </c>
      <c r="H291" t="s">
        <v>837</v>
      </c>
      <c r="I291" t="s">
        <v>838</v>
      </c>
      <c r="J291" t="s">
        <v>250</v>
      </c>
      <c r="K291" t="s">
        <v>103</v>
      </c>
      <c r="M291" t="b">
        <v>1</v>
      </c>
      <c r="N291" t="s">
        <v>42</v>
      </c>
      <c r="O291" t="s">
        <v>33</v>
      </c>
      <c r="Q291">
        <v>125.08</v>
      </c>
      <c r="R291">
        <v>2.9</v>
      </c>
      <c r="S291" t="s">
        <v>106</v>
      </c>
      <c r="T291">
        <v>50.6</v>
      </c>
      <c r="V291">
        <v>100.2</v>
      </c>
      <c r="W291">
        <v>77</v>
      </c>
      <c r="X291">
        <v>9.4</v>
      </c>
      <c r="Y291">
        <v>59.2</v>
      </c>
      <c r="Z291">
        <v>1397715000</v>
      </c>
      <c r="AA291">
        <v>35.861660000000001</v>
      </c>
      <c r="AB291">
        <v>104.195397</v>
      </c>
    </row>
    <row r="292" spans="1:28" hidden="1">
      <c r="A292">
        <v>290</v>
      </c>
      <c r="B292">
        <v>7600</v>
      </c>
      <c r="C292" t="s">
        <v>288</v>
      </c>
      <c r="D292" t="s">
        <v>839</v>
      </c>
      <c r="E292">
        <v>89</v>
      </c>
      <c r="G292" t="s">
        <v>77</v>
      </c>
      <c r="H292" t="s">
        <v>137</v>
      </c>
      <c r="I292" t="s">
        <v>418</v>
      </c>
      <c r="J292" t="s">
        <v>288</v>
      </c>
      <c r="K292" t="s">
        <v>77</v>
      </c>
      <c r="M292" t="b">
        <v>1</v>
      </c>
      <c r="N292" t="s">
        <v>32</v>
      </c>
      <c r="O292" t="s">
        <v>33</v>
      </c>
      <c r="Q292">
        <v>180.44</v>
      </c>
      <c r="R292">
        <v>7.7</v>
      </c>
      <c r="S292" t="s">
        <v>81</v>
      </c>
      <c r="T292">
        <v>28.1</v>
      </c>
      <c r="V292">
        <v>113</v>
      </c>
      <c r="W292">
        <v>69.400000000000006</v>
      </c>
      <c r="X292">
        <v>11.2</v>
      </c>
      <c r="Y292">
        <v>49.7</v>
      </c>
      <c r="Z292">
        <v>1366417754</v>
      </c>
      <c r="AA292">
        <v>20.593684</v>
      </c>
      <c r="AB292">
        <v>78.962879999999998</v>
      </c>
    </row>
    <row r="293" spans="1:28" hidden="1">
      <c r="A293">
        <v>290</v>
      </c>
      <c r="B293">
        <v>7600</v>
      </c>
      <c r="C293" t="s">
        <v>217</v>
      </c>
      <c r="D293" t="s">
        <v>840</v>
      </c>
      <c r="E293">
        <v>67</v>
      </c>
      <c r="G293" t="s">
        <v>203</v>
      </c>
      <c r="H293" t="s">
        <v>204</v>
      </c>
      <c r="I293" t="s">
        <v>287</v>
      </c>
      <c r="J293" t="s">
        <v>217</v>
      </c>
      <c r="K293" t="s">
        <v>203</v>
      </c>
      <c r="M293" t="b">
        <v>1</v>
      </c>
      <c r="N293" t="s">
        <v>32</v>
      </c>
      <c r="O293" t="s">
        <v>33</v>
      </c>
      <c r="Q293">
        <v>119.62</v>
      </c>
      <c r="R293">
        <v>1.7</v>
      </c>
      <c r="S293" t="s">
        <v>206</v>
      </c>
      <c r="T293">
        <v>60</v>
      </c>
      <c r="V293">
        <v>101.2</v>
      </c>
      <c r="W293">
        <v>81.3</v>
      </c>
      <c r="X293">
        <v>25.5</v>
      </c>
      <c r="Y293">
        <v>30.6</v>
      </c>
      <c r="Z293">
        <v>66834405</v>
      </c>
      <c r="AA293">
        <v>55.378050999999999</v>
      </c>
      <c r="AB293">
        <v>-3.4359730000000002</v>
      </c>
    </row>
    <row r="294" spans="1:28">
      <c r="A294">
        <v>290</v>
      </c>
      <c r="B294">
        <v>7600</v>
      </c>
      <c r="C294" t="s">
        <v>45</v>
      </c>
      <c r="D294" t="s">
        <v>841</v>
      </c>
      <c r="E294">
        <v>41</v>
      </c>
      <c r="F294" t="str">
        <f>IF(E294&gt;=90,"90-100",IF(E294&gt;=80,"80-90",IF(E294&gt;=70,"70-80",IF(E294&gt;=60,"60-70",IF(E294&gt;=50,"50-60",IF(E294&gt;=40,"40-50",IF(E294&gt;=30,"30-40","20-30")))))))</f>
        <v>40-50</v>
      </c>
      <c r="G294" t="s">
        <v>38</v>
      </c>
      <c r="H294" t="s">
        <v>39</v>
      </c>
      <c r="I294" t="s">
        <v>653</v>
      </c>
      <c r="J294" t="s">
        <v>45</v>
      </c>
      <c r="K294" t="s">
        <v>38</v>
      </c>
      <c r="L294" t="s">
        <v>654</v>
      </c>
      <c r="M294" t="b">
        <v>1</v>
      </c>
      <c r="N294" t="s">
        <v>42</v>
      </c>
      <c r="O294" t="s">
        <v>4867</v>
      </c>
      <c r="P294" t="s">
        <v>842</v>
      </c>
      <c r="Q294">
        <v>117.24</v>
      </c>
      <c r="R294">
        <v>7.5</v>
      </c>
      <c r="S294" t="s">
        <v>44</v>
      </c>
      <c r="T294">
        <v>88.2</v>
      </c>
      <c r="U294" t="str">
        <f>IF(T294&gt;=100,"above 100",IF(T294&gt;=80,"80-100",IF(T294&gt;=60,"60-80",IF(T294&gt;=40,"40-60",IF(T294&gt;=20,"20-60","0-20")))))</f>
        <v>80-100</v>
      </c>
      <c r="V294">
        <v>101.8</v>
      </c>
      <c r="W294">
        <v>78.5</v>
      </c>
      <c r="X294">
        <v>9.6</v>
      </c>
      <c r="Y294">
        <v>36.6</v>
      </c>
      <c r="Z294">
        <v>328239523</v>
      </c>
      <c r="AA294">
        <v>37.090240000000001</v>
      </c>
      <c r="AB294">
        <v>-95.712890999999999</v>
      </c>
    </row>
    <row r="295" spans="1:28" hidden="1">
      <c r="A295">
        <v>290</v>
      </c>
      <c r="B295">
        <v>7600</v>
      </c>
      <c r="C295" t="s">
        <v>221</v>
      </c>
      <c r="D295" t="s">
        <v>843</v>
      </c>
      <c r="E295">
        <v>64</v>
      </c>
      <c r="G295" t="s">
        <v>395</v>
      </c>
      <c r="H295" t="s">
        <v>395</v>
      </c>
      <c r="I295" t="s">
        <v>221</v>
      </c>
      <c r="J295" t="s">
        <v>221</v>
      </c>
      <c r="K295" t="s">
        <v>395</v>
      </c>
      <c r="M295" t="b">
        <v>0</v>
      </c>
      <c r="N295" t="s">
        <v>212</v>
      </c>
      <c r="O295" t="s">
        <v>33</v>
      </c>
      <c r="Q295">
        <v>114.41</v>
      </c>
      <c r="R295">
        <v>0.6</v>
      </c>
      <c r="S295" t="s">
        <v>451</v>
      </c>
      <c r="T295">
        <v>84.8</v>
      </c>
      <c r="V295">
        <v>100.6</v>
      </c>
      <c r="W295">
        <v>83.1</v>
      </c>
      <c r="X295">
        <v>13.1</v>
      </c>
      <c r="Y295">
        <v>21</v>
      </c>
      <c r="Z295">
        <v>5703569</v>
      </c>
      <c r="AA295">
        <v>1.3520829999999999</v>
      </c>
      <c r="AB295">
        <v>103.819836</v>
      </c>
    </row>
    <row r="296" spans="1:28" hidden="1">
      <c r="A296">
        <v>290</v>
      </c>
      <c r="B296">
        <v>7600</v>
      </c>
      <c r="C296" t="s">
        <v>217</v>
      </c>
      <c r="D296" t="s">
        <v>844</v>
      </c>
      <c r="E296">
        <v>66</v>
      </c>
      <c r="G296" t="s">
        <v>203</v>
      </c>
      <c r="H296" t="s">
        <v>204</v>
      </c>
      <c r="I296" t="s">
        <v>287</v>
      </c>
      <c r="J296" t="s">
        <v>217</v>
      </c>
      <c r="K296" t="s">
        <v>203</v>
      </c>
      <c r="M296" t="b">
        <v>1</v>
      </c>
      <c r="N296" t="s">
        <v>32</v>
      </c>
      <c r="O296" t="s">
        <v>33</v>
      </c>
      <c r="Q296">
        <v>119.62</v>
      </c>
      <c r="R296">
        <v>1.7</v>
      </c>
      <c r="S296" t="s">
        <v>206</v>
      </c>
      <c r="T296">
        <v>60</v>
      </c>
      <c r="V296">
        <v>101.2</v>
      </c>
      <c r="W296">
        <v>81.3</v>
      </c>
      <c r="X296">
        <v>25.5</v>
      </c>
      <c r="Y296">
        <v>30.6</v>
      </c>
      <c r="Z296">
        <v>66834405</v>
      </c>
      <c r="AA296">
        <v>55.378050999999999</v>
      </c>
      <c r="AB296">
        <v>-3.4359730000000002</v>
      </c>
    </row>
    <row r="297" spans="1:28">
      <c r="A297">
        <v>290</v>
      </c>
      <c r="B297">
        <v>7600</v>
      </c>
      <c r="C297" t="s">
        <v>221</v>
      </c>
      <c r="D297" t="s">
        <v>845</v>
      </c>
      <c r="E297">
        <v>85</v>
      </c>
      <c r="F297" t="str">
        <f>IF(E297&gt;=90,"90-100",IF(E297&gt;=80,"80-90",IF(E297&gt;=70,"70-80",IF(E297&gt;=60,"60-70",IF(E297&gt;=50,"50-60",IF(E297&gt;=40,"40-50",IF(E297&gt;=30,"30-40","20-30")))))))</f>
        <v>80-90</v>
      </c>
      <c r="G297" t="s">
        <v>38</v>
      </c>
      <c r="H297" t="s">
        <v>65</v>
      </c>
      <c r="I297" t="s">
        <v>223</v>
      </c>
      <c r="J297" t="s">
        <v>221</v>
      </c>
      <c r="K297" t="s">
        <v>38</v>
      </c>
      <c r="L297" t="s">
        <v>846</v>
      </c>
      <c r="M297" t="b">
        <v>0</v>
      </c>
      <c r="N297" t="s">
        <v>32</v>
      </c>
      <c r="O297" t="s">
        <v>4867</v>
      </c>
      <c r="P297" t="s">
        <v>34</v>
      </c>
      <c r="Q297">
        <v>117.24</v>
      </c>
      <c r="R297">
        <v>7.5</v>
      </c>
      <c r="S297" t="s">
        <v>44</v>
      </c>
      <c r="T297">
        <v>88.2</v>
      </c>
      <c r="U297" t="str">
        <f>IF(T297&gt;=100,"above 100",IF(T297&gt;=80,"80-100",IF(T297&gt;=60,"60-80",IF(T297&gt;=40,"40-60",IF(T297&gt;=20,"20-60","0-20")))))</f>
        <v>80-100</v>
      </c>
      <c r="V297">
        <v>101.8</v>
      </c>
      <c r="W297">
        <v>78.5</v>
      </c>
      <c r="X297">
        <v>9.6</v>
      </c>
      <c r="Y297">
        <v>36.6</v>
      </c>
      <c r="Z297">
        <v>328239523</v>
      </c>
      <c r="AA297">
        <v>37.090240000000001</v>
      </c>
      <c r="AB297">
        <v>-95.712890999999999</v>
      </c>
    </row>
    <row r="298" spans="1:28" hidden="1">
      <c r="A298">
        <v>290</v>
      </c>
      <c r="B298">
        <v>7600</v>
      </c>
      <c r="C298" t="s">
        <v>45</v>
      </c>
      <c r="D298" t="s">
        <v>847</v>
      </c>
      <c r="E298">
        <v>59</v>
      </c>
      <c r="G298" t="s">
        <v>172</v>
      </c>
      <c r="H298" t="s">
        <v>172</v>
      </c>
      <c r="I298" t="s">
        <v>216</v>
      </c>
      <c r="J298" t="s">
        <v>45</v>
      </c>
      <c r="K298" t="s">
        <v>127</v>
      </c>
      <c r="M298" t="b">
        <v>1</v>
      </c>
      <c r="N298" t="s">
        <v>42</v>
      </c>
      <c r="O298" t="s">
        <v>33</v>
      </c>
    </row>
    <row r="299" spans="1:28" hidden="1">
      <c r="A299">
        <v>290</v>
      </c>
      <c r="B299">
        <v>7600</v>
      </c>
      <c r="C299" t="s">
        <v>288</v>
      </c>
      <c r="D299" t="s">
        <v>848</v>
      </c>
      <c r="E299">
        <v>62</v>
      </c>
      <c r="G299" t="s">
        <v>103</v>
      </c>
      <c r="H299" t="s">
        <v>215</v>
      </c>
      <c r="I299" t="s">
        <v>418</v>
      </c>
      <c r="J299" t="s">
        <v>288</v>
      </c>
      <c r="K299" t="s">
        <v>103</v>
      </c>
      <c r="M299" t="b">
        <v>1</v>
      </c>
      <c r="N299" t="s">
        <v>42</v>
      </c>
      <c r="O299" t="s">
        <v>88</v>
      </c>
      <c r="Q299">
        <v>125.08</v>
      </c>
      <c r="R299">
        <v>2.9</v>
      </c>
      <c r="S299" t="s">
        <v>106</v>
      </c>
      <c r="T299">
        <v>50.6</v>
      </c>
      <c r="V299">
        <v>100.2</v>
      </c>
      <c r="W299">
        <v>77</v>
      </c>
      <c r="X299">
        <v>9.4</v>
      </c>
      <c r="Y299">
        <v>59.2</v>
      </c>
      <c r="Z299">
        <v>1397715000</v>
      </c>
      <c r="AA299">
        <v>35.861660000000001</v>
      </c>
      <c r="AB299">
        <v>104.195397</v>
      </c>
    </row>
    <row r="300" spans="1:28">
      <c r="A300">
        <v>299</v>
      </c>
      <c r="B300">
        <v>7500</v>
      </c>
      <c r="C300" t="s">
        <v>478</v>
      </c>
      <c r="D300" t="s">
        <v>849</v>
      </c>
      <c r="E300">
        <v>80</v>
      </c>
      <c r="F300" t="str">
        <f>IF(E300&gt;=90,"90-100",IF(E300&gt;=80,"80-90",IF(E300&gt;=70,"70-80",IF(E300&gt;=60,"60-70",IF(E300&gt;=50,"50-60",IF(E300&gt;=40,"40-50",IF(E300&gt;=30,"30-40","20-30")))))))</f>
        <v>80-90</v>
      </c>
      <c r="G300" t="s">
        <v>38</v>
      </c>
      <c r="H300" t="s">
        <v>739</v>
      </c>
      <c r="I300" t="s">
        <v>778</v>
      </c>
      <c r="J300" t="s">
        <v>478</v>
      </c>
      <c r="K300" t="s">
        <v>38</v>
      </c>
      <c r="L300" t="s">
        <v>850</v>
      </c>
      <c r="M300" t="b">
        <v>1</v>
      </c>
      <c r="N300" t="s">
        <v>32</v>
      </c>
      <c r="O300" t="s">
        <v>4867</v>
      </c>
      <c r="P300" t="s">
        <v>131</v>
      </c>
      <c r="Q300">
        <v>117.24</v>
      </c>
      <c r="R300">
        <v>7.5</v>
      </c>
      <c r="S300" t="s">
        <v>44</v>
      </c>
      <c r="T300">
        <v>88.2</v>
      </c>
      <c r="U300" t="str">
        <f>IF(T300&gt;=100,"above 100",IF(T300&gt;=80,"80-100",IF(T300&gt;=60,"60-80",IF(T300&gt;=40,"40-60",IF(T300&gt;=20,"20-60","0-20")))))</f>
        <v>80-100</v>
      </c>
      <c r="V300">
        <v>101.8</v>
      </c>
      <c r="W300">
        <v>78.5</v>
      </c>
      <c r="X300">
        <v>9.6</v>
      </c>
      <c r="Y300">
        <v>36.6</v>
      </c>
      <c r="Z300">
        <v>328239523</v>
      </c>
      <c r="AA300">
        <v>37.090240000000001</v>
      </c>
      <c r="AB300">
        <v>-95.712890999999999</v>
      </c>
    </row>
    <row r="301" spans="1:28" hidden="1">
      <c r="A301">
        <v>299</v>
      </c>
      <c r="B301">
        <v>7500</v>
      </c>
      <c r="C301" t="s">
        <v>26</v>
      </c>
      <c r="D301" t="s">
        <v>851</v>
      </c>
      <c r="E301">
        <v>85</v>
      </c>
      <c r="G301" t="s">
        <v>38</v>
      </c>
      <c r="H301" t="s">
        <v>852</v>
      </c>
      <c r="I301" t="s">
        <v>410</v>
      </c>
      <c r="J301" t="s">
        <v>26</v>
      </c>
      <c r="K301" t="s">
        <v>38</v>
      </c>
      <c r="M301" t="b">
        <v>0</v>
      </c>
      <c r="N301" t="s">
        <v>853</v>
      </c>
      <c r="O301" t="s">
        <v>33</v>
      </c>
      <c r="Q301">
        <v>117.24</v>
      </c>
      <c r="R301">
        <v>7.5</v>
      </c>
      <c r="S301" t="s">
        <v>44</v>
      </c>
      <c r="T301">
        <v>88.2</v>
      </c>
      <c r="V301">
        <v>101.8</v>
      </c>
      <c r="W301">
        <v>78.5</v>
      </c>
      <c r="X301">
        <v>9.6</v>
      </c>
      <c r="Y301">
        <v>36.6</v>
      </c>
      <c r="Z301">
        <v>328239523</v>
      </c>
      <c r="AA301">
        <v>37.090240000000001</v>
      </c>
      <c r="AB301">
        <v>-95.712890999999999</v>
      </c>
    </row>
    <row r="302" spans="1:28" hidden="1">
      <c r="A302">
        <v>299</v>
      </c>
      <c r="B302">
        <v>7500</v>
      </c>
      <c r="C302" t="s">
        <v>26</v>
      </c>
      <c r="D302" t="s">
        <v>854</v>
      </c>
      <c r="E302">
        <v>59</v>
      </c>
      <c r="G302" t="s">
        <v>103</v>
      </c>
      <c r="H302" t="s">
        <v>791</v>
      </c>
      <c r="I302" t="s">
        <v>792</v>
      </c>
      <c r="J302" t="s">
        <v>26</v>
      </c>
      <c r="K302" t="s">
        <v>103</v>
      </c>
      <c r="M302" t="b">
        <v>1</v>
      </c>
      <c r="N302" t="s">
        <v>42</v>
      </c>
      <c r="O302" t="s">
        <v>33</v>
      </c>
      <c r="Q302">
        <v>125.08</v>
      </c>
      <c r="R302">
        <v>2.9</v>
      </c>
      <c r="S302" t="s">
        <v>106</v>
      </c>
      <c r="T302">
        <v>50.6</v>
      </c>
      <c r="V302">
        <v>100.2</v>
      </c>
      <c r="W302">
        <v>77</v>
      </c>
      <c r="X302">
        <v>9.4</v>
      </c>
      <c r="Y302">
        <v>59.2</v>
      </c>
      <c r="Z302">
        <v>1397715000</v>
      </c>
      <c r="AA302">
        <v>35.861660000000001</v>
      </c>
      <c r="AB302">
        <v>104.195397</v>
      </c>
    </row>
    <row r="303" spans="1:28">
      <c r="A303">
        <v>299</v>
      </c>
      <c r="B303">
        <v>7500</v>
      </c>
      <c r="C303" t="s">
        <v>54</v>
      </c>
      <c r="D303" t="s">
        <v>855</v>
      </c>
      <c r="E303">
        <v>68</v>
      </c>
      <c r="F303" t="str">
        <f>IF(E303&gt;=90,"90-100",IF(E303&gt;=80,"80-90",IF(E303&gt;=70,"70-80",IF(E303&gt;=60,"60-70",IF(E303&gt;=50,"50-60",IF(E303&gt;=40,"40-50",IF(E303&gt;=30,"30-40","20-30")))))))</f>
        <v>60-70</v>
      </c>
      <c r="G303" t="s">
        <v>38</v>
      </c>
      <c r="H303" t="s">
        <v>257</v>
      </c>
      <c r="I303" t="s">
        <v>185</v>
      </c>
      <c r="J303" t="s">
        <v>54</v>
      </c>
      <c r="K303" t="s">
        <v>38</v>
      </c>
      <c r="L303" t="s">
        <v>856</v>
      </c>
      <c r="M303" t="b">
        <v>1</v>
      </c>
      <c r="N303" t="s">
        <v>32</v>
      </c>
      <c r="O303" t="s">
        <v>4867</v>
      </c>
      <c r="P303" t="s">
        <v>146</v>
      </c>
      <c r="Q303">
        <v>117.24</v>
      </c>
      <c r="R303">
        <v>7.5</v>
      </c>
      <c r="S303" t="s">
        <v>44</v>
      </c>
      <c r="T303">
        <v>88.2</v>
      </c>
      <c r="U303" t="str">
        <f t="shared" ref="U303:U304" si="21">IF(T303&gt;=100,"above 100",IF(T303&gt;=80,"80-100",IF(T303&gt;=60,"60-80",IF(T303&gt;=40,"40-60",IF(T303&gt;=20,"20-60","0-20")))))</f>
        <v>80-100</v>
      </c>
      <c r="V303">
        <v>101.8</v>
      </c>
      <c r="W303">
        <v>78.5</v>
      </c>
      <c r="X303">
        <v>9.6</v>
      </c>
      <c r="Y303">
        <v>36.6</v>
      </c>
      <c r="Z303">
        <v>328239523</v>
      </c>
      <c r="AA303">
        <v>37.090240000000001</v>
      </c>
      <c r="AB303">
        <v>-95.712890999999999</v>
      </c>
    </row>
    <row r="304" spans="1:28">
      <c r="A304">
        <v>299</v>
      </c>
      <c r="B304">
        <v>7500</v>
      </c>
      <c r="C304" t="s">
        <v>54</v>
      </c>
      <c r="D304" t="s">
        <v>857</v>
      </c>
      <c r="E304">
        <v>79</v>
      </c>
      <c r="F304" t="str">
        <f>IF(E304&gt;=90,"90-100",IF(E304&gt;=80,"80-90",IF(E304&gt;=70,"70-80",IF(E304&gt;=60,"60-70",IF(E304&gt;=50,"50-60",IF(E304&gt;=40,"40-50",IF(E304&gt;=30,"30-40","20-30")))))))</f>
        <v>70-80</v>
      </c>
      <c r="G304" t="s">
        <v>38</v>
      </c>
      <c r="H304" t="s">
        <v>65</v>
      </c>
      <c r="I304" t="s">
        <v>613</v>
      </c>
      <c r="J304" t="s">
        <v>54</v>
      </c>
      <c r="K304" t="s">
        <v>38</v>
      </c>
      <c r="L304" t="s">
        <v>858</v>
      </c>
      <c r="M304" t="b">
        <v>1</v>
      </c>
      <c r="N304" t="s">
        <v>42</v>
      </c>
      <c r="O304" t="s">
        <v>4867</v>
      </c>
      <c r="P304" t="s">
        <v>859</v>
      </c>
      <c r="Q304">
        <v>117.24</v>
      </c>
      <c r="R304">
        <v>7.5</v>
      </c>
      <c r="S304" t="s">
        <v>44</v>
      </c>
      <c r="T304">
        <v>88.2</v>
      </c>
      <c r="U304" t="str">
        <f t="shared" si="21"/>
        <v>80-100</v>
      </c>
      <c r="V304">
        <v>101.8</v>
      </c>
      <c r="W304">
        <v>78.5</v>
      </c>
      <c r="X304">
        <v>9.6</v>
      </c>
      <c r="Y304">
        <v>36.6</v>
      </c>
      <c r="Z304">
        <v>328239523</v>
      </c>
      <c r="AA304">
        <v>37.090240000000001</v>
      </c>
      <c r="AB304">
        <v>-95.712890999999999</v>
      </c>
    </row>
    <row r="305" spans="1:28" hidden="1">
      <c r="A305">
        <v>299</v>
      </c>
      <c r="B305">
        <v>7500</v>
      </c>
      <c r="C305" t="s">
        <v>101</v>
      </c>
      <c r="D305" t="s">
        <v>860</v>
      </c>
      <c r="E305">
        <v>52</v>
      </c>
      <c r="G305" t="s">
        <v>395</v>
      </c>
      <c r="H305" t="s">
        <v>395</v>
      </c>
      <c r="I305" t="s">
        <v>861</v>
      </c>
      <c r="J305" t="s">
        <v>101</v>
      </c>
      <c r="K305" t="s">
        <v>395</v>
      </c>
      <c r="M305" t="b">
        <v>1</v>
      </c>
      <c r="N305" t="s">
        <v>32</v>
      </c>
      <c r="O305" t="s">
        <v>33</v>
      </c>
      <c r="Q305">
        <v>114.41</v>
      </c>
      <c r="R305">
        <v>0.6</v>
      </c>
      <c r="S305" t="s">
        <v>451</v>
      </c>
      <c r="T305">
        <v>84.8</v>
      </c>
      <c r="V305">
        <v>100.6</v>
      </c>
      <c r="W305">
        <v>83.1</v>
      </c>
      <c r="X305">
        <v>13.1</v>
      </c>
      <c r="Y305">
        <v>21</v>
      </c>
      <c r="Z305">
        <v>5703569</v>
      </c>
      <c r="AA305">
        <v>1.3520829999999999</v>
      </c>
      <c r="AB305">
        <v>103.819836</v>
      </c>
    </row>
    <row r="306" spans="1:28">
      <c r="A306">
        <v>305</v>
      </c>
      <c r="B306">
        <v>7400</v>
      </c>
      <c r="C306" t="s">
        <v>45</v>
      </c>
      <c r="D306" t="s">
        <v>862</v>
      </c>
      <c r="E306">
        <v>80</v>
      </c>
      <c r="F306" t="str">
        <f>IF(E306&gt;=90,"90-100",IF(E306&gt;=80,"80-90",IF(E306&gt;=70,"70-80",IF(E306&gt;=60,"60-70",IF(E306&gt;=50,"50-60",IF(E306&gt;=40,"40-50",IF(E306&gt;=30,"30-40","20-30")))))))</f>
        <v>80-90</v>
      </c>
      <c r="G306" t="s">
        <v>38</v>
      </c>
      <c r="H306" t="s">
        <v>863</v>
      </c>
      <c r="I306" t="s">
        <v>572</v>
      </c>
      <c r="J306" t="s">
        <v>45</v>
      </c>
      <c r="K306" t="s">
        <v>38</v>
      </c>
      <c r="L306" t="s">
        <v>864</v>
      </c>
      <c r="M306" t="b">
        <v>1</v>
      </c>
      <c r="N306" t="s">
        <v>32</v>
      </c>
      <c r="O306" t="s">
        <v>4867</v>
      </c>
      <c r="P306" t="s">
        <v>43</v>
      </c>
      <c r="Q306">
        <v>117.24</v>
      </c>
      <c r="R306">
        <v>7.5</v>
      </c>
      <c r="S306" t="s">
        <v>44</v>
      </c>
      <c r="T306">
        <v>88.2</v>
      </c>
      <c r="U306" t="str">
        <f>IF(T306&gt;=100,"above 100",IF(T306&gt;=80,"80-100",IF(T306&gt;=60,"60-80",IF(T306&gt;=40,"40-60",IF(T306&gt;=20,"20-60","0-20")))))</f>
        <v>80-100</v>
      </c>
      <c r="V306">
        <v>101.8</v>
      </c>
      <c r="W306">
        <v>78.5</v>
      </c>
      <c r="X306">
        <v>9.6</v>
      </c>
      <c r="Y306">
        <v>36.6</v>
      </c>
      <c r="Z306">
        <v>328239523</v>
      </c>
      <c r="AA306">
        <v>37.090240000000001</v>
      </c>
      <c r="AB306">
        <v>-95.712890999999999</v>
      </c>
    </row>
    <row r="307" spans="1:28" hidden="1">
      <c r="A307">
        <v>305</v>
      </c>
      <c r="B307">
        <v>7400</v>
      </c>
      <c r="C307" t="s">
        <v>217</v>
      </c>
      <c r="D307" t="s">
        <v>865</v>
      </c>
      <c r="E307">
        <v>70</v>
      </c>
      <c r="G307" t="s">
        <v>203</v>
      </c>
      <c r="H307" t="s">
        <v>204</v>
      </c>
      <c r="I307" t="s">
        <v>808</v>
      </c>
      <c r="J307" t="s">
        <v>217</v>
      </c>
      <c r="K307" t="s">
        <v>252</v>
      </c>
      <c r="M307" t="b">
        <v>0</v>
      </c>
      <c r="N307" t="s">
        <v>32</v>
      </c>
      <c r="O307" t="s">
        <v>33</v>
      </c>
      <c r="Q307">
        <v>119.62</v>
      </c>
      <c r="R307">
        <v>1.7</v>
      </c>
      <c r="S307" t="s">
        <v>206</v>
      </c>
      <c r="T307">
        <v>60</v>
      </c>
      <c r="V307">
        <v>101.2</v>
      </c>
      <c r="W307">
        <v>81.3</v>
      </c>
      <c r="X307">
        <v>25.5</v>
      </c>
      <c r="Y307">
        <v>30.6</v>
      </c>
      <c r="Z307">
        <v>66834405</v>
      </c>
      <c r="AA307">
        <v>55.378050999999999</v>
      </c>
      <c r="AB307">
        <v>-3.4359730000000002</v>
      </c>
    </row>
    <row r="308" spans="1:28" hidden="1">
      <c r="A308">
        <v>305</v>
      </c>
      <c r="B308">
        <v>7400</v>
      </c>
      <c r="C308" t="s">
        <v>26</v>
      </c>
      <c r="D308" t="s">
        <v>866</v>
      </c>
      <c r="E308">
        <v>59</v>
      </c>
      <c r="G308" t="s">
        <v>103</v>
      </c>
      <c r="H308" t="s">
        <v>633</v>
      </c>
      <c r="I308" t="s">
        <v>867</v>
      </c>
      <c r="J308" t="s">
        <v>26</v>
      </c>
      <c r="K308" t="s">
        <v>103</v>
      </c>
      <c r="M308" t="b">
        <v>1</v>
      </c>
      <c r="N308" t="s">
        <v>42</v>
      </c>
      <c r="O308" t="s">
        <v>33</v>
      </c>
      <c r="Q308">
        <v>125.08</v>
      </c>
      <c r="R308">
        <v>2.9</v>
      </c>
      <c r="S308" t="s">
        <v>106</v>
      </c>
      <c r="T308">
        <v>50.6</v>
      </c>
      <c r="V308">
        <v>100.2</v>
      </c>
      <c r="W308">
        <v>77</v>
      </c>
      <c r="X308">
        <v>9.4</v>
      </c>
      <c r="Y308">
        <v>59.2</v>
      </c>
      <c r="Z308">
        <v>1397715000</v>
      </c>
      <c r="AA308">
        <v>35.861660000000001</v>
      </c>
      <c r="AB308">
        <v>104.195397</v>
      </c>
    </row>
    <row r="309" spans="1:28" hidden="1">
      <c r="A309">
        <v>305</v>
      </c>
      <c r="B309">
        <v>7400</v>
      </c>
      <c r="C309" t="s">
        <v>221</v>
      </c>
      <c r="D309" t="s">
        <v>868</v>
      </c>
      <c r="E309">
        <v>71</v>
      </c>
      <c r="G309" t="s">
        <v>395</v>
      </c>
      <c r="H309" t="s">
        <v>395</v>
      </c>
      <c r="I309" t="s">
        <v>223</v>
      </c>
      <c r="J309" t="s">
        <v>221</v>
      </c>
      <c r="K309" t="s">
        <v>395</v>
      </c>
      <c r="M309" t="b">
        <v>0</v>
      </c>
      <c r="N309" t="s">
        <v>212</v>
      </c>
      <c r="O309" t="s">
        <v>33</v>
      </c>
      <c r="Q309">
        <v>114.41</v>
      </c>
      <c r="R309">
        <v>0.6</v>
      </c>
      <c r="S309" t="s">
        <v>451</v>
      </c>
      <c r="T309">
        <v>84.8</v>
      </c>
      <c r="V309">
        <v>100.6</v>
      </c>
      <c r="W309">
        <v>83.1</v>
      </c>
      <c r="X309">
        <v>13.1</v>
      </c>
      <c r="Y309">
        <v>21</v>
      </c>
      <c r="Z309">
        <v>5703569</v>
      </c>
      <c r="AA309">
        <v>1.3520829999999999</v>
      </c>
      <c r="AB309">
        <v>103.819836</v>
      </c>
    </row>
    <row r="310" spans="1:28">
      <c r="A310">
        <v>305</v>
      </c>
      <c r="B310">
        <v>7400</v>
      </c>
      <c r="C310" t="s">
        <v>217</v>
      </c>
      <c r="D310" t="s">
        <v>869</v>
      </c>
      <c r="E310">
        <v>72</v>
      </c>
      <c r="F310" t="str">
        <f>IF(E310&gt;=90,"90-100",IF(E310&gt;=80,"80-90",IF(E310&gt;=70,"70-80",IF(E310&gt;=60,"60-70",IF(E310&gt;=50,"50-60",IF(E310&gt;=40,"40-50",IF(E310&gt;=30,"30-40","20-30")))))))</f>
        <v>70-80</v>
      </c>
      <c r="G310" t="s">
        <v>38</v>
      </c>
      <c r="H310" t="s">
        <v>870</v>
      </c>
      <c r="I310" t="s">
        <v>871</v>
      </c>
      <c r="J310" t="s">
        <v>217</v>
      </c>
      <c r="K310" t="s">
        <v>38</v>
      </c>
      <c r="L310" t="s">
        <v>872</v>
      </c>
      <c r="M310" t="b">
        <v>1</v>
      </c>
      <c r="N310" t="s">
        <v>42</v>
      </c>
      <c r="O310" t="s">
        <v>4867</v>
      </c>
      <c r="P310" t="s">
        <v>468</v>
      </c>
      <c r="Q310">
        <v>117.24</v>
      </c>
      <c r="R310">
        <v>7.5</v>
      </c>
      <c r="S310" t="s">
        <v>44</v>
      </c>
      <c r="T310">
        <v>88.2</v>
      </c>
      <c r="U310" t="str">
        <f>IF(T310&gt;=100,"above 100",IF(T310&gt;=80,"80-100",IF(T310&gt;=60,"60-80",IF(T310&gt;=40,"40-60",IF(T310&gt;=20,"20-60","0-20")))))</f>
        <v>80-100</v>
      </c>
      <c r="V310">
        <v>101.8</v>
      </c>
      <c r="W310">
        <v>78.5</v>
      </c>
      <c r="X310">
        <v>9.6</v>
      </c>
      <c r="Y310">
        <v>36.6</v>
      </c>
      <c r="Z310">
        <v>328239523</v>
      </c>
      <c r="AA310">
        <v>37.090240000000001</v>
      </c>
      <c r="AB310">
        <v>-95.712890999999999</v>
      </c>
    </row>
    <row r="311" spans="1:28" hidden="1">
      <c r="A311">
        <v>305</v>
      </c>
      <c r="B311">
        <v>7400</v>
      </c>
      <c r="C311" t="s">
        <v>469</v>
      </c>
      <c r="D311" t="s">
        <v>873</v>
      </c>
      <c r="E311">
        <v>62</v>
      </c>
      <c r="G311" t="s">
        <v>874</v>
      </c>
      <c r="H311" t="s">
        <v>875</v>
      </c>
      <c r="I311" t="s">
        <v>876</v>
      </c>
      <c r="J311" t="s">
        <v>469</v>
      </c>
      <c r="K311" t="s">
        <v>874</v>
      </c>
      <c r="M311" t="b">
        <v>0</v>
      </c>
      <c r="N311" t="s">
        <v>42</v>
      </c>
      <c r="O311" t="s">
        <v>33</v>
      </c>
      <c r="Q311">
        <v>288.57</v>
      </c>
      <c r="R311">
        <v>9.1999999999999993</v>
      </c>
      <c r="S311" t="s">
        <v>877</v>
      </c>
      <c r="T311">
        <v>35.200000000000003</v>
      </c>
      <c r="V311">
        <v>106.3</v>
      </c>
      <c r="W311">
        <v>71.8</v>
      </c>
      <c r="X311">
        <v>12.5</v>
      </c>
      <c r="Y311">
        <v>44.4</v>
      </c>
      <c r="Z311">
        <v>100388073</v>
      </c>
      <c r="AA311">
        <v>26.820553</v>
      </c>
      <c r="AB311">
        <v>30.802498</v>
      </c>
    </row>
    <row r="312" spans="1:28" hidden="1">
      <c r="A312">
        <v>305</v>
      </c>
      <c r="B312">
        <v>7400</v>
      </c>
      <c r="C312" t="s">
        <v>101</v>
      </c>
      <c r="D312" t="s">
        <v>878</v>
      </c>
      <c r="E312">
        <v>81</v>
      </c>
      <c r="G312" t="s">
        <v>38</v>
      </c>
      <c r="H312" t="s">
        <v>879</v>
      </c>
      <c r="I312" t="s">
        <v>880</v>
      </c>
      <c r="J312" t="s">
        <v>101</v>
      </c>
      <c r="K312" t="s">
        <v>38</v>
      </c>
      <c r="M312" t="b">
        <v>1</v>
      </c>
      <c r="N312" t="s">
        <v>32</v>
      </c>
      <c r="O312" t="s">
        <v>33</v>
      </c>
      <c r="Q312">
        <v>117.24</v>
      </c>
      <c r="R312">
        <v>7.5</v>
      </c>
      <c r="S312" t="s">
        <v>44</v>
      </c>
      <c r="T312">
        <v>88.2</v>
      </c>
      <c r="V312">
        <v>101.8</v>
      </c>
      <c r="W312">
        <v>78.5</v>
      </c>
      <c r="X312">
        <v>9.6</v>
      </c>
      <c r="Y312">
        <v>36.6</v>
      </c>
      <c r="Z312">
        <v>328239523</v>
      </c>
      <c r="AA312">
        <v>37.090240000000001</v>
      </c>
      <c r="AB312">
        <v>-95.712890999999999</v>
      </c>
    </row>
    <row r="313" spans="1:28" hidden="1">
      <c r="A313">
        <v>312</v>
      </c>
      <c r="B313">
        <v>7300</v>
      </c>
      <c r="C313" t="s">
        <v>217</v>
      </c>
      <c r="D313" t="s">
        <v>881</v>
      </c>
      <c r="E313">
        <v>91</v>
      </c>
      <c r="G313" t="s">
        <v>77</v>
      </c>
      <c r="H313" t="s">
        <v>882</v>
      </c>
      <c r="I313" t="s">
        <v>883</v>
      </c>
      <c r="J313" t="s">
        <v>217</v>
      </c>
      <c r="K313" t="s">
        <v>77</v>
      </c>
      <c r="M313" t="b">
        <v>0</v>
      </c>
      <c r="N313" t="s">
        <v>32</v>
      </c>
      <c r="O313" t="s">
        <v>33</v>
      </c>
      <c r="Q313">
        <v>180.44</v>
      </c>
      <c r="R313">
        <v>7.7</v>
      </c>
      <c r="S313" t="s">
        <v>81</v>
      </c>
      <c r="T313">
        <v>28.1</v>
      </c>
      <c r="V313">
        <v>113</v>
      </c>
      <c r="W313">
        <v>69.400000000000006</v>
      </c>
      <c r="X313">
        <v>11.2</v>
      </c>
      <c r="Y313">
        <v>49.7</v>
      </c>
      <c r="Z313">
        <v>1366417754</v>
      </c>
      <c r="AA313">
        <v>20.593684</v>
      </c>
      <c r="AB313">
        <v>78.962879999999998</v>
      </c>
    </row>
    <row r="314" spans="1:28" hidden="1">
      <c r="A314">
        <v>312</v>
      </c>
      <c r="B314">
        <v>7300</v>
      </c>
      <c r="C314" t="s">
        <v>236</v>
      </c>
      <c r="D314" t="s">
        <v>884</v>
      </c>
      <c r="E314">
        <v>59</v>
      </c>
      <c r="G314" t="s">
        <v>263</v>
      </c>
      <c r="H314" t="s">
        <v>274</v>
      </c>
      <c r="I314" t="s">
        <v>885</v>
      </c>
      <c r="J314" t="s">
        <v>236</v>
      </c>
      <c r="K314" t="s">
        <v>263</v>
      </c>
      <c r="M314" t="b">
        <v>1</v>
      </c>
      <c r="N314" t="s">
        <v>32</v>
      </c>
      <c r="O314" t="s">
        <v>33</v>
      </c>
      <c r="Q314">
        <v>180.75</v>
      </c>
      <c r="R314">
        <v>4.5</v>
      </c>
      <c r="S314" t="s">
        <v>276</v>
      </c>
      <c r="T314">
        <v>81.900000000000006</v>
      </c>
      <c r="V314">
        <v>102.6</v>
      </c>
      <c r="W314">
        <v>72.7</v>
      </c>
      <c r="X314">
        <v>11.4</v>
      </c>
      <c r="Y314">
        <v>46.2</v>
      </c>
      <c r="Z314">
        <v>144373535</v>
      </c>
      <c r="AA314">
        <v>61.524009999999997</v>
      </c>
      <c r="AB314">
        <v>105.31875599999999</v>
      </c>
    </row>
    <row r="315" spans="1:28" hidden="1">
      <c r="A315">
        <v>312</v>
      </c>
      <c r="B315">
        <v>7300</v>
      </c>
      <c r="C315" t="s">
        <v>26</v>
      </c>
      <c r="D315" t="s">
        <v>886</v>
      </c>
      <c r="E315">
        <v>50</v>
      </c>
      <c r="G315" t="s">
        <v>887</v>
      </c>
      <c r="H315" t="s">
        <v>888</v>
      </c>
      <c r="I315" t="s">
        <v>200</v>
      </c>
      <c r="J315" t="s">
        <v>26</v>
      </c>
      <c r="K315" t="s">
        <v>887</v>
      </c>
      <c r="M315" t="b">
        <v>0</v>
      </c>
      <c r="N315" t="s">
        <v>42</v>
      </c>
      <c r="O315" t="s">
        <v>33</v>
      </c>
      <c r="Q315">
        <v>110.35</v>
      </c>
      <c r="R315">
        <v>0.8</v>
      </c>
      <c r="S315" t="s">
        <v>889</v>
      </c>
      <c r="T315">
        <v>80.599999999999994</v>
      </c>
      <c r="V315">
        <v>101.3</v>
      </c>
      <c r="W315">
        <v>81</v>
      </c>
      <c r="X315">
        <v>32.4</v>
      </c>
      <c r="Y315">
        <v>23.8</v>
      </c>
      <c r="Z315">
        <v>5818553</v>
      </c>
      <c r="AA315">
        <v>56.263919999999999</v>
      </c>
      <c r="AB315">
        <v>9.5017849999999999</v>
      </c>
    </row>
    <row r="316" spans="1:28" hidden="1">
      <c r="A316">
        <v>312</v>
      </c>
      <c r="B316">
        <v>7300</v>
      </c>
      <c r="C316" t="s">
        <v>154</v>
      </c>
      <c r="D316" t="s">
        <v>890</v>
      </c>
      <c r="E316">
        <v>63</v>
      </c>
      <c r="G316" t="s">
        <v>726</v>
      </c>
      <c r="H316" t="s">
        <v>727</v>
      </c>
      <c r="I316" t="s">
        <v>891</v>
      </c>
      <c r="J316" t="s">
        <v>154</v>
      </c>
      <c r="K316" t="s">
        <v>726</v>
      </c>
      <c r="M316" t="b">
        <v>0</v>
      </c>
      <c r="N316" t="s">
        <v>32</v>
      </c>
      <c r="O316" t="s">
        <v>33</v>
      </c>
      <c r="Q316">
        <v>129.61000000000001</v>
      </c>
      <c r="R316">
        <v>2.5</v>
      </c>
      <c r="S316" t="s">
        <v>728</v>
      </c>
      <c r="T316">
        <v>35.5</v>
      </c>
      <c r="V316">
        <v>107.5</v>
      </c>
      <c r="W316">
        <v>71.099999999999994</v>
      </c>
      <c r="X316">
        <v>14</v>
      </c>
      <c r="Y316">
        <v>43.1</v>
      </c>
      <c r="Z316">
        <v>108116615</v>
      </c>
      <c r="AA316">
        <v>12.879721</v>
      </c>
      <c r="AB316">
        <v>121.774017</v>
      </c>
    </row>
    <row r="317" spans="1:28" hidden="1">
      <c r="A317">
        <v>312</v>
      </c>
      <c r="B317">
        <v>7300</v>
      </c>
      <c r="C317" t="s">
        <v>45</v>
      </c>
      <c r="D317" t="s">
        <v>892</v>
      </c>
      <c r="E317">
        <v>55</v>
      </c>
      <c r="G317" t="s">
        <v>103</v>
      </c>
      <c r="H317" t="s">
        <v>176</v>
      </c>
      <c r="I317" t="s">
        <v>893</v>
      </c>
      <c r="J317" t="s">
        <v>45</v>
      </c>
      <c r="K317" t="s">
        <v>172</v>
      </c>
      <c r="M317" t="b">
        <v>1</v>
      </c>
      <c r="N317" t="s">
        <v>42</v>
      </c>
      <c r="O317" t="s">
        <v>88</v>
      </c>
      <c r="Q317">
        <v>125.08</v>
      </c>
      <c r="R317">
        <v>2.9</v>
      </c>
      <c r="S317" t="s">
        <v>106</v>
      </c>
      <c r="T317">
        <v>50.6</v>
      </c>
      <c r="V317">
        <v>100.2</v>
      </c>
      <c r="W317">
        <v>77</v>
      </c>
      <c r="X317">
        <v>9.4</v>
      </c>
      <c r="Y317">
        <v>59.2</v>
      </c>
      <c r="Z317">
        <v>1397715000</v>
      </c>
      <c r="AA317">
        <v>35.861660000000001</v>
      </c>
      <c r="AB317">
        <v>104.195397</v>
      </c>
    </row>
    <row r="318" spans="1:28" hidden="1">
      <c r="A318">
        <v>317</v>
      </c>
      <c r="B318">
        <v>7200</v>
      </c>
      <c r="C318" t="s">
        <v>54</v>
      </c>
      <c r="D318" t="s">
        <v>894</v>
      </c>
      <c r="E318">
        <v>65</v>
      </c>
      <c r="G318" t="s">
        <v>38</v>
      </c>
      <c r="H318" t="s">
        <v>895</v>
      </c>
      <c r="I318" t="s">
        <v>226</v>
      </c>
      <c r="J318" t="s">
        <v>54</v>
      </c>
      <c r="K318" t="s">
        <v>38</v>
      </c>
      <c r="M318" t="b">
        <v>1</v>
      </c>
      <c r="N318" t="s">
        <v>192</v>
      </c>
      <c r="O318" t="s">
        <v>33</v>
      </c>
      <c r="Q318">
        <v>117.24</v>
      </c>
      <c r="R318">
        <v>7.5</v>
      </c>
      <c r="S318" t="s">
        <v>44</v>
      </c>
      <c r="T318">
        <v>88.2</v>
      </c>
      <c r="V318">
        <v>101.8</v>
      </c>
      <c r="W318">
        <v>78.5</v>
      </c>
      <c r="X318">
        <v>9.6</v>
      </c>
      <c r="Y318">
        <v>36.6</v>
      </c>
      <c r="Z318">
        <v>328239523</v>
      </c>
      <c r="AA318">
        <v>37.090240000000001</v>
      </c>
      <c r="AB318">
        <v>-95.712890999999999</v>
      </c>
    </row>
    <row r="319" spans="1:28" hidden="1">
      <c r="A319">
        <v>317</v>
      </c>
      <c r="B319">
        <v>7200</v>
      </c>
      <c r="C319" t="s">
        <v>45</v>
      </c>
      <c r="D319" t="s">
        <v>896</v>
      </c>
      <c r="E319">
        <v>72</v>
      </c>
      <c r="G319" t="s">
        <v>810</v>
      </c>
      <c r="H319" t="s">
        <v>811</v>
      </c>
      <c r="I319" t="s">
        <v>897</v>
      </c>
      <c r="J319" t="s">
        <v>45</v>
      </c>
      <c r="K319" t="s">
        <v>810</v>
      </c>
      <c r="L319" t="s">
        <v>898</v>
      </c>
      <c r="M319" t="b">
        <v>1</v>
      </c>
      <c r="N319" t="s">
        <v>32</v>
      </c>
      <c r="O319" t="s">
        <v>33</v>
      </c>
      <c r="P319" t="s">
        <v>43</v>
      </c>
    </row>
    <row r="320" spans="1:28" hidden="1">
      <c r="A320">
        <v>317</v>
      </c>
      <c r="B320">
        <v>7200</v>
      </c>
      <c r="C320" t="s">
        <v>221</v>
      </c>
      <c r="D320" t="s">
        <v>899</v>
      </c>
      <c r="E320">
        <v>68</v>
      </c>
      <c r="G320" t="s">
        <v>38</v>
      </c>
      <c r="H320" t="s">
        <v>257</v>
      </c>
      <c r="I320" t="s">
        <v>900</v>
      </c>
      <c r="J320" t="s">
        <v>221</v>
      </c>
      <c r="K320" t="s">
        <v>38</v>
      </c>
      <c r="M320" t="b">
        <v>1</v>
      </c>
      <c r="N320" t="s">
        <v>32</v>
      </c>
      <c r="O320" t="s">
        <v>33</v>
      </c>
      <c r="Q320">
        <v>117.24</v>
      </c>
      <c r="R320">
        <v>7.5</v>
      </c>
      <c r="S320" t="s">
        <v>44</v>
      </c>
      <c r="T320">
        <v>88.2</v>
      </c>
      <c r="V320">
        <v>101.8</v>
      </c>
      <c r="W320">
        <v>78.5</v>
      </c>
      <c r="X320">
        <v>9.6</v>
      </c>
      <c r="Y320">
        <v>36.6</v>
      </c>
      <c r="Z320">
        <v>328239523</v>
      </c>
      <c r="AA320">
        <v>37.090240000000001</v>
      </c>
      <c r="AB320">
        <v>-95.712890999999999</v>
      </c>
    </row>
    <row r="321" spans="1:28">
      <c r="A321">
        <v>317</v>
      </c>
      <c r="B321">
        <v>7200</v>
      </c>
      <c r="C321" t="s">
        <v>54</v>
      </c>
      <c r="D321" t="s">
        <v>901</v>
      </c>
      <c r="E321">
        <v>79</v>
      </c>
      <c r="F321" t="str">
        <f>IF(E321&gt;=90,"90-100",IF(E321&gt;=80,"80-90",IF(E321&gt;=70,"70-80",IF(E321&gt;=60,"60-70",IF(E321&gt;=50,"50-60",IF(E321&gt;=40,"40-50",IF(E321&gt;=30,"30-40","20-30")))))))</f>
        <v>70-80</v>
      </c>
      <c r="G321" t="s">
        <v>38</v>
      </c>
      <c r="H321" t="s">
        <v>902</v>
      </c>
      <c r="I321" t="s">
        <v>903</v>
      </c>
      <c r="J321" t="s">
        <v>54</v>
      </c>
      <c r="K321" t="s">
        <v>38</v>
      </c>
      <c r="L321" t="s">
        <v>904</v>
      </c>
      <c r="M321" t="b">
        <v>1</v>
      </c>
      <c r="N321" t="s">
        <v>32</v>
      </c>
      <c r="O321" t="s">
        <v>4867</v>
      </c>
      <c r="P321" t="s">
        <v>131</v>
      </c>
      <c r="Q321">
        <v>117.24</v>
      </c>
      <c r="R321">
        <v>7.5</v>
      </c>
      <c r="S321" t="s">
        <v>44</v>
      </c>
      <c r="T321">
        <v>88.2</v>
      </c>
      <c r="U321" t="str">
        <f t="shared" ref="U321:U322" si="22">IF(T321&gt;=100,"above 100",IF(T321&gt;=80,"80-100",IF(T321&gt;=60,"60-80",IF(T321&gt;=40,"40-60",IF(T321&gt;=20,"20-60","0-20")))))</f>
        <v>80-100</v>
      </c>
      <c r="V321">
        <v>101.8</v>
      </c>
      <c r="W321">
        <v>78.5</v>
      </c>
      <c r="X321">
        <v>9.6</v>
      </c>
      <c r="Y321">
        <v>36.6</v>
      </c>
      <c r="Z321">
        <v>328239523</v>
      </c>
      <c r="AA321">
        <v>37.090240000000001</v>
      </c>
      <c r="AB321">
        <v>-95.712890999999999</v>
      </c>
    </row>
    <row r="322" spans="1:28">
      <c r="A322">
        <v>317</v>
      </c>
      <c r="B322">
        <v>7200</v>
      </c>
      <c r="C322" t="s">
        <v>250</v>
      </c>
      <c r="D322" t="s">
        <v>905</v>
      </c>
      <c r="E322">
        <v>78</v>
      </c>
      <c r="F322" t="str">
        <f>IF(E322&gt;=90,"90-100",IF(E322&gt;=80,"80-90",IF(E322&gt;=70,"70-80",IF(E322&gt;=60,"60-70",IF(E322&gt;=50,"50-60",IF(E322&gt;=40,"40-50",IF(E322&gt;=30,"30-40","20-30")))))))</f>
        <v>70-80</v>
      </c>
      <c r="G322" t="s">
        <v>38</v>
      </c>
      <c r="H322" t="s">
        <v>581</v>
      </c>
      <c r="I322" t="s">
        <v>906</v>
      </c>
      <c r="J322" t="s">
        <v>250</v>
      </c>
      <c r="K322" t="s">
        <v>38</v>
      </c>
      <c r="L322" t="s">
        <v>907</v>
      </c>
      <c r="M322" t="b">
        <v>1</v>
      </c>
      <c r="N322" t="s">
        <v>42</v>
      </c>
      <c r="O322" t="s">
        <v>4867</v>
      </c>
      <c r="P322" t="s">
        <v>34</v>
      </c>
      <c r="Q322">
        <v>117.24</v>
      </c>
      <c r="R322">
        <v>7.5</v>
      </c>
      <c r="S322" t="s">
        <v>44</v>
      </c>
      <c r="T322">
        <v>88.2</v>
      </c>
      <c r="U322" t="str">
        <f t="shared" si="22"/>
        <v>80-100</v>
      </c>
      <c r="V322">
        <v>101.8</v>
      </c>
      <c r="W322">
        <v>78.5</v>
      </c>
      <c r="X322">
        <v>9.6</v>
      </c>
      <c r="Y322">
        <v>36.6</v>
      </c>
      <c r="Z322">
        <v>328239523</v>
      </c>
      <c r="AA322">
        <v>37.090240000000001</v>
      </c>
      <c r="AB322">
        <v>-95.712890999999999</v>
      </c>
    </row>
    <row r="323" spans="1:28" hidden="1">
      <c r="A323">
        <v>317</v>
      </c>
      <c r="B323">
        <v>7200</v>
      </c>
      <c r="C323" t="s">
        <v>54</v>
      </c>
      <c r="D323" t="s">
        <v>908</v>
      </c>
      <c r="E323">
        <v>41</v>
      </c>
      <c r="G323" t="s">
        <v>260</v>
      </c>
      <c r="H323" t="s">
        <v>515</v>
      </c>
      <c r="I323" t="s">
        <v>909</v>
      </c>
      <c r="J323" t="s">
        <v>54</v>
      </c>
      <c r="K323" t="s">
        <v>156</v>
      </c>
      <c r="M323" t="b">
        <v>1</v>
      </c>
      <c r="N323" t="s">
        <v>42</v>
      </c>
      <c r="O323" t="s">
        <v>33</v>
      </c>
      <c r="Q323">
        <v>114.52</v>
      </c>
      <c r="R323">
        <v>-1.9</v>
      </c>
      <c r="S323" t="s">
        <v>264</v>
      </c>
      <c r="T323">
        <v>36.799999999999997</v>
      </c>
      <c r="V323">
        <v>108.4</v>
      </c>
      <c r="W323">
        <v>77.8</v>
      </c>
      <c r="X323">
        <v>0.1</v>
      </c>
      <c r="Y323">
        <v>15.9</v>
      </c>
      <c r="Z323">
        <v>9770529</v>
      </c>
      <c r="AA323">
        <v>23.424075999999999</v>
      </c>
      <c r="AB323">
        <v>53.847817999999997</v>
      </c>
    </row>
    <row r="324" spans="1:28" hidden="1">
      <c r="A324">
        <v>317</v>
      </c>
      <c r="B324">
        <v>7200</v>
      </c>
      <c r="C324" t="s">
        <v>26</v>
      </c>
      <c r="D324" t="s">
        <v>910</v>
      </c>
      <c r="E324">
        <v>61</v>
      </c>
      <c r="G324" t="s">
        <v>198</v>
      </c>
      <c r="H324" t="s">
        <v>199</v>
      </c>
      <c r="I324" t="s">
        <v>911</v>
      </c>
      <c r="J324" t="s">
        <v>26</v>
      </c>
      <c r="K324" t="s">
        <v>198</v>
      </c>
      <c r="M324" t="b">
        <v>0</v>
      </c>
      <c r="N324" t="s">
        <v>32</v>
      </c>
      <c r="O324" t="s">
        <v>33</v>
      </c>
      <c r="Q324">
        <v>105.48</v>
      </c>
      <c r="R324">
        <v>0.5</v>
      </c>
      <c r="S324" t="s">
        <v>201</v>
      </c>
      <c r="T324">
        <v>63.2</v>
      </c>
      <c r="V324">
        <v>98.8</v>
      </c>
      <c r="W324">
        <v>84.2</v>
      </c>
      <c r="X324">
        <v>11.9</v>
      </c>
      <c r="Y324">
        <v>46.7</v>
      </c>
      <c r="Z324">
        <v>126226568</v>
      </c>
      <c r="AA324">
        <v>36.204824000000002</v>
      </c>
      <c r="AB324">
        <v>138.25292400000001</v>
      </c>
    </row>
    <row r="325" spans="1:28">
      <c r="A325">
        <v>317</v>
      </c>
      <c r="B325">
        <v>7200</v>
      </c>
      <c r="C325" t="s">
        <v>101</v>
      </c>
      <c r="D325" t="s">
        <v>912</v>
      </c>
      <c r="E325">
        <v>77</v>
      </c>
      <c r="F325" t="str">
        <f>IF(E325&gt;=90,"90-100",IF(E325&gt;=80,"80-90",IF(E325&gt;=70,"70-80",IF(E325&gt;=60,"60-70",IF(E325&gt;=50,"50-60",IF(E325&gt;=40,"40-50",IF(E325&gt;=30,"30-40","20-30")))))))</f>
        <v>70-80</v>
      </c>
      <c r="G325" t="s">
        <v>103</v>
      </c>
      <c r="H325" t="s">
        <v>104</v>
      </c>
      <c r="I325" t="s">
        <v>913</v>
      </c>
      <c r="J325" t="s">
        <v>101</v>
      </c>
      <c r="K325" t="s">
        <v>103</v>
      </c>
      <c r="L325" t="s">
        <v>914</v>
      </c>
      <c r="M325" t="b">
        <v>1</v>
      </c>
      <c r="N325" t="s">
        <v>42</v>
      </c>
      <c r="O325" t="s">
        <v>4867</v>
      </c>
      <c r="P325" t="s">
        <v>131</v>
      </c>
      <c r="Q325">
        <v>125.08</v>
      </c>
      <c r="R325">
        <v>2.9</v>
      </c>
      <c r="S325" t="s">
        <v>106</v>
      </c>
      <c r="T325">
        <v>50.6</v>
      </c>
      <c r="U325" t="str">
        <f t="shared" ref="U325:U326" si="23">IF(T325&gt;=100,"above 100",IF(T325&gt;=80,"80-100",IF(T325&gt;=60,"60-80",IF(T325&gt;=40,"40-60",IF(T325&gt;=20,"20-60","0-20")))))</f>
        <v>40-60</v>
      </c>
      <c r="V325">
        <v>100.2</v>
      </c>
      <c r="W325">
        <v>77</v>
      </c>
      <c r="X325">
        <v>9.4</v>
      </c>
      <c r="Y325">
        <v>59.2</v>
      </c>
      <c r="Z325">
        <v>1397715000</v>
      </c>
      <c r="AA325">
        <v>35.861660000000001</v>
      </c>
      <c r="AB325">
        <v>104.195397</v>
      </c>
    </row>
    <row r="326" spans="1:28">
      <c r="A326">
        <v>325</v>
      </c>
      <c r="B326">
        <v>7100</v>
      </c>
      <c r="C326" t="s">
        <v>45</v>
      </c>
      <c r="D326" t="s">
        <v>915</v>
      </c>
      <c r="E326">
        <v>79</v>
      </c>
      <c r="F326" t="str">
        <f>IF(E326&gt;=90,"90-100",IF(E326&gt;=80,"80-90",IF(E326&gt;=70,"70-80",IF(E326&gt;=60,"60-70",IF(E326&gt;=50,"50-60",IF(E326&gt;=40,"40-50",IF(E326&gt;=30,"30-40","20-30")))))))</f>
        <v>70-80</v>
      </c>
      <c r="G326" t="s">
        <v>38</v>
      </c>
      <c r="H326" t="s">
        <v>916</v>
      </c>
      <c r="I326" t="s">
        <v>917</v>
      </c>
      <c r="J326" t="s">
        <v>45</v>
      </c>
      <c r="K326" t="s">
        <v>38</v>
      </c>
      <c r="L326" t="s">
        <v>918</v>
      </c>
      <c r="M326" t="b">
        <v>1</v>
      </c>
      <c r="N326" t="s">
        <v>32</v>
      </c>
      <c r="O326" t="s">
        <v>4866</v>
      </c>
      <c r="P326" t="s">
        <v>619</v>
      </c>
      <c r="Q326">
        <v>117.24</v>
      </c>
      <c r="R326">
        <v>7.5</v>
      </c>
      <c r="S326" t="s">
        <v>44</v>
      </c>
      <c r="T326">
        <v>88.2</v>
      </c>
      <c r="U326" t="str">
        <f t="shared" si="23"/>
        <v>80-100</v>
      </c>
      <c r="V326">
        <v>101.8</v>
      </c>
      <c r="W326">
        <v>78.5</v>
      </c>
      <c r="X326">
        <v>9.6</v>
      </c>
      <c r="Y326">
        <v>36.6</v>
      </c>
      <c r="Z326">
        <v>328239523</v>
      </c>
      <c r="AA326">
        <v>37.090240000000001</v>
      </c>
      <c r="AB326">
        <v>-95.712890999999999</v>
      </c>
    </row>
    <row r="327" spans="1:28" hidden="1">
      <c r="A327">
        <v>325</v>
      </c>
      <c r="B327">
        <v>7100</v>
      </c>
      <c r="C327" t="s">
        <v>179</v>
      </c>
      <c r="D327" t="s">
        <v>919</v>
      </c>
      <c r="E327">
        <v>76</v>
      </c>
      <c r="G327" t="s">
        <v>189</v>
      </c>
      <c r="H327" t="s">
        <v>803</v>
      </c>
      <c r="I327" t="s">
        <v>920</v>
      </c>
      <c r="J327" t="s">
        <v>179</v>
      </c>
      <c r="K327" t="s">
        <v>189</v>
      </c>
      <c r="M327" t="b">
        <v>1</v>
      </c>
      <c r="N327" t="s">
        <v>32</v>
      </c>
      <c r="O327" t="s">
        <v>33</v>
      </c>
      <c r="Q327">
        <v>118.06</v>
      </c>
      <c r="R327">
        <v>1.5</v>
      </c>
      <c r="S327" t="s">
        <v>193</v>
      </c>
      <c r="T327">
        <v>85.1</v>
      </c>
      <c r="V327">
        <v>103.1</v>
      </c>
      <c r="W327">
        <v>81.599999999999994</v>
      </c>
      <c r="X327">
        <v>25.4</v>
      </c>
      <c r="Y327">
        <v>51.4</v>
      </c>
      <c r="Z327">
        <v>8877067</v>
      </c>
      <c r="AA327">
        <v>47.516230999999998</v>
      </c>
      <c r="AB327">
        <v>14.550072</v>
      </c>
    </row>
    <row r="328" spans="1:28" hidden="1">
      <c r="A328">
        <v>325</v>
      </c>
      <c r="B328">
        <v>7100</v>
      </c>
      <c r="C328" t="s">
        <v>308</v>
      </c>
      <c r="D328" t="s">
        <v>921</v>
      </c>
      <c r="E328">
        <v>61</v>
      </c>
      <c r="G328" t="s">
        <v>38</v>
      </c>
      <c r="H328" t="s">
        <v>922</v>
      </c>
      <c r="I328" t="s">
        <v>923</v>
      </c>
      <c r="J328" t="s">
        <v>308</v>
      </c>
      <c r="K328" t="s">
        <v>38</v>
      </c>
      <c r="M328" t="b">
        <v>0</v>
      </c>
      <c r="N328" t="s">
        <v>42</v>
      </c>
      <c r="O328" t="s">
        <v>88</v>
      </c>
      <c r="Q328">
        <v>117.24</v>
      </c>
      <c r="R328">
        <v>7.5</v>
      </c>
      <c r="S328" t="s">
        <v>44</v>
      </c>
      <c r="T328">
        <v>88.2</v>
      </c>
      <c r="V328">
        <v>101.8</v>
      </c>
      <c r="W328">
        <v>78.5</v>
      </c>
      <c r="X328">
        <v>9.6</v>
      </c>
      <c r="Y328">
        <v>36.6</v>
      </c>
      <c r="Z328">
        <v>328239523</v>
      </c>
      <c r="AA328">
        <v>37.090240000000001</v>
      </c>
      <c r="AB328">
        <v>-95.712890999999999</v>
      </c>
    </row>
    <row r="329" spans="1:28" hidden="1">
      <c r="A329">
        <v>325</v>
      </c>
      <c r="B329">
        <v>7100</v>
      </c>
      <c r="C329" t="s">
        <v>217</v>
      </c>
      <c r="D329" t="s">
        <v>924</v>
      </c>
      <c r="E329">
        <v>66</v>
      </c>
      <c r="G329" t="s">
        <v>103</v>
      </c>
      <c r="H329" t="s">
        <v>463</v>
      </c>
      <c r="I329" t="s">
        <v>925</v>
      </c>
      <c r="J329" t="s">
        <v>217</v>
      </c>
      <c r="K329" t="s">
        <v>103</v>
      </c>
      <c r="M329" t="b">
        <v>1</v>
      </c>
      <c r="N329" t="s">
        <v>42</v>
      </c>
      <c r="O329" t="s">
        <v>33</v>
      </c>
      <c r="Q329">
        <v>125.08</v>
      </c>
      <c r="R329">
        <v>2.9</v>
      </c>
      <c r="S329" t="s">
        <v>106</v>
      </c>
      <c r="T329">
        <v>50.6</v>
      </c>
      <c r="V329">
        <v>100.2</v>
      </c>
      <c r="W329">
        <v>77</v>
      </c>
      <c r="X329">
        <v>9.4</v>
      </c>
      <c r="Y329">
        <v>59.2</v>
      </c>
      <c r="Z329">
        <v>1397715000</v>
      </c>
      <c r="AA329">
        <v>35.861660000000001</v>
      </c>
      <c r="AB329">
        <v>104.195397</v>
      </c>
    </row>
    <row r="330" spans="1:28" hidden="1">
      <c r="A330">
        <v>325</v>
      </c>
      <c r="B330">
        <v>7100</v>
      </c>
      <c r="C330" t="s">
        <v>288</v>
      </c>
      <c r="D330" t="s">
        <v>926</v>
      </c>
      <c r="E330">
        <v>72</v>
      </c>
      <c r="G330" t="s">
        <v>156</v>
      </c>
      <c r="H330" t="s">
        <v>927</v>
      </c>
      <c r="I330" t="s">
        <v>928</v>
      </c>
      <c r="J330" t="s">
        <v>288</v>
      </c>
      <c r="K330" t="s">
        <v>397</v>
      </c>
      <c r="M330" t="b">
        <v>0</v>
      </c>
      <c r="N330" t="s">
        <v>42</v>
      </c>
      <c r="O330" t="s">
        <v>33</v>
      </c>
      <c r="Q330">
        <v>99.55</v>
      </c>
      <c r="R330">
        <v>0.4</v>
      </c>
      <c r="S330" t="s">
        <v>159</v>
      </c>
      <c r="T330">
        <v>59.6</v>
      </c>
      <c r="V330">
        <v>105.2</v>
      </c>
      <c r="W330">
        <v>83.6</v>
      </c>
      <c r="X330">
        <v>10.1</v>
      </c>
      <c r="Y330">
        <v>28.8</v>
      </c>
      <c r="Z330">
        <v>8574832</v>
      </c>
      <c r="AA330">
        <v>46.818187999999999</v>
      </c>
      <c r="AB330">
        <v>8.2275120000000008</v>
      </c>
    </row>
    <row r="331" spans="1:28" hidden="1">
      <c r="A331">
        <v>325</v>
      </c>
      <c r="B331">
        <v>7100</v>
      </c>
      <c r="C331" t="s">
        <v>54</v>
      </c>
      <c r="D331" t="s">
        <v>929</v>
      </c>
      <c r="E331">
        <v>94</v>
      </c>
      <c r="G331" t="s">
        <v>395</v>
      </c>
      <c r="H331" t="s">
        <v>395</v>
      </c>
      <c r="I331" t="s">
        <v>383</v>
      </c>
      <c r="J331" t="s">
        <v>54</v>
      </c>
      <c r="K331" t="s">
        <v>395</v>
      </c>
      <c r="M331" t="b">
        <v>0</v>
      </c>
      <c r="N331" t="s">
        <v>42</v>
      </c>
      <c r="O331" t="s">
        <v>33</v>
      </c>
      <c r="Q331">
        <v>114.41</v>
      </c>
      <c r="R331">
        <v>0.6</v>
      </c>
      <c r="S331" t="s">
        <v>451</v>
      </c>
      <c r="T331">
        <v>84.8</v>
      </c>
      <c r="V331">
        <v>100.6</v>
      </c>
      <c r="W331">
        <v>83.1</v>
      </c>
      <c r="X331">
        <v>13.1</v>
      </c>
      <c r="Y331">
        <v>21</v>
      </c>
      <c r="Z331">
        <v>5703569</v>
      </c>
      <c r="AA331">
        <v>1.3520829999999999</v>
      </c>
      <c r="AB331">
        <v>103.819836</v>
      </c>
    </row>
    <row r="332" spans="1:28" hidden="1">
      <c r="A332">
        <v>325</v>
      </c>
      <c r="B332">
        <v>7100</v>
      </c>
      <c r="C332" t="s">
        <v>217</v>
      </c>
      <c r="D332" t="s">
        <v>930</v>
      </c>
      <c r="E332">
        <v>71</v>
      </c>
      <c r="G332" t="s">
        <v>103</v>
      </c>
      <c r="H332" t="s">
        <v>633</v>
      </c>
      <c r="I332" t="s">
        <v>897</v>
      </c>
      <c r="J332" t="s">
        <v>217</v>
      </c>
      <c r="K332" t="s">
        <v>103</v>
      </c>
      <c r="M332" t="b">
        <v>1</v>
      </c>
      <c r="N332" t="s">
        <v>32</v>
      </c>
      <c r="O332" t="s">
        <v>33</v>
      </c>
      <c r="Q332">
        <v>125.08</v>
      </c>
      <c r="R332">
        <v>2.9</v>
      </c>
      <c r="S332" t="s">
        <v>106</v>
      </c>
      <c r="T332">
        <v>50.6</v>
      </c>
      <c r="V332">
        <v>100.2</v>
      </c>
      <c r="W332">
        <v>77</v>
      </c>
      <c r="X332">
        <v>9.4</v>
      </c>
      <c r="Y332">
        <v>59.2</v>
      </c>
      <c r="Z332">
        <v>1397715000</v>
      </c>
      <c r="AA332">
        <v>35.861660000000001</v>
      </c>
      <c r="AB332">
        <v>104.195397</v>
      </c>
    </row>
    <row r="333" spans="1:28">
      <c r="A333">
        <v>332</v>
      </c>
      <c r="B333">
        <v>7000</v>
      </c>
      <c r="C333" t="s">
        <v>45</v>
      </c>
      <c r="D333" t="s">
        <v>931</v>
      </c>
      <c r="E333">
        <v>58</v>
      </c>
      <c r="F333" t="str">
        <f>IF(E333&gt;=90,"90-100",IF(E333&gt;=80,"80-90",IF(E333&gt;=70,"70-80",IF(E333&gt;=60,"60-70",IF(E333&gt;=50,"50-60",IF(E333&gt;=40,"40-50",IF(E333&gt;=30,"30-40","20-30")))))))</f>
        <v>50-60</v>
      </c>
      <c r="G333" t="s">
        <v>38</v>
      </c>
      <c r="H333" t="s">
        <v>652</v>
      </c>
      <c r="I333" t="s">
        <v>577</v>
      </c>
      <c r="J333" t="s">
        <v>45</v>
      </c>
      <c r="K333" t="s">
        <v>38</v>
      </c>
      <c r="L333" t="s">
        <v>932</v>
      </c>
      <c r="M333" t="b">
        <v>1</v>
      </c>
      <c r="N333" t="s">
        <v>42</v>
      </c>
      <c r="O333" t="s">
        <v>4867</v>
      </c>
      <c r="P333" t="s">
        <v>34</v>
      </c>
      <c r="Q333">
        <v>117.24</v>
      </c>
      <c r="R333">
        <v>7.5</v>
      </c>
      <c r="S333" t="s">
        <v>44</v>
      </c>
      <c r="T333">
        <v>88.2</v>
      </c>
      <c r="U333" t="str">
        <f>IF(T333&gt;=100,"above 100",IF(T333&gt;=80,"80-100",IF(T333&gt;=60,"60-80",IF(T333&gt;=40,"40-60",IF(T333&gt;=20,"20-60","0-20")))))</f>
        <v>80-100</v>
      </c>
      <c r="V333">
        <v>101.8</v>
      </c>
      <c r="W333">
        <v>78.5</v>
      </c>
      <c r="X333">
        <v>9.6</v>
      </c>
      <c r="Y333">
        <v>36.6</v>
      </c>
      <c r="Z333">
        <v>328239523</v>
      </c>
      <c r="AA333">
        <v>37.090240000000001</v>
      </c>
      <c r="AB333">
        <v>-95.712890999999999</v>
      </c>
    </row>
    <row r="334" spans="1:28" hidden="1">
      <c r="A334">
        <v>332</v>
      </c>
      <c r="B334">
        <v>7000</v>
      </c>
      <c r="C334" t="s">
        <v>63</v>
      </c>
      <c r="D334" t="s">
        <v>933</v>
      </c>
      <c r="E334">
        <v>37</v>
      </c>
      <c r="G334" t="s">
        <v>203</v>
      </c>
      <c r="H334" t="s">
        <v>204</v>
      </c>
      <c r="I334" t="s">
        <v>245</v>
      </c>
      <c r="J334" t="s">
        <v>63</v>
      </c>
      <c r="K334" t="s">
        <v>342</v>
      </c>
      <c r="M334" t="b">
        <v>1</v>
      </c>
      <c r="N334" t="s">
        <v>42</v>
      </c>
      <c r="O334" t="s">
        <v>33</v>
      </c>
      <c r="Q334">
        <v>119.62</v>
      </c>
      <c r="R334">
        <v>1.7</v>
      </c>
      <c r="S334" t="s">
        <v>206</v>
      </c>
      <c r="T334">
        <v>60</v>
      </c>
      <c r="V334">
        <v>101.2</v>
      </c>
      <c r="W334">
        <v>81.3</v>
      </c>
      <c r="X334">
        <v>25.5</v>
      </c>
      <c r="Y334">
        <v>30.6</v>
      </c>
      <c r="Z334">
        <v>66834405</v>
      </c>
      <c r="AA334">
        <v>55.378050999999999</v>
      </c>
      <c r="AB334">
        <v>-3.4359730000000002</v>
      </c>
    </row>
    <row r="335" spans="1:28" hidden="1">
      <c r="A335">
        <v>332</v>
      </c>
      <c r="B335">
        <v>7000</v>
      </c>
      <c r="C335" t="s">
        <v>63</v>
      </c>
      <c r="D335" t="s">
        <v>934</v>
      </c>
      <c r="E335">
        <v>41</v>
      </c>
      <c r="G335" t="s">
        <v>203</v>
      </c>
      <c r="H335" t="s">
        <v>204</v>
      </c>
      <c r="I335" t="s">
        <v>245</v>
      </c>
      <c r="J335" t="s">
        <v>63</v>
      </c>
      <c r="K335" t="s">
        <v>342</v>
      </c>
      <c r="M335" t="b">
        <v>1</v>
      </c>
      <c r="N335" t="s">
        <v>42</v>
      </c>
      <c r="O335" t="s">
        <v>33</v>
      </c>
      <c r="Q335">
        <v>119.62</v>
      </c>
      <c r="R335">
        <v>1.7</v>
      </c>
      <c r="S335" t="s">
        <v>206</v>
      </c>
      <c r="T335">
        <v>60</v>
      </c>
      <c r="V335">
        <v>101.2</v>
      </c>
      <c r="W335">
        <v>81.3</v>
      </c>
      <c r="X335">
        <v>25.5</v>
      </c>
      <c r="Y335">
        <v>30.6</v>
      </c>
      <c r="Z335">
        <v>66834405</v>
      </c>
      <c r="AA335">
        <v>55.378050999999999</v>
      </c>
      <c r="AB335">
        <v>-3.4359730000000002</v>
      </c>
    </row>
    <row r="336" spans="1:28" hidden="1">
      <c r="A336">
        <v>332</v>
      </c>
      <c r="B336">
        <v>7000</v>
      </c>
      <c r="C336" t="s">
        <v>45</v>
      </c>
      <c r="D336" t="s">
        <v>935</v>
      </c>
      <c r="E336">
        <v>77</v>
      </c>
      <c r="G336" t="s">
        <v>38</v>
      </c>
      <c r="H336" t="s">
        <v>936</v>
      </c>
      <c r="I336" t="s">
        <v>937</v>
      </c>
      <c r="J336" t="s">
        <v>45</v>
      </c>
      <c r="K336" t="s">
        <v>38</v>
      </c>
      <c r="M336" t="b">
        <v>1</v>
      </c>
      <c r="N336" t="s">
        <v>32</v>
      </c>
      <c r="O336" t="s">
        <v>33</v>
      </c>
      <c r="Q336">
        <v>117.24</v>
      </c>
      <c r="R336">
        <v>7.5</v>
      </c>
      <c r="S336" t="s">
        <v>44</v>
      </c>
      <c r="T336">
        <v>88.2</v>
      </c>
      <c r="V336">
        <v>101.8</v>
      </c>
      <c r="W336">
        <v>78.5</v>
      </c>
      <c r="X336">
        <v>9.6</v>
      </c>
      <c r="Y336">
        <v>36.6</v>
      </c>
      <c r="Z336">
        <v>328239523</v>
      </c>
      <c r="AA336">
        <v>37.090240000000001</v>
      </c>
      <c r="AB336">
        <v>-95.712890999999999</v>
      </c>
    </row>
    <row r="337" spans="1:28" hidden="1">
      <c r="A337">
        <v>332</v>
      </c>
      <c r="B337">
        <v>7000</v>
      </c>
      <c r="C337" t="s">
        <v>217</v>
      </c>
      <c r="D337" t="s">
        <v>938</v>
      </c>
      <c r="E337">
        <v>80</v>
      </c>
      <c r="G337" t="s">
        <v>77</v>
      </c>
      <c r="H337" t="s">
        <v>78</v>
      </c>
      <c r="I337" t="s">
        <v>450</v>
      </c>
      <c r="J337" t="s">
        <v>217</v>
      </c>
      <c r="K337" t="s">
        <v>77</v>
      </c>
      <c r="M337" t="b">
        <v>0</v>
      </c>
      <c r="N337" t="s">
        <v>42</v>
      </c>
      <c r="O337" t="s">
        <v>33</v>
      </c>
      <c r="Q337">
        <v>180.44</v>
      </c>
      <c r="R337">
        <v>7.7</v>
      </c>
      <c r="S337" t="s">
        <v>81</v>
      </c>
      <c r="T337">
        <v>28.1</v>
      </c>
      <c r="V337">
        <v>113</v>
      </c>
      <c r="W337">
        <v>69.400000000000006</v>
      </c>
      <c r="X337">
        <v>11.2</v>
      </c>
      <c r="Y337">
        <v>49.7</v>
      </c>
      <c r="Z337">
        <v>1366417754</v>
      </c>
      <c r="AA337">
        <v>20.593684</v>
      </c>
      <c r="AB337">
        <v>78.962879999999998</v>
      </c>
    </row>
    <row r="338" spans="1:28">
      <c r="A338">
        <v>332</v>
      </c>
      <c r="B338">
        <v>7000</v>
      </c>
      <c r="C338" t="s">
        <v>26</v>
      </c>
      <c r="D338" t="s">
        <v>939</v>
      </c>
      <c r="E338">
        <v>83</v>
      </c>
      <c r="F338" t="str">
        <f>IF(E338&gt;=90,"90-100",IF(E338&gt;=80,"80-90",IF(E338&gt;=70,"70-80",IF(E338&gt;=60,"60-70",IF(E338&gt;=50,"50-60",IF(E338&gt;=40,"40-50",IF(E338&gt;=30,"30-40","20-30")))))))</f>
        <v>80-90</v>
      </c>
      <c r="G338" t="s">
        <v>38</v>
      </c>
      <c r="H338" t="s">
        <v>65</v>
      </c>
      <c r="I338" t="s">
        <v>940</v>
      </c>
      <c r="J338" t="s">
        <v>26</v>
      </c>
      <c r="K338" t="s">
        <v>38</v>
      </c>
      <c r="L338" t="s">
        <v>939</v>
      </c>
      <c r="M338" t="b">
        <v>1</v>
      </c>
      <c r="N338" t="s">
        <v>32</v>
      </c>
      <c r="O338" t="s">
        <v>4867</v>
      </c>
      <c r="P338" t="s">
        <v>941</v>
      </c>
      <c r="Q338">
        <v>117.24</v>
      </c>
      <c r="R338">
        <v>7.5</v>
      </c>
      <c r="S338" t="s">
        <v>44</v>
      </c>
      <c r="T338">
        <v>88.2</v>
      </c>
      <c r="U338" t="str">
        <f>IF(T338&gt;=100,"above 100",IF(T338&gt;=80,"80-100",IF(T338&gt;=60,"60-80",IF(T338&gt;=40,"40-60",IF(T338&gt;=20,"20-60","0-20")))))</f>
        <v>80-100</v>
      </c>
      <c r="V338">
        <v>101.8</v>
      </c>
      <c r="W338">
        <v>78.5</v>
      </c>
      <c r="X338">
        <v>9.6</v>
      </c>
      <c r="Y338">
        <v>36.6</v>
      </c>
      <c r="Z338">
        <v>328239523</v>
      </c>
      <c r="AA338">
        <v>37.090240000000001</v>
      </c>
      <c r="AB338">
        <v>-95.712890999999999</v>
      </c>
    </row>
    <row r="339" spans="1:28" hidden="1">
      <c r="A339">
        <v>332</v>
      </c>
      <c r="B339">
        <v>7000</v>
      </c>
      <c r="C339" t="s">
        <v>221</v>
      </c>
      <c r="D339" t="s">
        <v>942</v>
      </c>
      <c r="E339">
        <v>74</v>
      </c>
      <c r="G339" t="s">
        <v>172</v>
      </c>
      <c r="H339" t="s">
        <v>172</v>
      </c>
      <c r="I339" t="s">
        <v>223</v>
      </c>
      <c r="J339" t="s">
        <v>221</v>
      </c>
      <c r="K339" t="s">
        <v>172</v>
      </c>
      <c r="M339" t="b">
        <v>0</v>
      </c>
      <c r="N339" t="s">
        <v>32</v>
      </c>
      <c r="O339" t="s">
        <v>33</v>
      </c>
    </row>
    <row r="340" spans="1:28" hidden="1">
      <c r="A340">
        <v>332</v>
      </c>
      <c r="B340">
        <v>7000</v>
      </c>
      <c r="C340" t="s">
        <v>75</v>
      </c>
      <c r="D340" t="s">
        <v>943</v>
      </c>
      <c r="E340">
        <v>55</v>
      </c>
      <c r="G340" t="s">
        <v>77</v>
      </c>
      <c r="H340" t="s">
        <v>78</v>
      </c>
      <c r="I340" t="s">
        <v>75</v>
      </c>
      <c r="J340" t="s">
        <v>75</v>
      </c>
      <c r="K340" t="s">
        <v>77</v>
      </c>
      <c r="M340" t="b">
        <v>0</v>
      </c>
      <c r="N340" t="s">
        <v>192</v>
      </c>
      <c r="O340" t="s">
        <v>88</v>
      </c>
      <c r="Q340">
        <v>180.44</v>
      </c>
      <c r="R340">
        <v>7.7</v>
      </c>
      <c r="S340" t="s">
        <v>81</v>
      </c>
      <c r="T340">
        <v>28.1</v>
      </c>
      <c r="V340">
        <v>113</v>
      </c>
      <c r="W340">
        <v>69.400000000000006</v>
      </c>
      <c r="X340">
        <v>11.2</v>
      </c>
      <c r="Y340">
        <v>49.7</v>
      </c>
      <c r="Z340">
        <v>1366417754</v>
      </c>
      <c r="AA340">
        <v>20.593684</v>
      </c>
      <c r="AB340">
        <v>78.962879999999998</v>
      </c>
    </row>
    <row r="341" spans="1:28" hidden="1">
      <c r="A341">
        <v>332</v>
      </c>
      <c r="B341">
        <v>7000</v>
      </c>
      <c r="C341" t="s">
        <v>75</v>
      </c>
      <c r="D341" t="s">
        <v>944</v>
      </c>
      <c r="E341">
        <v>58</v>
      </c>
      <c r="G341" t="s">
        <v>77</v>
      </c>
      <c r="H341" t="s">
        <v>78</v>
      </c>
      <c r="I341" t="s">
        <v>75</v>
      </c>
      <c r="J341" t="s">
        <v>75</v>
      </c>
      <c r="K341" t="s">
        <v>945</v>
      </c>
      <c r="M341" t="b">
        <v>0</v>
      </c>
      <c r="N341" t="s">
        <v>192</v>
      </c>
      <c r="O341" t="s">
        <v>33</v>
      </c>
      <c r="Q341">
        <v>180.44</v>
      </c>
      <c r="R341">
        <v>7.7</v>
      </c>
      <c r="S341" t="s">
        <v>81</v>
      </c>
      <c r="T341">
        <v>28.1</v>
      </c>
      <c r="V341">
        <v>113</v>
      </c>
      <c r="W341">
        <v>69.400000000000006</v>
      </c>
      <c r="X341">
        <v>11.2</v>
      </c>
      <c r="Y341">
        <v>49.7</v>
      </c>
      <c r="Z341">
        <v>1366417754</v>
      </c>
      <c r="AA341">
        <v>20.593684</v>
      </c>
      <c r="AB341">
        <v>78.962879999999998</v>
      </c>
    </row>
    <row r="342" spans="1:28">
      <c r="A342">
        <v>332</v>
      </c>
      <c r="B342">
        <v>7000</v>
      </c>
      <c r="C342" t="s">
        <v>101</v>
      </c>
      <c r="D342" t="s">
        <v>946</v>
      </c>
      <c r="E342">
        <v>69</v>
      </c>
      <c r="F342" t="str">
        <f>IF(E342&gt;=90,"90-100",IF(E342&gt;=80,"80-90",IF(E342&gt;=70,"70-80",IF(E342&gt;=60,"60-70",IF(E342&gt;=50,"50-60",IF(E342&gt;=40,"40-50",IF(E342&gt;=30,"30-40","20-30")))))))</f>
        <v>60-70</v>
      </c>
      <c r="G342" t="s">
        <v>38</v>
      </c>
      <c r="H342" t="s">
        <v>947</v>
      </c>
      <c r="I342" t="s">
        <v>948</v>
      </c>
      <c r="J342" t="s">
        <v>101</v>
      </c>
      <c r="K342" t="s">
        <v>38</v>
      </c>
      <c r="L342" t="s">
        <v>949</v>
      </c>
      <c r="M342" t="b">
        <v>1</v>
      </c>
      <c r="N342" t="s">
        <v>42</v>
      </c>
      <c r="O342" t="s">
        <v>4867</v>
      </c>
      <c r="P342" t="s">
        <v>950</v>
      </c>
      <c r="Q342">
        <v>117.24</v>
      </c>
      <c r="R342">
        <v>7.5</v>
      </c>
      <c r="S342" t="s">
        <v>44</v>
      </c>
      <c r="T342">
        <v>88.2</v>
      </c>
      <c r="U342" t="str">
        <f t="shared" ref="U342:U343" si="24">IF(T342&gt;=100,"above 100",IF(T342&gt;=80,"80-100",IF(T342&gt;=60,"60-80",IF(T342&gt;=40,"40-60",IF(T342&gt;=20,"20-60","0-20")))))</f>
        <v>80-100</v>
      </c>
      <c r="V342">
        <v>101.8</v>
      </c>
      <c r="W342">
        <v>78.5</v>
      </c>
      <c r="X342">
        <v>9.6</v>
      </c>
      <c r="Y342">
        <v>36.6</v>
      </c>
      <c r="Z342">
        <v>328239523</v>
      </c>
      <c r="AA342">
        <v>37.090240000000001</v>
      </c>
      <c r="AB342">
        <v>-95.712890999999999</v>
      </c>
    </row>
    <row r="343" spans="1:28">
      <c r="A343">
        <v>332</v>
      </c>
      <c r="B343">
        <v>7000</v>
      </c>
      <c r="C343" t="s">
        <v>101</v>
      </c>
      <c r="D343" t="s">
        <v>951</v>
      </c>
      <c r="E343">
        <v>67</v>
      </c>
      <c r="F343" t="str">
        <f>IF(E343&gt;=90,"90-100",IF(E343&gt;=80,"80-90",IF(E343&gt;=70,"70-80",IF(E343&gt;=60,"60-70",IF(E343&gt;=50,"50-60",IF(E343&gt;=40,"40-50",IF(E343&gt;=30,"30-40","20-30")))))))</f>
        <v>60-70</v>
      </c>
      <c r="G343" t="s">
        <v>38</v>
      </c>
      <c r="H343" t="s">
        <v>257</v>
      </c>
      <c r="I343" t="s">
        <v>948</v>
      </c>
      <c r="J343" t="s">
        <v>101</v>
      </c>
      <c r="K343" t="s">
        <v>38</v>
      </c>
      <c r="L343" t="s">
        <v>949</v>
      </c>
      <c r="M343" t="b">
        <v>1</v>
      </c>
      <c r="N343" t="s">
        <v>42</v>
      </c>
      <c r="O343" t="s">
        <v>4867</v>
      </c>
      <c r="P343" t="s">
        <v>950</v>
      </c>
      <c r="Q343">
        <v>117.24</v>
      </c>
      <c r="R343">
        <v>7.5</v>
      </c>
      <c r="S343" t="s">
        <v>44</v>
      </c>
      <c r="T343">
        <v>88.2</v>
      </c>
      <c r="U343" t="str">
        <f t="shared" si="24"/>
        <v>80-100</v>
      </c>
      <c r="V343">
        <v>101.8</v>
      </c>
      <c r="W343">
        <v>78.5</v>
      </c>
      <c r="X343">
        <v>9.6</v>
      </c>
      <c r="Y343">
        <v>36.6</v>
      </c>
      <c r="Z343">
        <v>328239523</v>
      </c>
      <c r="AA343">
        <v>37.090240000000001</v>
      </c>
      <c r="AB343">
        <v>-95.712890999999999</v>
      </c>
    </row>
    <row r="344" spans="1:28" hidden="1">
      <c r="A344">
        <v>332</v>
      </c>
      <c r="B344">
        <v>7000</v>
      </c>
      <c r="C344" t="s">
        <v>101</v>
      </c>
      <c r="D344" t="s">
        <v>952</v>
      </c>
      <c r="E344">
        <v>71</v>
      </c>
      <c r="G344" t="s">
        <v>38</v>
      </c>
      <c r="H344" t="s">
        <v>953</v>
      </c>
      <c r="I344" t="s">
        <v>913</v>
      </c>
      <c r="J344" t="s">
        <v>101</v>
      </c>
      <c r="K344" t="s">
        <v>38</v>
      </c>
      <c r="M344" t="b">
        <v>1</v>
      </c>
      <c r="N344" t="s">
        <v>32</v>
      </c>
      <c r="O344" t="s">
        <v>33</v>
      </c>
      <c r="Q344">
        <v>117.24</v>
      </c>
      <c r="R344">
        <v>7.5</v>
      </c>
      <c r="S344" t="s">
        <v>44</v>
      </c>
      <c r="T344">
        <v>88.2</v>
      </c>
      <c r="V344">
        <v>101.8</v>
      </c>
      <c r="W344">
        <v>78.5</v>
      </c>
      <c r="X344">
        <v>9.6</v>
      </c>
      <c r="Y344">
        <v>36.6</v>
      </c>
      <c r="Z344">
        <v>328239523</v>
      </c>
      <c r="AA344">
        <v>37.090240000000001</v>
      </c>
      <c r="AB344">
        <v>-95.712890999999999</v>
      </c>
    </row>
    <row r="345" spans="1:28" hidden="1">
      <c r="A345">
        <v>344</v>
      </c>
      <c r="B345">
        <v>6900</v>
      </c>
      <c r="C345" t="s">
        <v>75</v>
      </c>
      <c r="D345" t="s">
        <v>954</v>
      </c>
      <c r="E345">
        <v>62</v>
      </c>
      <c r="G345" t="s">
        <v>70</v>
      </c>
      <c r="I345" t="s">
        <v>75</v>
      </c>
      <c r="J345" t="s">
        <v>75</v>
      </c>
      <c r="K345" t="s">
        <v>70</v>
      </c>
      <c r="M345" t="b">
        <v>0</v>
      </c>
      <c r="N345" t="s">
        <v>32</v>
      </c>
      <c r="O345" t="s">
        <v>33</v>
      </c>
      <c r="Q345">
        <v>141.54</v>
      </c>
      <c r="R345">
        <v>3.6</v>
      </c>
      <c r="S345" t="s">
        <v>74</v>
      </c>
      <c r="T345">
        <v>40.200000000000003</v>
      </c>
      <c r="V345">
        <v>105.8</v>
      </c>
      <c r="W345">
        <v>75</v>
      </c>
      <c r="X345">
        <v>13.1</v>
      </c>
      <c r="Y345">
        <v>55.1</v>
      </c>
      <c r="Z345">
        <v>126014024</v>
      </c>
      <c r="AA345">
        <v>23.634501</v>
      </c>
      <c r="AB345">
        <v>-102.552784</v>
      </c>
    </row>
    <row r="346" spans="1:28" hidden="1">
      <c r="A346">
        <v>344</v>
      </c>
      <c r="B346">
        <v>6900</v>
      </c>
      <c r="C346" t="s">
        <v>75</v>
      </c>
      <c r="D346" t="s">
        <v>955</v>
      </c>
      <c r="E346">
        <v>87</v>
      </c>
      <c r="G346" t="s">
        <v>38</v>
      </c>
      <c r="H346" t="s">
        <v>635</v>
      </c>
      <c r="I346" t="s">
        <v>956</v>
      </c>
      <c r="J346" t="s">
        <v>75</v>
      </c>
      <c r="K346" t="s">
        <v>38</v>
      </c>
      <c r="M346" t="b">
        <v>0</v>
      </c>
      <c r="N346" t="s">
        <v>419</v>
      </c>
      <c r="O346" t="s">
        <v>88</v>
      </c>
      <c r="Q346">
        <v>117.24</v>
      </c>
      <c r="R346">
        <v>7.5</v>
      </c>
      <c r="S346" t="s">
        <v>44</v>
      </c>
      <c r="T346">
        <v>88.2</v>
      </c>
      <c r="V346">
        <v>101.8</v>
      </c>
      <c r="W346">
        <v>78.5</v>
      </c>
      <c r="X346">
        <v>9.6</v>
      </c>
      <c r="Y346">
        <v>36.6</v>
      </c>
      <c r="Z346">
        <v>328239523</v>
      </c>
      <c r="AA346">
        <v>37.090240000000001</v>
      </c>
      <c r="AB346">
        <v>-95.712890999999999</v>
      </c>
    </row>
    <row r="347" spans="1:28" hidden="1">
      <c r="A347">
        <v>344</v>
      </c>
      <c r="B347">
        <v>6900</v>
      </c>
      <c r="C347" t="s">
        <v>101</v>
      </c>
      <c r="D347" t="s">
        <v>957</v>
      </c>
      <c r="E347">
        <v>89</v>
      </c>
      <c r="G347" t="s">
        <v>38</v>
      </c>
      <c r="H347" t="s">
        <v>958</v>
      </c>
      <c r="I347" t="s">
        <v>959</v>
      </c>
      <c r="J347" t="s">
        <v>101</v>
      </c>
      <c r="K347" t="s">
        <v>38</v>
      </c>
      <c r="M347" t="b">
        <v>0</v>
      </c>
      <c r="N347" t="s">
        <v>42</v>
      </c>
      <c r="O347" t="s">
        <v>88</v>
      </c>
      <c r="Q347">
        <v>117.24</v>
      </c>
      <c r="R347">
        <v>7.5</v>
      </c>
      <c r="S347" t="s">
        <v>44</v>
      </c>
      <c r="T347">
        <v>88.2</v>
      </c>
      <c r="V347">
        <v>101.8</v>
      </c>
      <c r="W347">
        <v>78.5</v>
      </c>
      <c r="X347">
        <v>9.6</v>
      </c>
      <c r="Y347">
        <v>36.6</v>
      </c>
      <c r="Z347">
        <v>328239523</v>
      </c>
      <c r="AA347">
        <v>37.090240000000001</v>
      </c>
      <c r="AB347">
        <v>-95.712890999999999</v>
      </c>
    </row>
    <row r="348" spans="1:28">
      <c r="A348">
        <v>344</v>
      </c>
      <c r="B348">
        <v>6900</v>
      </c>
      <c r="C348" t="s">
        <v>54</v>
      </c>
      <c r="D348" t="s">
        <v>960</v>
      </c>
      <c r="E348">
        <v>55</v>
      </c>
      <c r="F348" t="str">
        <f>IF(E348&gt;=90,"90-100",IF(E348&gt;=80,"80-90",IF(E348&gt;=70,"70-80",IF(E348&gt;=60,"60-70",IF(E348&gt;=50,"50-60",IF(E348&gt;=40,"40-50",IF(E348&gt;=30,"30-40","20-30")))))))</f>
        <v>50-60</v>
      </c>
      <c r="G348" t="s">
        <v>38</v>
      </c>
      <c r="H348" t="s">
        <v>65</v>
      </c>
      <c r="I348" t="s">
        <v>961</v>
      </c>
      <c r="J348" t="s">
        <v>54</v>
      </c>
      <c r="K348" t="s">
        <v>38</v>
      </c>
      <c r="L348" t="s">
        <v>962</v>
      </c>
      <c r="M348" t="b">
        <v>1</v>
      </c>
      <c r="N348" t="s">
        <v>32</v>
      </c>
      <c r="O348" t="s">
        <v>4867</v>
      </c>
      <c r="P348" t="s">
        <v>146</v>
      </c>
      <c r="Q348">
        <v>117.24</v>
      </c>
      <c r="R348">
        <v>7.5</v>
      </c>
      <c r="S348" t="s">
        <v>44</v>
      </c>
      <c r="T348">
        <v>88.2</v>
      </c>
      <c r="U348" t="str">
        <f>IF(T348&gt;=100,"above 100",IF(T348&gt;=80,"80-100",IF(T348&gt;=60,"60-80",IF(T348&gt;=40,"40-60",IF(T348&gt;=20,"20-60","0-20")))))</f>
        <v>80-100</v>
      </c>
      <c r="V348">
        <v>101.8</v>
      </c>
      <c r="W348">
        <v>78.5</v>
      </c>
      <c r="X348">
        <v>9.6</v>
      </c>
      <c r="Y348">
        <v>36.6</v>
      </c>
      <c r="Z348">
        <v>328239523</v>
      </c>
      <c r="AA348">
        <v>37.090240000000001</v>
      </c>
      <c r="AB348">
        <v>-95.712890999999999</v>
      </c>
    </row>
    <row r="349" spans="1:28" hidden="1">
      <c r="A349">
        <v>344</v>
      </c>
      <c r="B349">
        <v>6900</v>
      </c>
      <c r="C349" t="s">
        <v>45</v>
      </c>
      <c r="D349" t="s">
        <v>963</v>
      </c>
      <c r="E349">
        <v>58</v>
      </c>
      <c r="G349" t="s">
        <v>103</v>
      </c>
      <c r="H349" t="s">
        <v>964</v>
      </c>
      <c r="I349" t="s">
        <v>965</v>
      </c>
      <c r="J349" t="s">
        <v>45</v>
      </c>
      <c r="K349" t="s">
        <v>103</v>
      </c>
      <c r="M349" t="b">
        <v>1</v>
      </c>
      <c r="N349" t="s">
        <v>42</v>
      </c>
      <c r="O349" t="s">
        <v>33</v>
      </c>
      <c r="Q349">
        <v>125.08</v>
      </c>
      <c r="R349">
        <v>2.9</v>
      </c>
      <c r="S349" t="s">
        <v>106</v>
      </c>
      <c r="T349">
        <v>50.6</v>
      </c>
      <c r="V349">
        <v>100.2</v>
      </c>
      <c r="W349">
        <v>77</v>
      </c>
      <c r="X349">
        <v>9.4</v>
      </c>
      <c r="Y349">
        <v>59.2</v>
      </c>
      <c r="Z349">
        <v>1397715000</v>
      </c>
      <c r="AA349">
        <v>35.861660000000001</v>
      </c>
      <c r="AB349">
        <v>104.195397</v>
      </c>
    </row>
    <row r="350" spans="1:28" hidden="1">
      <c r="A350">
        <v>344</v>
      </c>
      <c r="B350">
        <v>6900</v>
      </c>
      <c r="C350" t="s">
        <v>221</v>
      </c>
      <c r="D350" t="s">
        <v>966</v>
      </c>
      <c r="E350">
        <v>80</v>
      </c>
      <c r="G350" t="s">
        <v>38</v>
      </c>
      <c r="H350" t="s">
        <v>967</v>
      </c>
      <c r="I350" t="s">
        <v>223</v>
      </c>
      <c r="J350" t="s">
        <v>221</v>
      </c>
      <c r="K350" t="s">
        <v>38</v>
      </c>
      <c r="M350" t="b">
        <v>1</v>
      </c>
      <c r="N350" t="s">
        <v>32</v>
      </c>
      <c r="O350" t="s">
        <v>33</v>
      </c>
      <c r="Q350">
        <v>117.24</v>
      </c>
      <c r="R350">
        <v>7.5</v>
      </c>
      <c r="S350" t="s">
        <v>44</v>
      </c>
      <c r="T350">
        <v>88.2</v>
      </c>
      <c r="V350">
        <v>101.8</v>
      </c>
      <c r="W350">
        <v>78.5</v>
      </c>
      <c r="X350">
        <v>9.6</v>
      </c>
      <c r="Y350">
        <v>36.6</v>
      </c>
      <c r="Z350">
        <v>328239523</v>
      </c>
      <c r="AA350">
        <v>37.090240000000001</v>
      </c>
      <c r="AB350">
        <v>-95.712890999999999</v>
      </c>
    </row>
    <row r="351" spans="1:28" hidden="1">
      <c r="A351">
        <v>344</v>
      </c>
      <c r="B351">
        <v>6900</v>
      </c>
      <c r="C351" t="s">
        <v>26</v>
      </c>
      <c r="D351" t="s">
        <v>968</v>
      </c>
      <c r="E351">
        <v>54</v>
      </c>
      <c r="G351" t="s">
        <v>95</v>
      </c>
      <c r="H351" t="s">
        <v>96</v>
      </c>
      <c r="I351" t="s">
        <v>97</v>
      </c>
      <c r="J351" t="s">
        <v>26</v>
      </c>
      <c r="K351" t="s">
        <v>95</v>
      </c>
      <c r="M351" t="b">
        <v>0</v>
      </c>
      <c r="N351" t="s">
        <v>32</v>
      </c>
      <c r="O351" t="s">
        <v>88</v>
      </c>
      <c r="Q351">
        <v>110.96</v>
      </c>
      <c r="R351">
        <v>0.7</v>
      </c>
      <c r="S351" t="s">
        <v>98</v>
      </c>
      <c r="T351">
        <v>88.9</v>
      </c>
      <c r="V351">
        <v>102.7</v>
      </c>
      <c r="W351">
        <v>83.3</v>
      </c>
      <c r="X351">
        <v>14.2</v>
      </c>
      <c r="Y351">
        <v>47</v>
      </c>
      <c r="Z351">
        <v>47076781</v>
      </c>
      <c r="AA351">
        <v>40.463667000000001</v>
      </c>
      <c r="AB351">
        <v>-3.7492200000000002</v>
      </c>
    </row>
    <row r="352" spans="1:28" hidden="1">
      <c r="A352">
        <v>344</v>
      </c>
      <c r="B352">
        <v>6900</v>
      </c>
      <c r="C352" t="s">
        <v>288</v>
      </c>
      <c r="D352" t="s">
        <v>969</v>
      </c>
      <c r="E352">
        <v>68</v>
      </c>
      <c r="G352" t="s">
        <v>38</v>
      </c>
      <c r="H352" t="s">
        <v>970</v>
      </c>
      <c r="I352" t="s">
        <v>971</v>
      </c>
      <c r="J352" t="s">
        <v>288</v>
      </c>
      <c r="K352" t="s">
        <v>38</v>
      </c>
      <c r="M352" t="b">
        <v>0</v>
      </c>
      <c r="N352" t="s">
        <v>32</v>
      </c>
      <c r="O352" t="s">
        <v>88</v>
      </c>
      <c r="Q352">
        <v>117.24</v>
      </c>
      <c r="R352">
        <v>7.5</v>
      </c>
      <c r="S352" t="s">
        <v>44</v>
      </c>
      <c r="T352">
        <v>88.2</v>
      </c>
      <c r="V352">
        <v>101.8</v>
      </c>
      <c r="W352">
        <v>78.5</v>
      </c>
      <c r="X352">
        <v>9.6</v>
      </c>
      <c r="Y352">
        <v>36.6</v>
      </c>
      <c r="Z352">
        <v>328239523</v>
      </c>
      <c r="AA352">
        <v>37.090240000000001</v>
      </c>
      <c r="AB352">
        <v>-95.712890999999999</v>
      </c>
    </row>
    <row r="353" spans="1:28" hidden="1">
      <c r="A353">
        <v>352</v>
      </c>
      <c r="B353">
        <v>6800</v>
      </c>
      <c r="C353" t="s">
        <v>250</v>
      </c>
      <c r="D353" t="s">
        <v>972</v>
      </c>
      <c r="E353">
        <v>59</v>
      </c>
      <c r="G353" t="s">
        <v>38</v>
      </c>
      <c r="H353" t="s">
        <v>581</v>
      </c>
      <c r="I353" t="s">
        <v>906</v>
      </c>
      <c r="J353" t="s">
        <v>250</v>
      </c>
      <c r="K353" t="s">
        <v>38</v>
      </c>
      <c r="M353" t="b">
        <v>0</v>
      </c>
      <c r="N353" t="s">
        <v>32</v>
      </c>
      <c r="O353" t="s">
        <v>88</v>
      </c>
      <c r="Q353">
        <v>117.24</v>
      </c>
      <c r="R353">
        <v>7.5</v>
      </c>
      <c r="S353" t="s">
        <v>44</v>
      </c>
      <c r="T353">
        <v>88.2</v>
      </c>
      <c r="V353">
        <v>101.8</v>
      </c>
      <c r="W353">
        <v>78.5</v>
      </c>
      <c r="X353">
        <v>9.6</v>
      </c>
      <c r="Y353">
        <v>36.6</v>
      </c>
      <c r="Z353">
        <v>328239523</v>
      </c>
      <c r="AA353">
        <v>37.090240000000001</v>
      </c>
      <c r="AB353">
        <v>-95.712890999999999</v>
      </c>
    </row>
    <row r="354" spans="1:28" hidden="1">
      <c r="A354">
        <v>352</v>
      </c>
      <c r="B354">
        <v>6800</v>
      </c>
      <c r="C354" t="s">
        <v>75</v>
      </c>
      <c r="D354" t="s">
        <v>973</v>
      </c>
      <c r="E354">
        <v>86</v>
      </c>
      <c r="G354" t="s">
        <v>164</v>
      </c>
      <c r="H354" t="s">
        <v>538</v>
      </c>
      <c r="I354" t="s">
        <v>129</v>
      </c>
      <c r="J354" t="s">
        <v>75</v>
      </c>
      <c r="K354" t="s">
        <v>164</v>
      </c>
      <c r="M354" t="b">
        <v>1</v>
      </c>
      <c r="N354" t="s">
        <v>42</v>
      </c>
      <c r="O354" t="s">
        <v>33</v>
      </c>
      <c r="Q354">
        <v>110.62</v>
      </c>
      <c r="R354">
        <v>0.6</v>
      </c>
      <c r="S354" t="s">
        <v>539</v>
      </c>
      <c r="T354">
        <v>61.9</v>
      </c>
      <c r="V354">
        <v>101.9</v>
      </c>
      <c r="W354">
        <v>82.9</v>
      </c>
      <c r="X354">
        <v>24.3</v>
      </c>
      <c r="Y354">
        <v>59.1</v>
      </c>
      <c r="Z354">
        <v>60297396</v>
      </c>
      <c r="AA354">
        <v>41.871940000000002</v>
      </c>
      <c r="AB354">
        <v>12.56738</v>
      </c>
    </row>
    <row r="355" spans="1:28" hidden="1">
      <c r="A355">
        <v>352</v>
      </c>
      <c r="B355">
        <v>6800</v>
      </c>
      <c r="C355" t="s">
        <v>179</v>
      </c>
      <c r="D355" t="s">
        <v>974</v>
      </c>
      <c r="E355">
        <v>55</v>
      </c>
      <c r="G355" t="s">
        <v>203</v>
      </c>
      <c r="H355" t="s">
        <v>975</v>
      </c>
      <c r="I355" t="s">
        <v>976</v>
      </c>
      <c r="J355" t="s">
        <v>179</v>
      </c>
      <c r="K355" t="s">
        <v>203</v>
      </c>
      <c r="M355" t="b">
        <v>1</v>
      </c>
      <c r="N355" t="s">
        <v>32</v>
      </c>
      <c r="O355" t="s">
        <v>88</v>
      </c>
      <c r="Q355">
        <v>119.62</v>
      </c>
      <c r="R355">
        <v>1.7</v>
      </c>
      <c r="S355" t="s">
        <v>206</v>
      </c>
      <c r="T355">
        <v>60</v>
      </c>
      <c r="V355">
        <v>101.2</v>
      </c>
      <c r="W355">
        <v>81.3</v>
      </c>
      <c r="X355">
        <v>25.5</v>
      </c>
      <c r="Y355">
        <v>30.6</v>
      </c>
      <c r="Z355">
        <v>66834405</v>
      </c>
      <c r="AA355">
        <v>55.378050999999999</v>
      </c>
      <c r="AB355">
        <v>-3.4359730000000002</v>
      </c>
    </row>
    <row r="356" spans="1:28" hidden="1">
      <c r="A356">
        <v>352</v>
      </c>
      <c r="B356">
        <v>6800</v>
      </c>
      <c r="C356" t="s">
        <v>250</v>
      </c>
      <c r="D356" t="s">
        <v>977</v>
      </c>
      <c r="E356">
        <v>40</v>
      </c>
      <c r="G356" t="s">
        <v>38</v>
      </c>
      <c r="H356" t="s">
        <v>581</v>
      </c>
      <c r="I356" t="s">
        <v>906</v>
      </c>
      <c r="J356" t="s">
        <v>250</v>
      </c>
      <c r="K356" t="s">
        <v>38</v>
      </c>
      <c r="M356" t="b">
        <v>0</v>
      </c>
      <c r="N356" t="s">
        <v>32</v>
      </c>
      <c r="O356" t="s">
        <v>33</v>
      </c>
      <c r="Q356">
        <v>117.24</v>
      </c>
      <c r="R356">
        <v>7.5</v>
      </c>
      <c r="S356" t="s">
        <v>44</v>
      </c>
      <c r="T356">
        <v>88.2</v>
      </c>
      <c r="V356">
        <v>101.8</v>
      </c>
      <c r="W356">
        <v>78.5</v>
      </c>
      <c r="X356">
        <v>9.6</v>
      </c>
      <c r="Y356">
        <v>36.6</v>
      </c>
      <c r="Z356">
        <v>328239523</v>
      </c>
      <c r="AA356">
        <v>37.090240000000001</v>
      </c>
      <c r="AB356">
        <v>-95.712890999999999</v>
      </c>
    </row>
    <row r="357" spans="1:28" hidden="1">
      <c r="A357">
        <v>352</v>
      </c>
      <c r="B357">
        <v>6800</v>
      </c>
      <c r="C357" t="s">
        <v>250</v>
      </c>
      <c r="D357" t="s">
        <v>978</v>
      </c>
      <c r="E357">
        <v>53</v>
      </c>
      <c r="G357" t="s">
        <v>38</v>
      </c>
      <c r="H357" t="s">
        <v>581</v>
      </c>
      <c r="I357" t="s">
        <v>906</v>
      </c>
      <c r="J357" t="s">
        <v>250</v>
      </c>
      <c r="K357" t="s">
        <v>38</v>
      </c>
      <c r="M357" t="b">
        <v>0</v>
      </c>
      <c r="N357" t="s">
        <v>32</v>
      </c>
      <c r="O357" t="s">
        <v>88</v>
      </c>
      <c r="Q357">
        <v>117.24</v>
      </c>
      <c r="R357">
        <v>7.5</v>
      </c>
      <c r="S357" t="s">
        <v>44</v>
      </c>
      <c r="T357">
        <v>88.2</v>
      </c>
      <c r="V357">
        <v>101.8</v>
      </c>
      <c r="W357">
        <v>78.5</v>
      </c>
      <c r="X357">
        <v>9.6</v>
      </c>
      <c r="Y357">
        <v>36.6</v>
      </c>
      <c r="Z357">
        <v>328239523</v>
      </c>
      <c r="AA357">
        <v>37.090240000000001</v>
      </c>
      <c r="AB357">
        <v>-95.712890999999999</v>
      </c>
    </row>
    <row r="358" spans="1:28" hidden="1">
      <c r="A358">
        <v>352</v>
      </c>
      <c r="B358">
        <v>6800</v>
      </c>
      <c r="C358" t="s">
        <v>54</v>
      </c>
      <c r="D358" t="s">
        <v>979</v>
      </c>
      <c r="E358">
        <v>58</v>
      </c>
      <c r="G358" t="s">
        <v>38</v>
      </c>
      <c r="H358" t="s">
        <v>980</v>
      </c>
      <c r="I358" t="s">
        <v>302</v>
      </c>
      <c r="J358" t="s">
        <v>54</v>
      </c>
      <c r="K358" t="s">
        <v>38</v>
      </c>
      <c r="M358" t="b">
        <v>0</v>
      </c>
      <c r="N358" t="s">
        <v>32</v>
      </c>
      <c r="O358" t="s">
        <v>33</v>
      </c>
      <c r="Q358">
        <v>117.24</v>
      </c>
      <c r="R358">
        <v>7.5</v>
      </c>
      <c r="S358" t="s">
        <v>44</v>
      </c>
      <c r="T358">
        <v>88.2</v>
      </c>
      <c r="V358">
        <v>101.8</v>
      </c>
      <c r="W358">
        <v>78.5</v>
      </c>
      <c r="X358">
        <v>9.6</v>
      </c>
      <c r="Y358">
        <v>36.6</v>
      </c>
      <c r="Z358">
        <v>328239523</v>
      </c>
      <c r="AA358">
        <v>37.090240000000001</v>
      </c>
      <c r="AB358">
        <v>-95.712890999999999</v>
      </c>
    </row>
    <row r="359" spans="1:28">
      <c r="A359">
        <v>352</v>
      </c>
      <c r="B359">
        <v>6800</v>
      </c>
      <c r="C359" t="s">
        <v>54</v>
      </c>
      <c r="D359" t="s">
        <v>981</v>
      </c>
      <c r="E359">
        <v>61</v>
      </c>
      <c r="F359" t="str">
        <f>IF(E359&gt;=90,"90-100",IF(E359&gt;=80,"80-90",IF(E359&gt;=70,"70-80",IF(E359&gt;=60,"60-70",IF(E359&gt;=50,"50-60",IF(E359&gt;=40,"40-50",IF(E359&gt;=30,"30-40","20-30")))))))</f>
        <v>60-70</v>
      </c>
      <c r="G359" t="s">
        <v>38</v>
      </c>
      <c r="H359" t="s">
        <v>100</v>
      </c>
      <c r="I359" t="s">
        <v>982</v>
      </c>
      <c r="J359" t="s">
        <v>54</v>
      </c>
      <c r="K359" t="s">
        <v>342</v>
      </c>
      <c r="L359" t="s">
        <v>983</v>
      </c>
      <c r="M359" t="b">
        <v>1</v>
      </c>
      <c r="N359" t="s">
        <v>42</v>
      </c>
      <c r="O359" t="s">
        <v>4867</v>
      </c>
      <c r="P359" t="s">
        <v>468</v>
      </c>
      <c r="Q359">
        <v>117.24</v>
      </c>
      <c r="R359">
        <v>7.5</v>
      </c>
      <c r="S359" t="s">
        <v>44</v>
      </c>
      <c r="T359">
        <v>88.2</v>
      </c>
      <c r="U359" t="str">
        <f t="shared" ref="U359:U362" si="25">IF(T359&gt;=100,"above 100",IF(T359&gt;=80,"80-100",IF(T359&gt;=60,"60-80",IF(T359&gt;=40,"40-60",IF(T359&gt;=20,"20-60","0-20")))))</f>
        <v>80-100</v>
      </c>
      <c r="V359">
        <v>101.8</v>
      </c>
      <c r="W359">
        <v>78.5</v>
      </c>
      <c r="X359">
        <v>9.6</v>
      </c>
      <c r="Y359">
        <v>36.6</v>
      </c>
      <c r="Z359">
        <v>328239523</v>
      </c>
      <c r="AA359">
        <v>37.090240000000001</v>
      </c>
      <c r="AB359">
        <v>-95.712890999999999</v>
      </c>
    </row>
    <row r="360" spans="1:28">
      <c r="A360">
        <v>352</v>
      </c>
      <c r="B360">
        <v>6800</v>
      </c>
      <c r="C360" t="s">
        <v>45</v>
      </c>
      <c r="D360" t="s">
        <v>984</v>
      </c>
      <c r="E360">
        <v>94</v>
      </c>
      <c r="F360" t="str">
        <f>IF(E360&gt;=90,"90-100",IF(E360&gt;=80,"80-90",IF(E360&gt;=70,"70-80",IF(E360&gt;=60,"60-70",IF(E360&gt;=50,"50-60",IF(E360&gt;=40,"40-50",IF(E360&gt;=30,"30-40","20-30")))))))</f>
        <v>90-100</v>
      </c>
      <c r="G360" t="s">
        <v>38</v>
      </c>
      <c r="H360" t="s">
        <v>672</v>
      </c>
      <c r="I360" t="s">
        <v>985</v>
      </c>
      <c r="J360" t="s">
        <v>45</v>
      </c>
      <c r="K360" t="s">
        <v>38</v>
      </c>
      <c r="L360" t="s">
        <v>986</v>
      </c>
      <c r="M360" t="b">
        <v>1</v>
      </c>
      <c r="N360" t="s">
        <v>42</v>
      </c>
      <c r="O360" t="s">
        <v>4867</v>
      </c>
      <c r="P360" t="s">
        <v>987</v>
      </c>
      <c r="Q360">
        <v>117.24</v>
      </c>
      <c r="R360">
        <v>7.5</v>
      </c>
      <c r="S360" t="s">
        <v>44</v>
      </c>
      <c r="T360">
        <v>88.2</v>
      </c>
      <c r="U360" t="str">
        <f t="shared" si="25"/>
        <v>80-100</v>
      </c>
      <c r="V360">
        <v>101.8</v>
      </c>
      <c r="W360">
        <v>78.5</v>
      </c>
      <c r="X360">
        <v>9.6</v>
      </c>
      <c r="Y360">
        <v>36.6</v>
      </c>
      <c r="Z360">
        <v>328239523</v>
      </c>
      <c r="AA360">
        <v>37.090240000000001</v>
      </c>
      <c r="AB360">
        <v>-95.712890999999999</v>
      </c>
    </row>
    <row r="361" spans="1:28">
      <c r="A361">
        <v>352</v>
      </c>
      <c r="B361">
        <v>6800</v>
      </c>
      <c r="C361" t="s">
        <v>54</v>
      </c>
      <c r="D361" t="s">
        <v>988</v>
      </c>
      <c r="E361">
        <v>53</v>
      </c>
      <c r="F361" t="str">
        <f>IF(E361&gt;=90,"90-100",IF(E361&gt;=80,"80-90",IF(E361&gt;=70,"70-80",IF(E361&gt;=60,"60-70",IF(E361&gt;=50,"50-60",IF(E361&gt;=40,"40-50",IF(E361&gt;=30,"30-40","20-30")))))))</f>
        <v>50-60</v>
      </c>
      <c r="G361" t="s">
        <v>38</v>
      </c>
      <c r="H361" t="s">
        <v>989</v>
      </c>
      <c r="I361" t="s">
        <v>185</v>
      </c>
      <c r="J361" t="s">
        <v>54</v>
      </c>
      <c r="K361" t="s">
        <v>38</v>
      </c>
      <c r="L361" t="s">
        <v>990</v>
      </c>
      <c r="M361" t="b">
        <v>1</v>
      </c>
      <c r="N361" t="s">
        <v>32</v>
      </c>
      <c r="O361" t="s">
        <v>4867</v>
      </c>
      <c r="P361" t="s">
        <v>468</v>
      </c>
      <c r="Q361">
        <v>117.24</v>
      </c>
      <c r="R361">
        <v>7.5</v>
      </c>
      <c r="S361" t="s">
        <v>44</v>
      </c>
      <c r="T361">
        <v>88.2</v>
      </c>
      <c r="U361" t="str">
        <f t="shared" si="25"/>
        <v>80-100</v>
      </c>
      <c r="V361">
        <v>101.8</v>
      </c>
      <c r="W361">
        <v>78.5</v>
      </c>
      <c r="X361">
        <v>9.6</v>
      </c>
      <c r="Y361">
        <v>36.6</v>
      </c>
      <c r="Z361">
        <v>328239523</v>
      </c>
      <c r="AA361">
        <v>37.090240000000001</v>
      </c>
      <c r="AB361">
        <v>-95.712890999999999</v>
      </c>
    </row>
    <row r="362" spans="1:28">
      <c r="A362">
        <v>352</v>
      </c>
      <c r="B362">
        <v>6800</v>
      </c>
      <c r="C362" t="s">
        <v>54</v>
      </c>
      <c r="D362" t="s">
        <v>991</v>
      </c>
      <c r="E362">
        <v>61</v>
      </c>
      <c r="F362" t="str">
        <f>IF(E362&gt;=90,"90-100",IF(E362&gt;=80,"80-90",IF(E362&gt;=70,"70-80",IF(E362&gt;=60,"60-70",IF(E362&gt;=50,"50-60",IF(E362&gt;=40,"40-50",IF(E362&gt;=30,"30-40","20-30")))))))</f>
        <v>60-70</v>
      </c>
      <c r="G362" t="s">
        <v>38</v>
      </c>
      <c r="H362" t="s">
        <v>992</v>
      </c>
      <c r="I362" t="s">
        <v>185</v>
      </c>
      <c r="J362" t="s">
        <v>54</v>
      </c>
      <c r="K362" t="s">
        <v>38</v>
      </c>
      <c r="L362" t="s">
        <v>990</v>
      </c>
      <c r="M362" t="b">
        <v>1</v>
      </c>
      <c r="N362" t="s">
        <v>32</v>
      </c>
      <c r="O362" t="s">
        <v>4867</v>
      </c>
      <c r="P362" t="s">
        <v>468</v>
      </c>
      <c r="Q362">
        <v>117.24</v>
      </c>
      <c r="R362">
        <v>7.5</v>
      </c>
      <c r="S362" t="s">
        <v>44</v>
      </c>
      <c r="T362">
        <v>88.2</v>
      </c>
      <c r="U362" t="str">
        <f t="shared" si="25"/>
        <v>80-100</v>
      </c>
      <c r="V362">
        <v>101.8</v>
      </c>
      <c r="W362">
        <v>78.5</v>
      </c>
      <c r="X362">
        <v>9.6</v>
      </c>
      <c r="Y362">
        <v>36.6</v>
      </c>
      <c r="Z362">
        <v>328239523</v>
      </c>
      <c r="AA362">
        <v>37.090240000000001</v>
      </c>
      <c r="AB362">
        <v>-95.712890999999999</v>
      </c>
    </row>
    <row r="363" spans="1:28" hidden="1">
      <c r="A363">
        <v>352</v>
      </c>
      <c r="B363">
        <v>6800</v>
      </c>
      <c r="C363" t="s">
        <v>75</v>
      </c>
      <c r="D363" t="s">
        <v>993</v>
      </c>
      <c r="E363">
        <v>65</v>
      </c>
      <c r="G363" t="s">
        <v>263</v>
      </c>
      <c r="H363" t="s">
        <v>274</v>
      </c>
      <c r="I363" t="s">
        <v>994</v>
      </c>
      <c r="J363" t="s">
        <v>75</v>
      </c>
      <c r="K363" t="s">
        <v>263</v>
      </c>
      <c r="M363" t="b">
        <v>1</v>
      </c>
      <c r="N363" t="s">
        <v>32</v>
      </c>
      <c r="O363" t="s">
        <v>33</v>
      </c>
      <c r="Q363">
        <v>180.75</v>
      </c>
      <c r="R363">
        <v>4.5</v>
      </c>
      <c r="S363" t="s">
        <v>276</v>
      </c>
      <c r="T363">
        <v>81.900000000000006</v>
      </c>
      <c r="V363">
        <v>102.6</v>
      </c>
      <c r="W363">
        <v>72.7</v>
      </c>
      <c r="X363">
        <v>11.4</v>
      </c>
      <c r="Y363">
        <v>46.2</v>
      </c>
      <c r="Z363">
        <v>144373535</v>
      </c>
      <c r="AA363">
        <v>61.524009999999997</v>
      </c>
      <c r="AB363">
        <v>105.31875599999999</v>
      </c>
    </row>
    <row r="364" spans="1:28" hidden="1">
      <c r="A364">
        <v>352</v>
      </c>
      <c r="B364">
        <v>6800</v>
      </c>
      <c r="C364" t="s">
        <v>45</v>
      </c>
      <c r="D364" t="s">
        <v>995</v>
      </c>
      <c r="E364">
        <v>58</v>
      </c>
      <c r="G364" t="s">
        <v>103</v>
      </c>
      <c r="H364" t="s">
        <v>176</v>
      </c>
      <c r="I364" t="s">
        <v>893</v>
      </c>
      <c r="J364" t="s">
        <v>45</v>
      </c>
      <c r="K364" t="s">
        <v>172</v>
      </c>
      <c r="M364" t="b">
        <v>1</v>
      </c>
      <c r="N364" t="s">
        <v>42</v>
      </c>
      <c r="O364" t="s">
        <v>33</v>
      </c>
      <c r="Q364">
        <v>125.08</v>
      </c>
      <c r="R364">
        <v>2.9</v>
      </c>
      <c r="S364" t="s">
        <v>106</v>
      </c>
      <c r="T364">
        <v>50.6</v>
      </c>
      <c r="V364">
        <v>100.2</v>
      </c>
      <c r="W364">
        <v>77</v>
      </c>
      <c r="X364">
        <v>9.4</v>
      </c>
      <c r="Y364">
        <v>59.2</v>
      </c>
      <c r="Z364">
        <v>1397715000</v>
      </c>
      <c r="AA364">
        <v>35.861660000000001</v>
      </c>
      <c r="AB364">
        <v>104.195397</v>
      </c>
    </row>
    <row r="365" spans="1:28">
      <c r="A365">
        <v>352</v>
      </c>
      <c r="B365">
        <v>6800</v>
      </c>
      <c r="C365" t="s">
        <v>250</v>
      </c>
      <c r="D365" t="s">
        <v>996</v>
      </c>
      <c r="E365">
        <v>61</v>
      </c>
      <c r="F365" t="str">
        <f>IF(E365&gt;=90,"90-100",IF(E365&gt;=80,"80-90",IF(E365&gt;=70,"70-80",IF(E365&gt;=60,"60-70",IF(E365&gt;=50,"50-60",IF(E365&gt;=40,"40-50",IF(E365&gt;=30,"30-40","20-30")))))))</f>
        <v>60-70</v>
      </c>
      <c r="G365" t="s">
        <v>38</v>
      </c>
      <c r="H365" t="s">
        <v>581</v>
      </c>
      <c r="I365" t="s">
        <v>906</v>
      </c>
      <c r="J365" t="s">
        <v>250</v>
      </c>
      <c r="K365" t="s">
        <v>38</v>
      </c>
      <c r="L365" t="s">
        <v>997</v>
      </c>
      <c r="M365" t="b">
        <v>0</v>
      </c>
      <c r="N365" t="s">
        <v>32</v>
      </c>
      <c r="O365" t="s">
        <v>4866</v>
      </c>
      <c r="P365" t="s">
        <v>998</v>
      </c>
      <c r="Q365">
        <v>117.24</v>
      </c>
      <c r="R365">
        <v>7.5</v>
      </c>
      <c r="S365" t="s">
        <v>44</v>
      </c>
      <c r="T365">
        <v>88.2</v>
      </c>
      <c r="U365" t="str">
        <f>IF(T365&gt;=100,"above 100",IF(T365&gt;=80,"80-100",IF(T365&gt;=60,"60-80",IF(T365&gt;=40,"40-60",IF(T365&gt;=20,"20-60","0-20")))))</f>
        <v>80-100</v>
      </c>
      <c r="V365">
        <v>101.8</v>
      </c>
      <c r="W365">
        <v>78.5</v>
      </c>
      <c r="X365">
        <v>9.6</v>
      </c>
      <c r="Y365">
        <v>36.6</v>
      </c>
      <c r="Z365">
        <v>328239523</v>
      </c>
      <c r="AA365">
        <v>37.090240000000001</v>
      </c>
      <c r="AB365">
        <v>-95.712890999999999</v>
      </c>
    </row>
    <row r="366" spans="1:28" hidden="1">
      <c r="A366">
        <v>365</v>
      </c>
      <c r="B366">
        <v>6700</v>
      </c>
      <c r="C366" t="s">
        <v>54</v>
      </c>
      <c r="D366" t="s">
        <v>999</v>
      </c>
      <c r="E366">
        <v>72</v>
      </c>
      <c r="G366" t="s">
        <v>38</v>
      </c>
      <c r="H366" t="s">
        <v>480</v>
      </c>
      <c r="I366" t="s">
        <v>1000</v>
      </c>
      <c r="J366" t="s">
        <v>54</v>
      </c>
      <c r="K366" t="s">
        <v>38</v>
      </c>
      <c r="M366" t="b">
        <v>1</v>
      </c>
      <c r="N366" t="s">
        <v>32</v>
      </c>
      <c r="O366" t="s">
        <v>33</v>
      </c>
      <c r="Q366">
        <v>117.24</v>
      </c>
      <c r="R366">
        <v>7.5</v>
      </c>
      <c r="S366" t="s">
        <v>44</v>
      </c>
      <c r="T366">
        <v>88.2</v>
      </c>
      <c r="V366">
        <v>101.8</v>
      </c>
      <c r="W366">
        <v>78.5</v>
      </c>
      <c r="X366">
        <v>9.6</v>
      </c>
      <c r="Y366">
        <v>36.6</v>
      </c>
      <c r="Z366">
        <v>328239523</v>
      </c>
      <c r="AA366">
        <v>37.090240000000001</v>
      </c>
      <c r="AB366">
        <v>-95.712890999999999</v>
      </c>
    </row>
    <row r="367" spans="1:28">
      <c r="A367">
        <v>365</v>
      </c>
      <c r="B367">
        <v>6700</v>
      </c>
      <c r="C367" t="s">
        <v>54</v>
      </c>
      <c r="D367" t="s">
        <v>1001</v>
      </c>
      <c r="E367">
        <v>56</v>
      </c>
      <c r="F367" t="str">
        <f>IF(E367&gt;=90,"90-100",IF(E367&gt;=80,"80-90",IF(E367&gt;=70,"70-80",IF(E367&gt;=60,"60-70",IF(E367&gt;=50,"50-60",IF(E367&gt;=40,"40-50",IF(E367&gt;=30,"30-40","20-30")))))))</f>
        <v>50-60</v>
      </c>
      <c r="G367" t="s">
        <v>203</v>
      </c>
      <c r="H367" t="s">
        <v>204</v>
      </c>
      <c r="I367" t="s">
        <v>185</v>
      </c>
      <c r="J367" t="s">
        <v>54</v>
      </c>
      <c r="K367" t="s">
        <v>203</v>
      </c>
      <c r="L367" t="s">
        <v>1002</v>
      </c>
      <c r="M367" t="b">
        <v>1</v>
      </c>
      <c r="N367" t="s">
        <v>42</v>
      </c>
      <c r="O367" t="s">
        <v>4867</v>
      </c>
      <c r="P367" t="s">
        <v>468</v>
      </c>
      <c r="Q367">
        <v>119.62</v>
      </c>
      <c r="R367">
        <v>1.7</v>
      </c>
      <c r="S367" t="s">
        <v>206</v>
      </c>
      <c r="T367">
        <v>60</v>
      </c>
      <c r="U367" t="str">
        <f>IF(T367&gt;=100,"above 100",IF(T367&gt;=80,"80-100",IF(T367&gt;=60,"60-80",IF(T367&gt;=40,"40-60",IF(T367&gt;=20,"20-60","0-20")))))</f>
        <v>60-80</v>
      </c>
      <c r="V367">
        <v>101.2</v>
      </c>
      <c r="W367">
        <v>81.3</v>
      </c>
      <c r="X367">
        <v>25.5</v>
      </c>
      <c r="Y367">
        <v>30.6</v>
      </c>
      <c r="Z367">
        <v>66834405</v>
      </c>
      <c r="AA367">
        <v>55.378050999999999</v>
      </c>
      <c r="AB367">
        <v>-3.4359730000000002</v>
      </c>
    </row>
    <row r="368" spans="1:28" hidden="1">
      <c r="A368">
        <v>365</v>
      </c>
      <c r="B368">
        <v>6700</v>
      </c>
      <c r="C368" t="s">
        <v>217</v>
      </c>
      <c r="D368" t="s">
        <v>1003</v>
      </c>
      <c r="E368">
        <v>75</v>
      </c>
      <c r="G368" t="s">
        <v>887</v>
      </c>
      <c r="H368" t="s">
        <v>1004</v>
      </c>
      <c r="I368" t="s">
        <v>1005</v>
      </c>
      <c r="J368" t="s">
        <v>217</v>
      </c>
      <c r="K368" t="s">
        <v>887</v>
      </c>
      <c r="M368" t="b">
        <v>0</v>
      </c>
      <c r="N368" t="s">
        <v>42</v>
      </c>
      <c r="O368" t="s">
        <v>33</v>
      </c>
      <c r="Q368">
        <v>110.35</v>
      </c>
      <c r="R368">
        <v>0.8</v>
      </c>
      <c r="S368" t="s">
        <v>889</v>
      </c>
      <c r="T368">
        <v>80.599999999999994</v>
      </c>
      <c r="V368">
        <v>101.3</v>
      </c>
      <c r="W368">
        <v>81</v>
      </c>
      <c r="X368">
        <v>32.4</v>
      </c>
      <c r="Y368">
        <v>23.8</v>
      </c>
      <c r="Z368">
        <v>5818553</v>
      </c>
      <c r="AA368">
        <v>56.263919999999999</v>
      </c>
      <c r="AB368">
        <v>9.5017849999999999</v>
      </c>
    </row>
    <row r="369" spans="1:28" hidden="1">
      <c r="A369">
        <v>365</v>
      </c>
      <c r="B369">
        <v>6700</v>
      </c>
      <c r="C369" t="s">
        <v>217</v>
      </c>
      <c r="D369" t="s">
        <v>1006</v>
      </c>
      <c r="E369">
        <v>47</v>
      </c>
      <c r="G369" t="s">
        <v>887</v>
      </c>
      <c r="H369" t="s">
        <v>1004</v>
      </c>
      <c r="I369" t="s">
        <v>1005</v>
      </c>
      <c r="J369" t="s">
        <v>217</v>
      </c>
      <c r="K369" t="s">
        <v>887</v>
      </c>
      <c r="M369" t="b">
        <v>0</v>
      </c>
      <c r="N369" t="s">
        <v>42</v>
      </c>
      <c r="O369" t="s">
        <v>88</v>
      </c>
      <c r="Q369">
        <v>110.35</v>
      </c>
      <c r="R369">
        <v>0.8</v>
      </c>
      <c r="S369" t="s">
        <v>889</v>
      </c>
      <c r="T369">
        <v>80.599999999999994</v>
      </c>
      <c r="V369">
        <v>101.3</v>
      </c>
      <c r="W369">
        <v>81</v>
      </c>
      <c r="X369">
        <v>32.4</v>
      </c>
      <c r="Y369">
        <v>23.8</v>
      </c>
      <c r="Z369">
        <v>5818553</v>
      </c>
      <c r="AA369">
        <v>56.263919999999999</v>
      </c>
      <c r="AB369">
        <v>9.5017849999999999</v>
      </c>
    </row>
    <row r="370" spans="1:28" hidden="1">
      <c r="A370">
        <v>365</v>
      </c>
      <c r="B370">
        <v>6700</v>
      </c>
      <c r="C370" t="s">
        <v>217</v>
      </c>
      <c r="D370" t="s">
        <v>1007</v>
      </c>
      <c r="E370">
        <v>44</v>
      </c>
      <c r="G370" t="s">
        <v>887</v>
      </c>
      <c r="H370" t="s">
        <v>1004</v>
      </c>
      <c r="I370" t="s">
        <v>1005</v>
      </c>
      <c r="J370" t="s">
        <v>217</v>
      </c>
      <c r="K370" t="s">
        <v>887</v>
      </c>
      <c r="M370" t="b">
        <v>0</v>
      </c>
      <c r="N370" t="s">
        <v>42</v>
      </c>
      <c r="O370" t="s">
        <v>33</v>
      </c>
      <c r="Q370">
        <v>110.35</v>
      </c>
      <c r="R370">
        <v>0.8</v>
      </c>
      <c r="S370" t="s">
        <v>889</v>
      </c>
      <c r="T370">
        <v>80.599999999999994</v>
      </c>
      <c r="V370">
        <v>101.3</v>
      </c>
      <c r="W370">
        <v>81</v>
      </c>
      <c r="X370">
        <v>32.4</v>
      </c>
      <c r="Y370">
        <v>23.8</v>
      </c>
      <c r="Z370">
        <v>5818553</v>
      </c>
      <c r="AA370">
        <v>56.263919999999999</v>
      </c>
      <c r="AB370">
        <v>9.5017849999999999</v>
      </c>
    </row>
    <row r="371" spans="1:28" hidden="1">
      <c r="A371">
        <v>365</v>
      </c>
      <c r="B371">
        <v>6700</v>
      </c>
      <c r="C371" t="s">
        <v>288</v>
      </c>
      <c r="D371" t="s">
        <v>1008</v>
      </c>
      <c r="E371">
        <v>80</v>
      </c>
      <c r="G371" t="s">
        <v>164</v>
      </c>
      <c r="H371" t="s">
        <v>1009</v>
      </c>
      <c r="I371" t="s">
        <v>418</v>
      </c>
      <c r="J371" t="s">
        <v>288</v>
      </c>
      <c r="K371" t="s">
        <v>164</v>
      </c>
      <c r="M371" t="b">
        <v>0</v>
      </c>
      <c r="N371" t="s">
        <v>32</v>
      </c>
      <c r="O371" t="s">
        <v>88</v>
      </c>
      <c r="Q371">
        <v>110.62</v>
      </c>
      <c r="R371">
        <v>0.6</v>
      </c>
      <c r="S371" t="s">
        <v>539</v>
      </c>
      <c r="T371">
        <v>61.9</v>
      </c>
      <c r="V371">
        <v>101.9</v>
      </c>
      <c r="W371">
        <v>82.9</v>
      </c>
      <c r="X371">
        <v>24.3</v>
      </c>
      <c r="Y371">
        <v>59.1</v>
      </c>
      <c r="Z371">
        <v>60297396</v>
      </c>
      <c r="AA371">
        <v>41.871940000000002</v>
      </c>
      <c r="AB371">
        <v>12.56738</v>
      </c>
    </row>
    <row r="372" spans="1:28" hidden="1">
      <c r="A372">
        <v>365</v>
      </c>
      <c r="B372">
        <v>6700</v>
      </c>
      <c r="C372" t="s">
        <v>36</v>
      </c>
      <c r="D372" t="s">
        <v>1010</v>
      </c>
      <c r="E372">
        <v>55</v>
      </c>
      <c r="G372" t="s">
        <v>103</v>
      </c>
      <c r="H372" t="s">
        <v>195</v>
      </c>
      <c r="I372" t="s">
        <v>196</v>
      </c>
      <c r="J372" t="s">
        <v>36</v>
      </c>
      <c r="K372" t="s">
        <v>172</v>
      </c>
      <c r="M372" t="b">
        <v>1</v>
      </c>
      <c r="N372" t="s">
        <v>42</v>
      </c>
      <c r="O372" t="s">
        <v>33</v>
      </c>
      <c r="Q372">
        <v>125.08</v>
      </c>
      <c r="R372">
        <v>2.9</v>
      </c>
      <c r="S372" t="s">
        <v>106</v>
      </c>
      <c r="T372">
        <v>50.6</v>
      </c>
      <c r="V372">
        <v>100.2</v>
      </c>
      <c r="W372">
        <v>77</v>
      </c>
      <c r="X372">
        <v>9.4</v>
      </c>
      <c r="Y372">
        <v>59.2</v>
      </c>
      <c r="Z372">
        <v>1397715000</v>
      </c>
      <c r="AA372">
        <v>35.861660000000001</v>
      </c>
      <c r="AB372">
        <v>104.195397</v>
      </c>
    </row>
    <row r="373" spans="1:28" hidden="1">
      <c r="A373">
        <v>365</v>
      </c>
      <c r="B373">
        <v>6700</v>
      </c>
      <c r="C373" t="s">
        <v>217</v>
      </c>
      <c r="D373" t="s">
        <v>1011</v>
      </c>
      <c r="E373">
        <v>60</v>
      </c>
      <c r="G373" t="s">
        <v>103</v>
      </c>
      <c r="H373" t="s">
        <v>104</v>
      </c>
      <c r="I373" t="s">
        <v>1012</v>
      </c>
      <c r="J373" t="s">
        <v>217</v>
      </c>
      <c r="K373" t="s">
        <v>103</v>
      </c>
      <c r="M373" t="b">
        <v>1</v>
      </c>
      <c r="N373" t="s">
        <v>212</v>
      </c>
      <c r="O373" t="s">
        <v>33</v>
      </c>
      <c r="Q373">
        <v>125.08</v>
      </c>
      <c r="R373">
        <v>2.9</v>
      </c>
      <c r="S373" t="s">
        <v>106</v>
      </c>
      <c r="T373">
        <v>50.6</v>
      </c>
      <c r="V373">
        <v>100.2</v>
      </c>
      <c r="W373">
        <v>77</v>
      </c>
      <c r="X373">
        <v>9.4</v>
      </c>
      <c r="Y373">
        <v>59.2</v>
      </c>
      <c r="Z373">
        <v>1397715000</v>
      </c>
      <c r="AA373">
        <v>35.861660000000001</v>
      </c>
      <c r="AB373">
        <v>104.195397</v>
      </c>
    </row>
    <row r="374" spans="1:28" hidden="1">
      <c r="A374">
        <v>365</v>
      </c>
      <c r="B374">
        <v>6700</v>
      </c>
      <c r="C374" t="s">
        <v>217</v>
      </c>
      <c r="D374" t="s">
        <v>1013</v>
      </c>
      <c r="E374">
        <v>54</v>
      </c>
      <c r="G374" t="s">
        <v>156</v>
      </c>
      <c r="H374" t="s">
        <v>1014</v>
      </c>
      <c r="I374" t="s">
        <v>287</v>
      </c>
      <c r="J374" t="s">
        <v>217</v>
      </c>
      <c r="K374" t="s">
        <v>156</v>
      </c>
      <c r="M374" t="b">
        <v>0</v>
      </c>
      <c r="N374" t="s">
        <v>42</v>
      </c>
      <c r="O374" t="s">
        <v>88</v>
      </c>
      <c r="Q374">
        <v>99.55</v>
      </c>
      <c r="R374">
        <v>0.4</v>
      </c>
      <c r="S374" t="s">
        <v>159</v>
      </c>
      <c r="T374">
        <v>59.6</v>
      </c>
      <c r="V374">
        <v>105.2</v>
      </c>
      <c r="W374">
        <v>83.6</v>
      </c>
      <c r="X374">
        <v>10.1</v>
      </c>
      <c r="Y374">
        <v>28.8</v>
      </c>
      <c r="Z374">
        <v>8574832</v>
      </c>
      <c r="AA374">
        <v>46.818187999999999</v>
      </c>
      <c r="AB374">
        <v>8.2275120000000008</v>
      </c>
    </row>
    <row r="375" spans="1:28" hidden="1">
      <c r="A375">
        <v>365</v>
      </c>
      <c r="B375">
        <v>6700</v>
      </c>
      <c r="C375" t="s">
        <v>68</v>
      </c>
      <c r="D375" t="s">
        <v>1015</v>
      </c>
      <c r="E375">
        <v>55</v>
      </c>
      <c r="G375" t="s">
        <v>28</v>
      </c>
      <c r="H375" t="s">
        <v>29</v>
      </c>
      <c r="I375" t="s">
        <v>293</v>
      </c>
      <c r="J375" t="s">
        <v>68</v>
      </c>
      <c r="K375" t="s">
        <v>28</v>
      </c>
      <c r="M375" t="b">
        <v>1</v>
      </c>
      <c r="N375" t="s">
        <v>42</v>
      </c>
      <c r="O375" t="s">
        <v>33</v>
      </c>
      <c r="Q375">
        <v>110.05</v>
      </c>
      <c r="R375">
        <v>1.1000000000000001</v>
      </c>
      <c r="S375" t="s">
        <v>35</v>
      </c>
      <c r="T375">
        <v>65.599999999999994</v>
      </c>
      <c r="V375">
        <v>102.5</v>
      </c>
      <c r="W375">
        <v>82.5</v>
      </c>
      <c r="X375">
        <v>24.2</v>
      </c>
      <c r="Y375">
        <v>60.7</v>
      </c>
      <c r="Z375">
        <v>67059887</v>
      </c>
      <c r="AA375">
        <v>46.227637999999999</v>
      </c>
      <c r="AB375">
        <v>2.213749</v>
      </c>
    </row>
    <row r="376" spans="1:28">
      <c r="A376">
        <v>365</v>
      </c>
      <c r="B376">
        <v>6700</v>
      </c>
      <c r="C376" t="s">
        <v>250</v>
      </c>
      <c r="D376" t="s">
        <v>1016</v>
      </c>
      <c r="E376">
        <v>72</v>
      </c>
      <c r="F376" t="str">
        <f>IF(E376&gt;=90,"90-100",IF(E376&gt;=80,"80-90",IF(E376&gt;=70,"70-80",IF(E376&gt;=60,"60-70",IF(E376&gt;=50,"50-60",IF(E376&gt;=40,"40-50",IF(E376&gt;=30,"30-40","20-30")))))))</f>
        <v>70-80</v>
      </c>
      <c r="G376" t="s">
        <v>38</v>
      </c>
      <c r="H376" t="s">
        <v>1017</v>
      </c>
      <c r="I376" t="s">
        <v>1018</v>
      </c>
      <c r="J376" t="s">
        <v>250</v>
      </c>
      <c r="K376" t="s">
        <v>38</v>
      </c>
      <c r="L376" t="s">
        <v>1019</v>
      </c>
      <c r="M376" t="b">
        <v>1</v>
      </c>
      <c r="N376" t="s">
        <v>32</v>
      </c>
      <c r="O376" t="s">
        <v>4867</v>
      </c>
      <c r="P376" t="s">
        <v>85</v>
      </c>
      <c r="Q376">
        <v>117.24</v>
      </c>
      <c r="R376">
        <v>7.5</v>
      </c>
      <c r="S376" t="s">
        <v>44</v>
      </c>
      <c r="T376">
        <v>88.2</v>
      </c>
      <c r="U376" t="str">
        <f t="shared" ref="U376:U380" si="26">IF(T376&gt;=100,"above 100",IF(T376&gt;=80,"80-100",IF(T376&gt;=60,"60-80",IF(T376&gt;=40,"40-60",IF(T376&gt;=20,"20-60","0-20")))))</f>
        <v>80-100</v>
      </c>
      <c r="V376">
        <v>101.8</v>
      </c>
      <c r="W376">
        <v>78.5</v>
      </c>
      <c r="X376">
        <v>9.6</v>
      </c>
      <c r="Y376">
        <v>36.6</v>
      </c>
      <c r="Z376">
        <v>328239523</v>
      </c>
      <c r="AA376">
        <v>37.090240000000001</v>
      </c>
      <c r="AB376">
        <v>-95.712890999999999</v>
      </c>
    </row>
    <row r="377" spans="1:28">
      <c r="A377">
        <v>365</v>
      </c>
      <c r="B377">
        <v>6700</v>
      </c>
      <c r="C377" t="s">
        <v>221</v>
      </c>
      <c r="D377" t="s">
        <v>1020</v>
      </c>
      <c r="E377">
        <v>84</v>
      </c>
      <c r="F377" t="str">
        <f>IF(E377&gt;=90,"90-100",IF(E377&gt;=80,"80-90",IF(E377&gt;=70,"70-80",IF(E377&gt;=60,"60-70",IF(E377&gt;=50,"50-60",IF(E377&gt;=40,"40-50",IF(E377&gt;=30,"30-40","20-30")))))))</f>
        <v>80-90</v>
      </c>
      <c r="G377" t="s">
        <v>38</v>
      </c>
      <c r="H377" t="s">
        <v>635</v>
      </c>
      <c r="I377" t="s">
        <v>223</v>
      </c>
      <c r="J377" t="s">
        <v>221</v>
      </c>
      <c r="K377" t="s">
        <v>38</v>
      </c>
      <c r="L377" t="s">
        <v>1021</v>
      </c>
      <c r="M377" t="b">
        <v>0</v>
      </c>
      <c r="N377" t="s">
        <v>32</v>
      </c>
      <c r="O377" t="s">
        <v>4867</v>
      </c>
      <c r="P377" t="s">
        <v>1022</v>
      </c>
      <c r="Q377">
        <v>117.24</v>
      </c>
      <c r="R377">
        <v>7.5</v>
      </c>
      <c r="S377" t="s">
        <v>44</v>
      </c>
      <c r="T377">
        <v>88.2</v>
      </c>
      <c r="U377" t="str">
        <f t="shared" si="26"/>
        <v>80-100</v>
      </c>
      <c r="V377">
        <v>101.8</v>
      </c>
      <c r="W377">
        <v>78.5</v>
      </c>
      <c r="X377">
        <v>9.6</v>
      </c>
      <c r="Y377">
        <v>36.6</v>
      </c>
      <c r="Z377">
        <v>328239523</v>
      </c>
      <c r="AA377">
        <v>37.090240000000001</v>
      </c>
      <c r="AB377">
        <v>-95.712890999999999</v>
      </c>
    </row>
    <row r="378" spans="1:28">
      <c r="A378">
        <v>365</v>
      </c>
      <c r="B378">
        <v>6700</v>
      </c>
      <c r="C378" t="s">
        <v>221</v>
      </c>
      <c r="D378" t="s">
        <v>1023</v>
      </c>
      <c r="E378">
        <v>83</v>
      </c>
      <c r="F378" t="str">
        <f>IF(E378&gt;=90,"90-100",IF(E378&gt;=80,"80-90",IF(E378&gt;=70,"70-80",IF(E378&gt;=60,"60-70",IF(E378&gt;=50,"50-60",IF(E378&gt;=40,"40-50",IF(E378&gt;=30,"30-40","20-30")))))))</f>
        <v>80-90</v>
      </c>
      <c r="G378" t="s">
        <v>38</v>
      </c>
      <c r="H378" t="s">
        <v>403</v>
      </c>
      <c r="I378" t="s">
        <v>223</v>
      </c>
      <c r="J378" t="s">
        <v>221</v>
      </c>
      <c r="K378" t="s">
        <v>38</v>
      </c>
      <c r="L378" t="s">
        <v>1024</v>
      </c>
      <c r="M378" t="b">
        <v>1</v>
      </c>
      <c r="N378" t="s">
        <v>32</v>
      </c>
      <c r="O378" t="s">
        <v>4867</v>
      </c>
      <c r="P378" t="s">
        <v>80</v>
      </c>
      <c r="Q378">
        <v>117.24</v>
      </c>
      <c r="R378">
        <v>7.5</v>
      </c>
      <c r="S378" t="s">
        <v>44</v>
      </c>
      <c r="T378">
        <v>88.2</v>
      </c>
      <c r="U378" t="str">
        <f t="shared" si="26"/>
        <v>80-100</v>
      </c>
      <c r="V378">
        <v>101.8</v>
      </c>
      <c r="W378">
        <v>78.5</v>
      </c>
      <c r="X378">
        <v>9.6</v>
      </c>
      <c r="Y378">
        <v>36.6</v>
      </c>
      <c r="Z378">
        <v>328239523</v>
      </c>
      <c r="AA378">
        <v>37.090240000000001</v>
      </c>
      <c r="AB378">
        <v>-95.712890999999999</v>
      </c>
    </row>
    <row r="379" spans="1:28">
      <c r="A379">
        <v>365</v>
      </c>
      <c r="B379">
        <v>6700</v>
      </c>
      <c r="C379" t="s">
        <v>54</v>
      </c>
      <c r="D379" t="s">
        <v>1025</v>
      </c>
      <c r="E379">
        <v>92</v>
      </c>
      <c r="F379" t="str">
        <f>IF(E379&gt;=90,"90-100",IF(E379&gt;=80,"80-90",IF(E379&gt;=70,"70-80",IF(E379&gt;=60,"60-70",IF(E379&gt;=50,"50-60",IF(E379&gt;=40,"40-50",IF(E379&gt;=30,"30-40","20-30")))))))</f>
        <v>90-100</v>
      </c>
      <c r="G379" t="s">
        <v>38</v>
      </c>
      <c r="H379" t="s">
        <v>1026</v>
      </c>
      <c r="I379" t="s">
        <v>185</v>
      </c>
      <c r="J379" t="s">
        <v>54</v>
      </c>
      <c r="K379" t="s">
        <v>38</v>
      </c>
      <c r="L379" t="s">
        <v>1027</v>
      </c>
      <c r="M379" t="b">
        <v>1</v>
      </c>
      <c r="N379" t="s">
        <v>42</v>
      </c>
      <c r="O379" t="s">
        <v>4867</v>
      </c>
      <c r="P379" t="s">
        <v>146</v>
      </c>
      <c r="Q379">
        <v>117.24</v>
      </c>
      <c r="R379">
        <v>7.5</v>
      </c>
      <c r="S379" t="s">
        <v>44</v>
      </c>
      <c r="T379">
        <v>88.2</v>
      </c>
      <c r="U379" t="str">
        <f t="shared" si="26"/>
        <v>80-100</v>
      </c>
      <c r="V379">
        <v>101.8</v>
      </c>
      <c r="W379">
        <v>78.5</v>
      </c>
      <c r="X379">
        <v>9.6</v>
      </c>
      <c r="Y379">
        <v>36.6</v>
      </c>
      <c r="Z379">
        <v>328239523</v>
      </c>
      <c r="AA379">
        <v>37.090240000000001</v>
      </c>
      <c r="AB379">
        <v>-95.712890999999999</v>
      </c>
    </row>
    <row r="380" spans="1:28">
      <c r="A380">
        <v>365</v>
      </c>
      <c r="B380">
        <v>6700</v>
      </c>
      <c r="C380" t="s">
        <v>45</v>
      </c>
      <c r="D380" t="s">
        <v>1028</v>
      </c>
      <c r="E380">
        <v>71</v>
      </c>
      <c r="F380" t="str">
        <f>IF(E380&gt;=90,"90-100",IF(E380&gt;=80,"80-90",IF(E380&gt;=70,"70-80",IF(E380&gt;=60,"60-70",IF(E380&gt;=50,"50-60",IF(E380&gt;=40,"40-50",IF(E380&gt;=30,"30-40","20-30")))))))</f>
        <v>70-80</v>
      </c>
      <c r="G380" t="s">
        <v>38</v>
      </c>
      <c r="H380" t="s">
        <v>1029</v>
      </c>
      <c r="I380" t="s">
        <v>1030</v>
      </c>
      <c r="J380" t="s">
        <v>45</v>
      </c>
      <c r="K380" t="s">
        <v>38</v>
      </c>
      <c r="L380" t="s">
        <v>1031</v>
      </c>
      <c r="M380" t="b">
        <v>1</v>
      </c>
      <c r="N380" t="s">
        <v>32</v>
      </c>
      <c r="O380" t="s">
        <v>4867</v>
      </c>
      <c r="P380" t="s">
        <v>1032</v>
      </c>
      <c r="Q380">
        <v>117.24</v>
      </c>
      <c r="R380">
        <v>7.5</v>
      </c>
      <c r="S380" t="s">
        <v>44</v>
      </c>
      <c r="T380">
        <v>88.2</v>
      </c>
      <c r="U380" t="str">
        <f t="shared" si="26"/>
        <v>80-100</v>
      </c>
      <c r="V380">
        <v>101.8</v>
      </c>
      <c r="W380">
        <v>78.5</v>
      </c>
      <c r="X380">
        <v>9.6</v>
      </c>
      <c r="Y380">
        <v>36.6</v>
      </c>
      <c r="Z380">
        <v>328239523</v>
      </c>
      <c r="AA380">
        <v>37.090240000000001</v>
      </c>
      <c r="AB380">
        <v>-95.712890999999999</v>
      </c>
    </row>
    <row r="381" spans="1:28" hidden="1">
      <c r="A381">
        <v>365</v>
      </c>
      <c r="B381">
        <v>6700</v>
      </c>
      <c r="C381" t="s">
        <v>217</v>
      </c>
      <c r="D381" t="s">
        <v>1033</v>
      </c>
      <c r="E381">
        <v>39</v>
      </c>
      <c r="G381" t="s">
        <v>887</v>
      </c>
      <c r="H381" t="s">
        <v>1004</v>
      </c>
      <c r="I381" t="s">
        <v>1005</v>
      </c>
      <c r="J381" t="s">
        <v>217</v>
      </c>
      <c r="K381" t="s">
        <v>887</v>
      </c>
      <c r="M381" t="b">
        <v>0</v>
      </c>
      <c r="N381" t="s">
        <v>42</v>
      </c>
      <c r="O381" t="s">
        <v>88</v>
      </c>
      <c r="Q381">
        <v>110.35</v>
      </c>
      <c r="R381">
        <v>0.8</v>
      </c>
      <c r="S381" t="s">
        <v>889</v>
      </c>
      <c r="T381">
        <v>80.599999999999994</v>
      </c>
      <c r="V381">
        <v>101.3</v>
      </c>
      <c r="W381">
        <v>81</v>
      </c>
      <c r="X381">
        <v>32.4</v>
      </c>
      <c r="Y381">
        <v>23.8</v>
      </c>
      <c r="Z381">
        <v>5818553</v>
      </c>
      <c r="AA381">
        <v>56.263919999999999</v>
      </c>
      <c r="AB381">
        <v>9.5017849999999999</v>
      </c>
    </row>
    <row r="382" spans="1:28">
      <c r="A382">
        <v>365</v>
      </c>
      <c r="B382">
        <v>6700</v>
      </c>
      <c r="C382" t="s">
        <v>45</v>
      </c>
      <c r="D382" t="s">
        <v>1034</v>
      </c>
      <c r="E382">
        <v>81</v>
      </c>
      <c r="F382" t="str">
        <f>IF(E382&gt;=90,"90-100",IF(E382&gt;=80,"80-90",IF(E382&gt;=70,"70-80",IF(E382&gt;=60,"60-70",IF(E382&gt;=50,"50-60",IF(E382&gt;=40,"40-50",IF(E382&gt;=30,"30-40","20-30")))))))</f>
        <v>80-90</v>
      </c>
      <c r="G382" t="s">
        <v>38</v>
      </c>
      <c r="H382" t="s">
        <v>1035</v>
      </c>
      <c r="I382" t="s">
        <v>1030</v>
      </c>
      <c r="J382" t="s">
        <v>45</v>
      </c>
      <c r="K382" t="s">
        <v>38</v>
      </c>
      <c r="L382" t="s">
        <v>1031</v>
      </c>
      <c r="M382" t="b">
        <v>1</v>
      </c>
      <c r="N382" t="s">
        <v>32</v>
      </c>
      <c r="O382" t="s">
        <v>4867</v>
      </c>
      <c r="P382" t="s">
        <v>1036</v>
      </c>
      <c r="Q382">
        <v>117.24</v>
      </c>
      <c r="R382">
        <v>7.5</v>
      </c>
      <c r="S382" t="s">
        <v>44</v>
      </c>
      <c r="T382">
        <v>88.2</v>
      </c>
      <c r="U382" t="str">
        <f>IF(T382&gt;=100,"above 100",IF(T382&gt;=80,"80-100",IF(T382&gt;=60,"60-80",IF(T382&gt;=40,"40-60",IF(T382&gt;=20,"20-60","0-20")))))</f>
        <v>80-100</v>
      </c>
      <c r="V382">
        <v>101.8</v>
      </c>
      <c r="W382">
        <v>78.5</v>
      </c>
      <c r="X382">
        <v>9.6</v>
      </c>
      <c r="Y382">
        <v>36.6</v>
      </c>
      <c r="Z382">
        <v>328239523</v>
      </c>
      <c r="AA382">
        <v>37.090240000000001</v>
      </c>
      <c r="AB382">
        <v>-95.712890999999999</v>
      </c>
    </row>
    <row r="383" spans="1:28" hidden="1">
      <c r="A383">
        <v>365</v>
      </c>
      <c r="B383">
        <v>6700</v>
      </c>
      <c r="C383" t="s">
        <v>101</v>
      </c>
      <c r="D383" t="s">
        <v>1037</v>
      </c>
      <c r="E383">
        <v>65</v>
      </c>
      <c r="G383" t="s">
        <v>103</v>
      </c>
      <c r="H383" t="s">
        <v>791</v>
      </c>
      <c r="I383" t="s">
        <v>1038</v>
      </c>
      <c r="J383" t="s">
        <v>101</v>
      </c>
      <c r="K383" t="s">
        <v>103</v>
      </c>
      <c r="M383" t="b">
        <v>1</v>
      </c>
      <c r="N383" t="s">
        <v>42</v>
      </c>
      <c r="O383" t="s">
        <v>33</v>
      </c>
      <c r="Q383">
        <v>125.08</v>
      </c>
      <c r="R383">
        <v>2.9</v>
      </c>
      <c r="S383" t="s">
        <v>106</v>
      </c>
      <c r="T383">
        <v>50.6</v>
      </c>
      <c r="V383">
        <v>100.2</v>
      </c>
      <c r="W383">
        <v>77</v>
      </c>
      <c r="X383">
        <v>9.4</v>
      </c>
      <c r="Y383">
        <v>59.2</v>
      </c>
      <c r="Z383">
        <v>1397715000</v>
      </c>
      <c r="AA383">
        <v>35.861660000000001</v>
      </c>
      <c r="AB383">
        <v>104.195397</v>
      </c>
    </row>
    <row r="384" spans="1:28" hidden="1">
      <c r="A384">
        <v>383</v>
      </c>
      <c r="B384">
        <v>6600</v>
      </c>
      <c r="C384" t="s">
        <v>217</v>
      </c>
      <c r="D384" t="s">
        <v>1039</v>
      </c>
      <c r="E384">
        <v>47</v>
      </c>
      <c r="G384" t="s">
        <v>156</v>
      </c>
      <c r="H384" t="s">
        <v>1040</v>
      </c>
      <c r="I384" t="s">
        <v>287</v>
      </c>
      <c r="J384" t="s">
        <v>217</v>
      </c>
      <c r="K384" t="s">
        <v>156</v>
      </c>
      <c r="M384" t="b">
        <v>0</v>
      </c>
      <c r="N384" t="s">
        <v>42</v>
      </c>
      <c r="O384" t="s">
        <v>88</v>
      </c>
      <c r="Q384">
        <v>99.55</v>
      </c>
      <c r="R384">
        <v>0.4</v>
      </c>
      <c r="S384" t="s">
        <v>159</v>
      </c>
      <c r="T384">
        <v>59.6</v>
      </c>
      <c r="V384">
        <v>105.2</v>
      </c>
      <c r="W384">
        <v>83.6</v>
      </c>
      <c r="X384">
        <v>10.1</v>
      </c>
      <c r="Y384">
        <v>28.8</v>
      </c>
      <c r="Z384">
        <v>8574832</v>
      </c>
      <c r="AA384">
        <v>46.818187999999999</v>
      </c>
      <c r="AB384">
        <v>8.2275120000000008</v>
      </c>
    </row>
    <row r="385" spans="1:28" hidden="1">
      <c r="A385">
        <v>383</v>
      </c>
      <c r="B385">
        <v>6600</v>
      </c>
      <c r="C385" t="s">
        <v>101</v>
      </c>
      <c r="D385" t="s">
        <v>1041</v>
      </c>
      <c r="E385">
        <v>68</v>
      </c>
      <c r="G385" t="s">
        <v>38</v>
      </c>
      <c r="H385" t="s">
        <v>739</v>
      </c>
      <c r="I385" t="s">
        <v>1042</v>
      </c>
      <c r="J385" t="s">
        <v>101</v>
      </c>
      <c r="K385" t="s">
        <v>38</v>
      </c>
      <c r="M385" t="b">
        <v>0</v>
      </c>
      <c r="N385" t="s">
        <v>32</v>
      </c>
      <c r="O385" t="s">
        <v>33</v>
      </c>
      <c r="Q385">
        <v>117.24</v>
      </c>
      <c r="R385">
        <v>7.5</v>
      </c>
      <c r="S385" t="s">
        <v>44</v>
      </c>
      <c r="T385">
        <v>88.2</v>
      </c>
      <c r="V385">
        <v>101.8</v>
      </c>
      <c r="W385">
        <v>78.5</v>
      </c>
      <c r="X385">
        <v>9.6</v>
      </c>
      <c r="Y385">
        <v>36.6</v>
      </c>
      <c r="Z385">
        <v>328239523</v>
      </c>
      <c r="AA385">
        <v>37.090240000000001</v>
      </c>
      <c r="AB385">
        <v>-95.712890999999999</v>
      </c>
    </row>
    <row r="386" spans="1:28" hidden="1">
      <c r="A386">
        <v>383</v>
      </c>
      <c r="B386">
        <v>6600</v>
      </c>
      <c r="C386" t="s">
        <v>101</v>
      </c>
      <c r="D386" t="s">
        <v>1043</v>
      </c>
      <c r="E386">
        <v>70</v>
      </c>
      <c r="G386" t="s">
        <v>38</v>
      </c>
      <c r="H386" t="s">
        <v>739</v>
      </c>
      <c r="I386" t="s">
        <v>1042</v>
      </c>
      <c r="J386" t="s">
        <v>101</v>
      </c>
      <c r="K386" t="s">
        <v>38</v>
      </c>
      <c r="M386" t="b">
        <v>0</v>
      </c>
      <c r="N386" t="s">
        <v>32</v>
      </c>
      <c r="O386" t="s">
        <v>33</v>
      </c>
      <c r="Q386">
        <v>117.24</v>
      </c>
      <c r="R386">
        <v>7.5</v>
      </c>
      <c r="S386" t="s">
        <v>44</v>
      </c>
      <c r="T386">
        <v>88.2</v>
      </c>
      <c r="V386">
        <v>101.8</v>
      </c>
      <c r="W386">
        <v>78.5</v>
      </c>
      <c r="X386">
        <v>9.6</v>
      </c>
      <c r="Y386">
        <v>36.6</v>
      </c>
      <c r="Z386">
        <v>328239523</v>
      </c>
      <c r="AA386">
        <v>37.090240000000001</v>
      </c>
      <c r="AB386">
        <v>-95.712890999999999</v>
      </c>
    </row>
    <row r="387" spans="1:28" hidden="1">
      <c r="A387">
        <v>383</v>
      </c>
      <c r="B387">
        <v>6600</v>
      </c>
      <c r="C387" t="s">
        <v>101</v>
      </c>
      <c r="D387" t="s">
        <v>1044</v>
      </c>
      <c r="E387">
        <v>67</v>
      </c>
      <c r="G387" t="s">
        <v>38</v>
      </c>
      <c r="H387" t="s">
        <v>1045</v>
      </c>
      <c r="I387" t="s">
        <v>1042</v>
      </c>
      <c r="J387" t="s">
        <v>101</v>
      </c>
      <c r="K387" t="s">
        <v>38</v>
      </c>
      <c r="M387" t="b">
        <v>0</v>
      </c>
      <c r="N387" t="s">
        <v>32</v>
      </c>
      <c r="O387" t="s">
        <v>88</v>
      </c>
      <c r="Q387">
        <v>117.24</v>
      </c>
      <c r="R387">
        <v>7.5</v>
      </c>
      <c r="S387" t="s">
        <v>44</v>
      </c>
      <c r="T387">
        <v>88.2</v>
      </c>
      <c r="V387">
        <v>101.8</v>
      </c>
      <c r="W387">
        <v>78.5</v>
      </c>
      <c r="X387">
        <v>9.6</v>
      </c>
      <c r="Y387">
        <v>36.6</v>
      </c>
      <c r="Z387">
        <v>328239523</v>
      </c>
      <c r="AA387">
        <v>37.090240000000001</v>
      </c>
      <c r="AB387">
        <v>-95.712890999999999</v>
      </c>
    </row>
    <row r="388" spans="1:28">
      <c r="A388">
        <v>383</v>
      </c>
      <c r="B388">
        <v>6600</v>
      </c>
      <c r="C388" t="s">
        <v>54</v>
      </c>
      <c r="D388" t="s">
        <v>1046</v>
      </c>
      <c r="E388">
        <v>78</v>
      </c>
      <c r="F388" t="str">
        <f>IF(E388&gt;=90,"90-100",IF(E388&gt;=80,"80-90",IF(E388&gt;=70,"70-80",IF(E388&gt;=60,"60-70",IF(E388&gt;=50,"50-60",IF(E388&gt;=40,"40-50",IF(E388&gt;=30,"30-40","20-30")))))))</f>
        <v>70-80</v>
      </c>
      <c r="G388" t="s">
        <v>38</v>
      </c>
      <c r="H388" t="s">
        <v>65</v>
      </c>
      <c r="I388" t="s">
        <v>185</v>
      </c>
      <c r="J388" t="s">
        <v>54</v>
      </c>
      <c r="K388" t="s">
        <v>38</v>
      </c>
      <c r="L388" t="s">
        <v>1047</v>
      </c>
      <c r="M388" t="b">
        <v>1</v>
      </c>
      <c r="N388" t="s">
        <v>32</v>
      </c>
      <c r="O388" t="s">
        <v>4867</v>
      </c>
      <c r="P388" t="s">
        <v>146</v>
      </c>
      <c r="Q388">
        <v>117.24</v>
      </c>
      <c r="R388">
        <v>7.5</v>
      </c>
      <c r="S388" t="s">
        <v>44</v>
      </c>
      <c r="T388">
        <v>88.2</v>
      </c>
      <c r="U388" t="str">
        <f t="shared" ref="U388:U389" si="27">IF(T388&gt;=100,"above 100",IF(T388&gt;=80,"80-100",IF(T388&gt;=60,"60-80",IF(T388&gt;=40,"40-60",IF(T388&gt;=20,"20-60","0-20")))))</f>
        <v>80-100</v>
      </c>
      <c r="V388">
        <v>101.8</v>
      </c>
      <c r="W388">
        <v>78.5</v>
      </c>
      <c r="X388">
        <v>9.6</v>
      </c>
      <c r="Y388">
        <v>36.6</v>
      </c>
      <c r="Z388">
        <v>328239523</v>
      </c>
      <c r="AA388">
        <v>37.090240000000001</v>
      </c>
      <c r="AB388">
        <v>-95.712890999999999</v>
      </c>
    </row>
    <row r="389" spans="1:28">
      <c r="A389">
        <v>383</v>
      </c>
      <c r="B389">
        <v>6600</v>
      </c>
      <c r="C389" t="s">
        <v>45</v>
      </c>
      <c r="D389" t="s">
        <v>1048</v>
      </c>
      <c r="E389">
        <v>63</v>
      </c>
      <c r="F389" t="str">
        <f>IF(E389&gt;=90,"90-100",IF(E389&gt;=80,"80-90",IF(E389&gt;=70,"70-80",IF(E389&gt;=60,"60-70",IF(E389&gt;=50,"50-60",IF(E389&gt;=40,"40-50",IF(E389&gt;=30,"30-40","20-30")))))))</f>
        <v>60-70</v>
      </c>
      <c r="G389" t="s">
        <v>38</v>
      </c>
      <c r="H389" t="s">
        <v>1049</v>
      </c>
      <c r="I389" t="s">
        <v>312</v>
      </c>
      <c r="J389" t="s">
        <v>45</v>
      </c>
      <c r="K389" t="s">
        <v>38</v>
      </c>
      <c r="L389" t="s">
        <v>829</v>
      </c>
      <c r="M389" t="b">
        <v>1</v>
      </c>
      <c r="N389" t="s">
        <v>32</v>
      </c>
      <c r="O389" t="s">
        <v>4867</v>
      </c>
      <c r="P389" t="s">
        <v>110</v>
      </c>
      <c r="Q389">
        <v>117.24</v>
      </c>
      <c r="R389">
        <v>7.5</v>
      </c>
      <c r="S389" t="s">
        <v>44</v>
      </c>
      <c r="T389">
        <v>88.2</v>
      </c>
      <c r="U389" t="str">
        <f t="shared" si="27"/>
        <v>80-100</v>
      </c>
      <c r="V389">
        <v>101.8</v>
      </c>
      <c r="W389">
        <v>78.5</v>
      </c>
      <c r="X389">
        <v>9.6</v>
      </c>
      <c r="Y389">
        <v>36.6</v>
      </c>
      <c r="Z389">
        <v>328239523</v>
      </c>
      <c r="AA389">
        <v>37.090240000000001</v>
      </c>
      <c r="AB389">
        <v>-95.712890999999999</v>
      </c>
    </row>
    <row r="390" spans="1:28" hidden="1">
      <c r="A390">
        <v>383</v>
      </c>
      <c r="B390">
        <v>6600</v>
      </c>
      <c r="C390" t="s">
        <v>54</v>
      </c>
      <c r="D390" t="s">
        <v>1050</v>
      </c>
      <c r="E390">
        <v>47</v>
      </c>
      <c r="G390" t="s">
        <v>148</v>
      </c>
      <c r="H390" t="s">
        <v>1051</v>
      </c>
      <c r="I390" t="s">
        <v>231</v>
      </c>
      <c r="J390" t="s">
        <v>54</v>
      </c>
      <c r="K390" t="s">
        <v>148</v>
      </c>
      <c r="M390" t="b">
        <v>0</v>
      </c>
      <c r="N390" t="s">
        <v>32</v>
      </c>
      <c r="O390" t="s">
        <v>88</v>
      </c>
      <c r="Q390">
        <v>112.85</v>
      </c>
      <c r="R390">
        <v>1.4</v>
      </c>
      <c r="S390" t="s">
        <v>151</v>
      </c>
      <c r="T390">
        <v>70.2</v>
      </c>
      <c r="V390">
        <v>104</v>
      </c>
      <c r="W390">
        <v>80.900000000000006</v>
      </c>
      <c r="X390">
        <v>11.5</v>
      </c>
      <c r="Y390">
        <v>48.8</v>
      </c>
      <c r="Z390">
        <v>83132799</v>
      </c>
      <c r="AA390">
        <v>51.165691000000002</v>
      </c>
      <c r="AB390">
        <v>10.451525999999999</v>
      </c>
    </row>
    <row r="391" spans="1:28" hidden="1">
      <c r="A391">
        <v>390</v>
      </c>
      <c r="B391">
        <v>6500</v>
      </c>
      <c r="C391" t="s">
        <v>54</v>
      </c>
      <c r="D391" t="s">
        <v>1052</v>
      </c>
      <c r="E391">
        <v>80</v>
      </c>
      <c r="G391" t="s">
        <v>38</v>
      </c>
      <c r="H391" t="s">
        <v>123</v>
      </c>
      <c r="I391" t="s">
        <v>613</v>
      </c>
      <c r="J391" t="s">
        <v>54</v>
      </c>
      <c r="K391" t="s">
        <v>38</v>
      </c>
      <c r="M391" t="b">
        <v>1</v>
      </c>
      <c r="N391" t="s">
        <v>32</v>
      </c>
      <c r="O391" t="s">
        <v>33</v>
      </c>
      <c r="Q391">
        <v>117.24</v>
      </c>
      <c r="R391">
        <v>7.5</v>
      </c>
      <c r="S391" t="s">
        <v>44</v>
      </c>
      <c r="T391">
        <v>88.2</v>
      </c>
      <c r="V391">
        <v>101.8</v>
      </c>
      <c r="W391">
        <v>78.5</v>
      </c>
      <c r="X391">
        <v>9.6</v>
      </c>
      <c r="Y391">
        <v>36.6</v>
      </c>
      <c r="Z391">
        <v>328239523</v>
      </c>
      <c r="AA391">
        <v>37.090240000000001</v>
      </c>
      <c r="AB391">
        <v>-95.712890999999999</v>
      </c>
    </row>
    <row r="392" spans="1:28">
      <c r="A392">
        <v>390</v>
      </c>
      <c r="B392">
        <v>6500</v>
      </c>
      <c r="C392" t="s">
        <v>45</v>
      </c>
      <c r="D392" t="s">
        <v>1053</v>
      </c>
      <c r="E392">
        <v>58</v>
      </c>
      <c r="F392" t="str">
        <f>IF(E392&gt;=90,"90-100",IF(E392&gt;=80,"80-90",IF(E392&gt;=70,"70-80",IF(E392&gt;=60,"60-70",IF(E392&gt;=50,"50-60",IF(E392&gt;=40,"40-50",IF(E392&gt;=30,"30-40","20-30")))))))</f>
        <v>50-60</v>
      </c>
      <c r="G392" t="s">
        <v>38</v>
      </c>
      <c r="H392" t="s">
        <v>47</v>
      </c>
      <c r="I392" t="s">
        <v>60</v>
      </c>
      <c r="J392" t="s">
        <v>45</v>
      </c>
      <c r="K392" t="s">
        <v>38</v>
      </c>
      <c r="L392" t="s">
        <v>61</v>
      </c>
      <c r="M392" t="b">
        <v>0</v>
      </c>
      <c r="N392" t="s">
        <v>32</v>
      </c>
      <c r="O392" t="s">
        <v>4866</v>
      </c>
      <c r="P392" t="s">
        <v>62</v>
      </c>
      <c r="Q392">
        <v>117.24</v>
      </c>
      <c r="R392">
        <v>7.5</v>
      </c>
      <c r="S392" t="s">
        <v>44</v>
      </c>
      <c r="T392">
        <v>88.2</v>
      </c>
      <c r="U392" t="str">
        <f>IF(T392&gt;=100,"above 100",IF(T392&gt;=80,"80-100",IF(T392&gt;=60,"60-80",IF(T392&gt;=40,"40-60",IF(T392&gt;=20,"20-60","0-20")))))</f>
        <v>80-100</v>
      </c>
      <c r="V392">
        <v>101.8</v>
      </c>
      <c r="W392">
        <v>78.5</v>
      </c>
      <c r="X392">
        <v>9.6</v>
      </c>
      <c r="Y392">
        <v>36.6</v>
      </c>
      <c r="Z392">
        <v>328239523</v>
      </c>
      <c r="AA392">
        <v>37.090240000000001</v>
      </c>
      <c r="AB392">
        <v>-95.712890999999999</v>
      </c>
    </row>
    <row r="393" spans="1:28" hidden="1">
      <c r="A393">
        <v>390</v>
      </c>
      <c r="B393">
        <v>6500</v>
      </c>
      <c r="C393" t="s">
        <v>26</v>
      </c>
      <c r="D393" t="s">
        <v>1054</v>
      </c>
      <c r="E393">
        <v>91</v>
      </c>
      <c r="G393" t="s">
        <v>1055</v>
      </c>
      <c r="H393" t="s">
        <v>1056</v>
      </c>
      <c r="I393" t="s">
        <v>713</v>
      </c>
      <c r="J393" t="s">
        <v>26</v>
      </c>
      <c r="K393" t="s">
        <v>1055</v>
      </c>
      <c r="M393" t="b">
        <v>1</v>
      </c>
      <c r="N393" t="s">
        <v>32</v>
      </c>
      <c r="O393" t="s">
        <v>33</v>
      </c>
    </row>
    <row r="394" spans="1:28" hidden="1">
      <c r="A394">
        <v>390</v>
      </c>
      <c r="B394">
        <v>6500</v>
      </c>
      <c r="C394" t="s">
        <v>221</v>
      </c>
      <c r="D394" t="s">
        <v>1057</v>
      </c>
      <c r="E394">
        <v>93</v>
      </c>
      <c r="G394" t="s">
        <v>38</v>
      </c>
      <c r="H394" t="s">
        <v>1058</v>
      </c>
      <c r="I394" t="s">
        <v>223</v>
      </c>
      <c r="J394" t="s">
        <v>221</v>
      </c>
      <c r="K394" t="s">
        <v>38</v>
      </c>
      <c r="M394" t="b">
        <v>0</v>
      </c>
      <c r="N394" t="s">
        <v>192</v>
      </c>
      <c r="O394" t="s">
        <v>88</v>
      </c>
      <c r="Q394">
        <v>117.24</v>
      </c>
      <c r="R394">
        <v>7.5</v>
      </c>
      <c r="S394" t="s">
        <v>44</v>
      </c>
      <c r="T394">
        <v>88.2</v>
      </c>
      <c r="V394">
        <v>101.8</v>
      </c>
      <c r="W394">
        <v>78.5</v>
      </c>
      <c r="X394">
        <v>9.6</v>
      </c>
      <c r="Y394">
        <v>36.6</v>
      </c>
      <c r="Z394">
        <v>328239523</v>
      </c>
      <c r="AA394">
        <v>37.090240000000001</v>
      </c>
      <c r="AB394">
        <v>-95.712890999999999</v>
      </c>
    </row>
    <row r="395" spans="1:28" hidden="1">
      <c r="A395">
        <v>390</v>
      </c>
      <c r="B395">
        <v>6500</v>
      </c>
      <c r="C395" t="s">
        <v>221</v>
      </c>
      <c r="D395" t="s">
        <v>1059</v>
      </c>
      <c r="E395">
        <v>84</v>
      </c>
      <c r="G395" t="s">
        <v>203</v>
      </c>
      <c r="H395" t="s">
        <v>204</v>
      </c>
      <c r="I395" t="s">
        <v>1060</v>
      </c>
      <c r="J395" t="s">
        <v>221</v>
      </c>
      <c r="K395" t="s">
        <v>203</v>
      </c>
      <c r="M395" t="b">
        <v>1</v>
      </c>
      <c r="N395" t="s">
        <v>42</v>
      </c>
      <c r="O395" t="s">
        <v>33</v>
      </c>
      <c r="Q395">
        <v>119.62</v>
      </c>
      <c r="R395">
        <v>1.7</v>
      </c>
      <c r="S395" t="s">
        <v>206</v>
      </c>
      <c r="T395">
        <v>60</v>
      </c>
      <c r="V395">
        <v>101.2</v>
      </c>
      <c r="W395">
        <v>81.3</v>
      </c>
      <c r="X395">
        <v>25.5</v>
      </c>
      <c r="Y395">
        <v>30.6</v>
      </c>
      <c r="Z395">
        <v>66834405</v>
      </c>
      <c r="AA395">
        <v>55.378050999999999</v>
      </c>
      <c r="AB395">
        <v>-3.4359730000000002</v>
      </c>
    </row>
    <row r="396" spans="1:28" hidden="1">
      <c r="A396">
        <v>390</v>
      </c>
      <c r="B396">
        <v>6500</v>
      </c>
      <c r="C396" t="s">
        <v>75</v>
      </c>
      <c r="D396" t="s">
        <v>1061</v>
      </c>
      <c r="E396">
        <v>81</v>
      </c>
      <c r="G396" t="s">
        <v>339</v>
      </c>
      <c r="H396" t="s">
        <v>339</v>
      </c>
      <c r="I396" t="s">
        <v>900</v>
      </c>
      <c r="J396" t="s">
        <v>75</v>
      </c>
      <c r="K396" t="s">
        <v>203</v>
      </c>
      <c r="M396" t="b">
        <v>1</v>
      </c>
      <c r="N396" t="s">
        <v>42</v>
      </c>
      <c r="O396" t="s">
        <v>33</v>
      </c>
      <c r="S396" t="s">
        <v>343</v>
      </c>
      <c r="Z396">
        <v>38964</v>
      </c>
      <c r="AA396">
        <v>43.738417599999998</v>
      </c>
      <c r="AB396">
        <v>7.4246157999999998</v>
      </c>
    </row>
    <row r="397" spans="1:28" hidden="1">
      <c r="A397">
        <v>390</v>
      </c>
      <c r="B397">
        <v>6500</v>
      </c>
      <c r="C397" t="s">
        <v>221</v>
      </c>
      <c r="D397" t="s">
        <v>1062</v>
      </c>
      <c r="E397">
        <v>51</v>
      </c>
      <c r="G397" t="s">
        <v>156</v>
      </c>
      <c r="H397" t="s">
        <v>1063</v>
      </c>
      <c r="I397" t="s">
        <v>223</v>
      </c>
      <c r="J397" t="s">
        <v>221</v>
      </c>
      <c r="K397" t="s">
        <v>389</v>
      </c>
      <c r="M397" t="b">
        <v>1</v>
      </c>
      <c r="N397" t="s">
        <v>32</v>
      </c>
      <c r="O397" t="s">
        <v>33</v>
      </c>
      <c r="Q397">
        <v>99.55</v>
      </c>
      <c r="R397">
        <v>0.4</v>
      </c>
      <c r="S397" t="s">
        <v>159</v>
      </c>
      <c r="T397">
        <v>59.6</v>
      </c>
      <c r="V397">
        <v>105.2</v>
      </c>
      <c r="W397">
        <v>83.6</v>
      </c>
      <c r="X397">
        <v>10.1</v>
      </c>
      <c r="Y397">
        <v>28.8</v>
      </c>
      <c r="Z397">
        <v>8574832</v>
      </c>
      <c r="AA397">
        <v>46.818187999999999</v>
      </c>
      <c r="AB397">
        <v>8.2275120000000008</v>
      </c>
    </row>
    <row r="398" spans="1:28" hidden="1">
      <c r="A398">
        <v>397</v>
      </c>
      <c r="B398">
        <v>6400</v>
      </c>
      <c r="C398" t="s">
        <v>54</v>
      </c>
      <c r="D398" t="s">
        <v>1064</v>
      </c>
      <c r="E398">
        <v>71</v>
      </c>
      <c r="G398" t="s">
        <v>397</v>
      </c>
      <c r="H398" t="s">
        <v>1065</v>
      </c>
      <c r="I398" t="s">
        <v>231</v>
      </c>
      <c r="J398" t="s">
        <v>54</v>
      </c>
      <c r="K398" t="s">
        <v>397</v>
      </c>
      <c r="M398" t="b">
        <v>1</v>
      </c>
      <c r="N398" t="s">
        <v>42</v>
      </c>
      <c r="O398" t="s">
        <v>33</v>
      </c>
      <c r="Q398">
        <v>110.51</v>
      </c>
      <c r="R398">
        <v>1.8</v>
      </c>
      <c r="S398" t="s">
        <v>401</v>
      </c>
      <c r="T398">
        <v>67</v>
      </c>
      <c r="V398">
        <v>126.6</v>
      </c>
      <c r="W398">
        <v>82.5</v>
      </c>
      <c r="X398">
        <v>27.9</v>
      </c>
      <c r="Y398">
        <v>49.1</v>
      </c>
      <c r="Z398">
        <v>10285453</v>
      </c>
      <c r="AA398">
        <v>60.128160999999999</v>
      </c>
      <c r="AB398">
        <v>18.643501000000001</v>
      </c>
    </row>
    <row r="399" spans="1:28">
      <c r="A399">
        <v>397</v>
      </c>
      <c r="B399">
        <v>6400</v>
      </c>
      <c r="C399" t="s">
        <v>478</v>
      </c>
      <c r="D399" t="s">
        <v>1066</v>
      </c>
      <c r="E399">
        <v>62</v>
      </c>
      <c r="F399" t="str">
        <f>IF(E399&gt;=90,"90-100",IF(E399&gt;=80,"80-90",IF(E399&gt;=70,"70-80",IF(E399&gt;=60,"60-70",IF(E399&gt;=50,"50-60",IF(E399&gt;=40,"40-50",IF(E399&gt;=30,"30-40","20-30")))))))</f>
        <v>60-70</v>
      </c>
      <c r="G399" t="s">
        <v>38</v>
      </c>
      <c r="H399" t="s">
        <v>947</v>
      </c>
      <c r="I399" t="s">
        <v>1067</v>
      </c>
      <c r="J399" t="s">
        <v>478</v>
      </c>
      <c r="K399" t="s">
        <v>38</v>
      </c>
      <c r="L399" t="s">
        <v>1068</v>
      </c>
      <c r="M399" t="b">
        <v>1</v>
      </c>
      <c r="N399" t="s">
        <v>32</v>
      </c>
      <c r="O399" t="s">
        <v>4867</v>
      </c>
      <c r="P399" t="s">
        <v>85</v>
      </c>
      <c r="Q399">
        <v>117.24</v>
      </c>
      <c r="R399">
        <v>7.5</v>
      </c>
      <c r="S399" t="s">
        <v>44</v>
      </c>
      <c r="T399">
        <v>88.2</v>
      </c>
      <c r="U399" t="str">
        <f t="shared" ref="U399:U400" si="28">IF(T399&gt;=100,"above 100",IF(T399&gt;=80,"80-100",IF(T399&gt;=60,"60-80",IF(T399&gt;=40,"40-60",IF(T399&gt;=20,"20-60","0-20")))))</f>
        <v>80-100</v>
      </c>
      <c r="V399">
        <v>101.8</v>
      </c>
      <c r="W399">
        <v>78.5</v>
      </c>
      <c r="X399">
        <v>9.6</v>
      </c>
      <c r="Y399">
        <v>36.6</v>
      </c>
      <c r="Z399">
        <v>328239523</v>
      </c>
      <c r="AA399">
        <v>37.090240000000001</v>
      </c>
      <c r="AB399">
        <v>-95.712890999999999</v>
      </c>
    </row>
    <row r="400" spans="1:28">
      <c r="A400">
        <v>397</v>
      </c>
      <c r="B400">
        <v>6400</v>
      </c>
      <c r="C400" t="s">
        <v>54</v>
      </c>
      <c r="D400" t="s">
        <v>1069</v>
      </c>
      <c r="E400">
        <v>69</v>
      </c>
      <c r="F400" t="str">
        <f>IF(E400&gt;=90,"90-100",IF(E400&gt;=80,"80-90",IF(E400&gt;=70,"70-80",IF(E400&gt;=60,"60-70",IF(E400&gt;=50,"50-60",IF(E400&gt;=40,"40-50",IF(E400&gt;=30,"30-40","20-30")))))))</f>
        <v>60-70</v>
      </c>
      <c r="G400" t="s">
        <v>38</v>
      </c>
      <c r="H400" t="s">
        <v>65</v>
      </c>
      <c r="I400" t="s">
        <v>185</v>
      </c>
      <c r="J400" t="s">
        <v>54</v>
      </c>
      <c r="K400" t="s">
        <v>38</v>
      </c>
      <c r="L400" t="s">
        <v>1070</v>
      </c>
      <c r="M400" t="b">
        <v>1</v>
      </c>
      <c r="N400" t="s">
        <v>42</v>
      </c>
      <c r="O400" t="s">
        <v>4867</v>
      </c>
      <c r="P400" t="s">
        <v>146</v>
      </c>
      <c r="Q400">
        <v>117.24</v>
      </c>
      <c r="R400">
        <v>7.5</v>
      </c>
      <c r="S400" t="s">
        <v>44</v>
      </c>
      <c r="T400">
        <v>88.2</v>
      </c>
      <c r="U400" t="str">
        <f t="shared" si="28"/>
        <v>80-100</v>
      </c>
      <c r="V400">
        <v>101.8</v>
      </c>
      <c r="W400">
        <v>78.5</v>
      </c>
      <c r="X400">
        <v>9.6</v>
      </c>
      <c r="Y400">
        <v>36.6</v>
      </c>
      <c r="Z400">
        <v>328239523</v>
      </c>
      <c r="AA400">
        <v>37.090240000000001</v>
      </c>
      <c r="AB400">
        <v>-95.712890999999999</v>
      </c>
    </row>
    <row r="401" spans="1:28" hidden="1">
      <c r="A401">
        <v>397</v>
      </c>
      <c r="B401">
        <v>6400</v>
      </c>
      <c r="C401" t="s">
        <v>288</v>
      </c>
      <c r="D401" t="s">
        <v>1071</v>
      </c>
      <c r="E401">
        <v>59</v>
      </c>
      <c r="G401" t="s">
        <v>103</v>
      </c>
      <c r="H401" t="s">
        <v>143</v>
      </c>
      <c r="I401" t="s">
        <v>1072</v>
      </c>
      <c r="J401" t="s">
        <v>288</v>
      </c>
      <c r="K401" t="s">
        <v>103</v>
      </c>
      <c r="M401" t="b">
        <v>1</v>
      </c>
      <c r="N401" t="s">
        <v>32</v>
      </c>
      <c r="O401" t="s">
        <v>88</v>
      </c>
      <c r="Q401">
        <v>125.08</v>
      </c>
      <c r="R401">
        <v>2.9</v>
      </c>
      <c r="S401" t="s">
        <v>106</v>
      </c>
      <c r="T401">
        <v>50.6</v>
      </c>
      <c r="V401">
        <v>100.2</v>
      </c>
      <c r="W401">
        <v>77</v>
      </c>
      <c r="X401">
        <v>9.4</v>
      </c>
      <c r="Y401">
        <v>59.2</v>
      </c>
      <c r="Z401">
        <v>1397715000</v>
      </c>
      <c r="AA401">
        <v>35.861660000000001</v>
      </c>
      <c r="AB401">
        <v>104.195397</v>
      </c>
    </row>
    <row r="402" spans="1:28" hidden="1">
      <c r="A402">
        <v>397</v>
      </c>
      <c r="B402">
        <v>6400</v>
      </c>
      <c r="C402" t="s">
        <v>250</v>
      </c>
      <c r="D402" t="s">
        <v>1073</v>
      </c>
      <c r="E402">
        <v>60</v>
      </c>
      <c r="G402" t="s">
        <v>28</v>
      </c>
      <c r="H402" t="s">
        <v>29</v>
      </c>
      <c r="I402" t="s">
        <v>498</v>
      </c>
      <c r="J402" t="s">
        <v>250</v>
      </c>
      <c r="K402" t="s">
        <v>263</v>
      </c>
      <c r="M402" t="b">
        <v>1</v>
      </c>
      <c r="N402" t="s">
        <v>32</v>
      </c>
      <c r="O402" t="s">
        <v>33</v>
      </c>
      <c r="Q402">
        <v>110.05</v>
      </c>
      <c r="R402">
        <v>1.1000000000000001</v>
      </c>
      <c r="S402" t="s">
        <v>35</v>
      </c>
      <c r="T402">
        <v>65.599999999999994</v>
      </c>
      <c r="V402">
        <v>102.5</v>
      </c>
      <c r="W402">
        <v>82.5</v>
      </c>
      <c r="X402">
        <v>24.2</v>
      </c>
      <c r="Y402">
        <v>60.7</v>
      </c>
      <c r="Z402">
        <v>67059887</v>
      </c>
      <c r="AA402">
        <v>46.227637999999999</v>
      </c>
      <c r="AB402">
        <v>2.213749</v>
      </c>
    </row>
    <row r="403" spans="1:28" hidden="1">
      <c r="A403">
        <v>397</v>
      </c>
      <c r="B403">
        <v>6400</v>
      </c>
      <c r="C403" t="s">
        <v>217</v>
      </c>
      <c r="D403" t="s">
        <v>1074</v>
      </c>
      <c r="E403">
        <v>56</v>
      </c>
      <c r="G403" t="s">
        <v>339</v>
      </c>
      <c r="H403" t="s">
        <v>339</v>
      </c>
      <c r="I403" t="s">
        <v>1075</v>
      </c>
      <c r="J403" t="s">
        <v>217</v>
      </c>
      <c r="K403" t="s">
        <v>263</v>
      </c>
      <c r="M403" t="b">
        <v>1</v>
      </c>
      <c r="N403" t="s">
        <v>42</v>
      </c>
      <c r="O403" t="s">
        <v>33</v>
      </c>
      <c r="S403" t="s">
        <v>343</v>
      </c>
      <c r="Z403">
        <v>38964</v>
      </c>
      <c r="AA403">
        <v>43.738417599999998</v>
      </c>
      <c r="AB403">
        <v>7.4246157999999998</v>
      </c>
    </row>
    <row r="404" spans="1:28" hidden="1">
      <c r="A404">
        <v>397</v>
      </c>
      <c r="B404">
        <v>6400</v>
      </c>
      <c r="C404" t="s">
        <v>54</v>
      </c>
      <c r="D404" t="s">
        <v>1076</v>
      </c>
      <c r="E404">
        <v>90</v>
      </c>
      <c r="G404" t="s">
        <v>1077</v>
      </c>
      <c r="H404" t="s">
        <v>1078</v>
      </c>
      <c r="I404" t="s">
        <v>383</v>
      </c>
      <c r="J404" t="s">
        <v>54</v>
      </c>
      <c r="K404" t="s">
        <v>1077</v>
      </c>
      <c r="M404" t="b">
        <v>1</v>
      </c>
      <c r="N404" t="s">
        <v>42</v>
      </c>
      <c r="O404" t="s">
        <v>33</v>
      </c>
      <c r="Q404">
        <v>140.94999999999999</v>
      </c>
      <c r="R404">
        <v>3.5</v>
      </c>
      <c r="S404" t="s">
        <v>1079</v>
      </c>
      <c r="T404">
        <v>55.3</v>
      </c>
      <c r="V404">
        <v>114.5</v>
      </c>
      <c r="W404">
        <v>77.099999999999994</v>
      </c>
      <c r="X404">
        <v>14.4</v>
      </c>
      <c r="Y404">
        <v>71.2</v>
      </c>
      <c r="Z404">
        <v>50339443</v>
      </c>
      <c r="AA404">
        <v>4.5708679999999999</v>
      </c>
      <c r="AB404">
        <v>-74.297332999999995</v>
      </c>
    </row>
    <row r="405" spans="1:28" hidden="1">
      <c r="A405">
        <v>397</v>
      </c>
      <c r="B405">
        <v>6400</v>
      </c>
      <c r="C405" t="s">
        <v>154</v>
      </c>
      <c r="D405" t="s">
        <v>1080</v>
      </c>
      <c r="E405">
        <v>88</v>
      </c>
      <c r="G405" t="s">
        <v>38</v>
      </c>
      <c r="H405" t="s">
        <v>1081</v>
      </c>
      <c r="I405" t="s">
        <v>1082</v>
      </c>
      <c r="J405" t="s">
        <v>154</v>
      </c>
      <c r="K405" t="s">
        <v>38</v>
      </c>
      <c r="M405" t="b">
        <v>1</v>
      </c>
      <c r="N405" t="s">
        <v>42</v>
      </c>
      <c r="O405" t="s">
        <v>33</v>
      </c>
      <c r="Q405">
        <v>117.24</v>
      </c>
      <c r="R405">
        <v>7.5</v>
      </c>
      <c r="S405" t="s">
        <v>44</v>
      </c>
      <c r="T405">
        <v>88.2</v>
      </c>
      <c r="V405">
        <v>101.8</v>
      </c>
      <c r="W405">
        <v>78.5</v>
      </c>
      <c r="X405">
        <v>9.6</v>
      </c>
      <c r="Y405">
        <v>36.6</v>
      </c>
      <c r="Z405">
        <v>328239523</v>
      </c>
      <c r="AA405">
        <v>37.090240000000001</v>
      </c>
      <c r="AB405">
        <v>-95.712890999999999</v>
      </c>
    </row>
    <row r="406" spans="1:28" hidden="1">
      <c r="A406">
        <v>405</v>
      </c>
      <c r="B406">
        <v>6300</v>
      </c>
      <c r="C406" t="s">
        <v>469</v>
      </c>
      <c r="D406" t="s">
        <v>1083</v>
      </c>
      <c r="E406">
        <v>77</v>
      </c>
      <c r="G406" t="s">
        <v>203</v>
      </c>
      <c r="H406" t="s">
        <v>657</v>
      </c>
      <c r="I406" t="s">
        <v>925</v>
      </c>
      <c r="J406" t="s">
        <v>469</v>
      </c>
      <c r="K406" t="s">
        <v>203</v>
      </c>
      <c r="M406" t="b">
        <v>0</v>
      </c>
      <c r="N406" t="s">
        <v>32</v>
      </c>
      <c r="O406" t="s">
        <v>33</v>
      </c>
      <c r="Q406">
        <v>119.62</v>
      </c>
      <c r="R406">
        <v>1.7</v>
      </c>
      <c r="S406" t="s">
        <v>206</v>
      </c>
      <c r="T406">
        <v>60</v>
      </c>
      <c r="V406">
        <v>101.2</v>
      </c>
      <c r="W406">
        <v>81.3</v>
      </c>
      <c r="X406">
        <v>25.5</v>
      </c>
      <c r="Y406">
        <v>30.6</v>
      </c>
      <c r="Z406">
        <v>66834405</v>
      </c>
      <c r="AA406">
        <v>55.378050999999999</v>
      </c>
      <c r="AB406">
        <v>-3.4359730000000002</v>
      </c>
    </row>
    <row r="407" spans="1:28" hidden="1">
      <c r="A407">
        <v>405</v>
      </c>
      <c r="B407">
        <v>6300</v>
      </c>
      <c r="C407" t="s">
        <v>250</v>
      </c>
      <c r="D407" t="s">
        <v>1084</v>
      </c>
      <c r="E407">
        <v>58</v>
      </c>
      <c r="G407" t="s">
        <v>103</v>
      </c>
      <c r="H407" t="s">
        <v>687</v>
      </c>
      <c r="I407" t="s">
        <v>1085</v>
      </c>
      <c r="J407" t="s">
        <v>250</v>
      </c>
      <c r="K407" t="s">
        <v>103</v>
      </c>
      <c r="M407" t="b">
        <v>1</v>
      </c>
      <c r="N407" t="s">
        <v>42</v>
      </c>
      <c r="O407" t="s">
        <v>33</v>
      </c>
      <c r="Q407">
        <v>125.08</v>
      </c>
      <c r="R407">
        <v>2.9</v>
      </c>
      <c r="S407" t="s">
        <v>106</v>
      </c>
      <c r="T407">
        <v>50.6</v>
      </c>
      <c r="V407">
        <v>100.2</v>
      </c>
      <c r="W407">
        <v>77</v>
      </c>
      <c r="X407">
        <v>9.4</v>
      </c>
      <c r="Y407">
        <v>59.2</v>
      </c>
      <c r="Z407">
        <v>1397715000</v>
      </c>
      <c r="AA407">
        <v>35.861660000000001</v>
      </c>
      <c r="AB407">
        <v>104.195397</v>
      </c>
    </row>
    <row r="408" spans="1:28" hidden="1">
      <c r="A408">
        <v>405</v>
      </c>
      <c r="B408">
        <v>6300</v>
      </c>
      <c r="C408" t="s">
        <v>54</v>
      </c>
      <c r="D408" t="s">
        <v>1086</v>
      </c>
      <c r="E408">
        <v>66</v>
      </c>
      <c r="G408" t="s">
        <v>203</v>
      </c>
      <c r="H408" t="s">
        <v>204</v>
      </c>
      <c r="I408" t="s">
        <v>613</v>
      </c>
      <c r="J408" t="s">
        <v>54</v>
      </c>
      <c r="K408" t="s">
        <v>945</v>
      </c>
      <c r="M408" t="b">
        <v>1</v>
      </c>
      <c r="N408" t="s">
        <v>42</v>
      </c>
      <c r="O408" t="s">
        <v>33</v>
      </c>
      <c r="P408" t="s">
        <v>468</v>
      </c>
      <c r="Q408">
        <v>119.62</v>
      </c>
      <c r="R408">
        <v>1.7</v>
      </c>
      <c r="S408" t="s">
        <v>206</v>
      </c>
      <c r="T408">
        <v>60</v>
      </c>
      <c r="V408">
        <v>101.2</v>
      </c>
      <c r="W408">
        <v>81.3</v>
      </c>
      <c r="X408">
        <v>25.5</v>
      </c>
      <c r="Y408">
        <v>30.6</v>
      </c>
      <c r="Z408">
        <v>66834405</v>
      </c>
      <c r="AA408">
        <v>55.378050999999999</v>
      </c>
      <c r="AB408">
        <v>-3.4359730000000002</v>
      </c>
    </row>
    <row r="409" spans="1:28" hidden="1">
      <c r="A409">
        <v>405</v>
      </c>
      <c r="B409">
        <v>6300</v>
      </c>
      <c r="C409" t="s">
        <v>288</v>
      </c>
      <c r="D409" t="s">
        <v>1087</v>
      </c>
      <c r="E409">
        <v>85</v>
      </c>
      <c r="G409" t="s">
        <v>28</v>
      </c>
      <c r="H409" t="s">
        <v>1088</v>
      </c>
      <c r="I409" t="s">
        <v>418</v>
      </c>
      <c r="J409" t="s">
        <v>288</v>
      </c>
      <c r="K409" t="s">
        <v>28</v>
      </c>
      <c r="M409" t="b">
        <v>0</v>
      </c>
      <c r="N409" t="s">
        <v>42</v>
      </c>
      <c r="O409" t="s">
        <v>33</v>
      </c>
      <c r="Q409">
        <v>110.05</v>
      </c>
      <c r="R409">
        <v>1.1000000000000001</v>
      </c>
      <c r="S409" t="s">
        <v>35</v>
      </c>
      <c r="T409">
        <v>65.599999999999994</v>
      </c>
      <c r="V409">
        <v>102.5</v>
      </c>
      <c r="W409">
        <v>82.5</v>
      </c>
      <c r="X409">
        <v>24.2</v>
      </c>
      <c r="Y409">
        <v>60.7</v>
      </c>
      <c r="Z409">
        <v>67059887</v>
      </c>
      <c r="AA409">
        <v>46.227637999999999</v>
      </c>
      <c r="AB409">
        <v>2.213749</v>
      </c>
    </row>
    <row r="410" spans="1:28" hidden="1">
      <c r="A410">
        <v>405</v>
      </c>
      <c r="B410">
        <v>6300</v>
      </c>
      <c r="C410" t="s">
        <v>250</v>
      </c>
      <c r="D410" t="s">
        <v>1089</v>
      </c>
      <c r="E410">
        <v>59</v>
      </c>
      <c r="G410" t="s">
        <v>103</v>
      </c>
      <c r="H410" t="s">
        <v>1090</v>
      </c>
      <c r="I410" t="s">
        <v>1091</v>
      </c>
      <c r="J410" t="s">
        <v>250</v>
      </c>
      <c r="K410" t="s">
        <v>103</v>
      </c>
      <c r="M410" t="b">
        <v>1</v>
      </c>
      <c r="N410" t="s">
        <v>32</v>
      </c>
      <c r="O410" t="s">
        <v>33</v>
      </c>
      <c r="Q410">
        <v>125.08</v>
      </c>
      <c r="R410">
        <v>2.9</v>
      </c>
      <c r="S410" t="s">
        <v>106</v>
      </c>
      <c r="T410">
        <v>50.6</v>
      </c>
      <c r="V410">
        <v>100.2</v>
      </c>
      <c r="W410">
        <v>77</v>
      </c>
      <c r="X410">
        <v>9.4</v>
      </c>
      <c r="Y410">
        <v>59.2</v>
      </c>
      <c r="Z410">
        <v>1397715000</v>
      </c>
      <c r="AA410">
        <v>35.861660000000001</v>
      </c>
      <c r="AB410">
        <v>104.195397</v>
      </c>
    </row>
    <row r="411" spans="1:28" hidden="1">
      <c r="A411">
        <v>405</v>
      </c>
      <c r="B411">
        <v>6300</v>
      </c>
      <c r="C411" t="s">
        <v>217</v>
      </c>
      <c r="D411" t="s">
        <v>1092</v>
      </c>
      <c r="E411">
        <v>96</v>
      </c>
      <c r="G411" t="s">
        <v>342</v>
      </c>
      <c r="H411" t="s">
        <v>1093</v>
      </c>
      <c r="I411" t="s">
        <v>1094</v>
      </c>
      <c r="J411" t="s">
        <v>217</v>
      </c>
      <c r="K411" t="s">
        <v>342</v>
      </c>
      <c r="M411" t="b">
        <v>1</v>
      </c>
      <c r="N411" t="s">
        <v>32</v>
      </c>
      <c r="O411" t="s">
        <v>33</v>
      </c>
      <c r="Q411">
        <v>108.15</v>
      </c>
      <c r="R411">
        <v>0.8</v>
      </c>
      <c r="S411" t="s">
        <v>532</v>
      </c>
      <c r="T411">
        <v>63.4</v>
      </c>
      <c r="V411">
        <v>104.9</v>
      </c>
      <c r="W411">
        <v>82.8</v>
      </c>
      <c r="X411">
        <v>23.1</v>
      </c>
      <c r="Y411">
        <v>25.3</v>
      </c>
      <c r="Z411">
        <v>9053300</v>
      </c>
      <c r="AA411">
        <v>31.046050999999999</v>
      </c>
      <c r="AB411">
        <v>34.851612000000003</v>
      </c>
    </row>
    <row r="412" spans="1:28" hidden="1">
      <c r="A412">
        <v>411</v>
      </c>
      <c r="B412">
        <v>6200</v>
      </c>
      <c r="C412" t="s">
        <v>101</v>
      </c>
      <c r="D412" t="s">
        <v>1095</v>
      </c>
      <c r="E412">
        <v>59</v>
      </c>
      <c r="G412" t="s">
        <v>70</v>
      </c>
      <c r="H412" t="s">
        <v>71</v>
      </c>
      <c r="I412" t="s">
        <v>1096</v>
      </c>
      <c r="J412" t="s">
        <v>101</v>
      </c>
      <c r="K412" t="s">
        <v>70</v>
      </c>
      <c r="M412" t="b">
        <v>0</v>
      </c>
      <c r="N412" t="s">
        <v>419</v>
      </c>
      <c r="O412" t="s">
        <v>88</v>
      </c>
      <c r="Q412">
        <v>141.54</v>
      </c>
      <c r="R412">
        <v>3.6</v>
      </c>
      <c r="S412" t="s">
        <v>74</v>
      </c>
      <c r="T412">
        <v>40.200000000000003</v>
      </c>
      <c r="V412">
        <v>105.8</v>
      </c>
      <c r="W412">
        <v>75</v>
      </c>
      <c r="X412">
        <v>13.1</v>
      </c>
      <c r="Y412">
        <v>55.1</v>
      </c>
      <c r="Z412">
        <v>126014024</v>
      </c>
      <c r="AA412">
        <v>23.634501</v>
      </c>
      <c r="AB412">
        <v>-102.552784</v>
      </c>
    </row>
    <row r="413" spans="1:28" hidden="1">
      <c r="A413">
        <v>411</v>
      </c>
      <c r="B413">
        <v>6200</v>
      </c>
      <c r="C413" t="s">
        <v>75</v>
      </c>
      <c r="D413" t="s">
        <v>1097</v>
      </c>
      <c r="E413">
        <v>85</v>
      </c>
      <c r="G413" t="s">
        <v>397</v>
      </c>
      <c r="H413" t="s">
        <v>398</v>
      </c>
      <c r="I413" t="s">
        <v>231</v>
      </c>
      <c r="J413" t="s">
        <v>75</v>
      </c>
      <c r="K413" t="s">
        <v>397</v>
      </c>
      <c r="M413" t="b">
        <v>1</v>
      </c>
      <c r="N413" t="s">
        <v>42</v>
      </c>
      <c r="O413" t="s">
        <v>33</v>
      </c>
      <c r="Q413">
        <v>110.51</v>
      </c>
      <c r="R413">
        <v>1.8</v>
      </c>
      <c r="S413" t="s">
        <v>401</v>
      </c>
      <c r="T413">
        <v>67</v>
      </c>
      <c r="V413">
        <v>126.6</v>
      </c>
      <c r="W413">
        <v>82.5</v>
      </c>
      <c r="X413">
        <v>27.9</v>
      </c>
      <c r="Y413">
        <v>49.1</v>
      </c>
      <c r="Z413">
        <v>10285453</v>
      </c>
      <c r="AA413">
        <v>60.128160999999999</v>
      </c>
      <c r="AB413">
        <v>18.643501000000001</v>
      </c>
    </row>
    <row r="414" spans="1:28" hidden="1">
      <c r="A414">
        <v>411</v>
      </c>
      <c r="B414">
        <v>6200</v>
      </c>
      <c r="C414" t="s">
        <v>308</v>
      </c>
      <c r="D414" t="s">
        <v>1098</v>
      </c>
      <c r="E414">
        <v>89</v>
      </c>
      <c r="G414" t="s">
        <v>438</v>
      </c>
      <c r="H414" t="s">
        <v>1099</v>
      </c>
      <c r="I414" t="s">
        <v>1100</v>
      </c>
      <c r="J414" t="s">
        <v>308</v>
      </c>
      <c r="K414" t="s">
        <v>438</v>
      </c>
      <c r="M414" t="b">
        <v>1</v>
      </c>
      <c r="N414" t="s">
        <v>32</v>
      </c>
      <c r="O414" t="s">
        <v>33</v>
      </c>
      <c r="Q414">
        <v>115.91</v>
      </c>
      <c r="R414">
        <v>2.6</v>
      </c>
      <c r="S414" t="s">
        <v>1101</v>
      </c>
      <c r="T414">
        <v>85</v>
      </c>
      <c r="V414">
        <v>104.2</v>
      </c>
      <c r="W414">
        <v>81.8</v>
      </c>
      <c r="X414">
        <v>23</v>
      </c>
      <c r="Y414">
        <v>41.2</v>
      </c>
      <c r="Z414">
        <v>17332850</v>
      </c>
      <c r="AA414">
        <v>52.132632999999998</v>
      </c>
      <c r="AB414">
        <v>5.2912660000000002</v>
      </c>
    </row>
    <row r="415" spans="1:28" hidden="1">
      <c r="A415">
        <v>411</v>
      </c>
      <c r="B415">
        <v>6200</v>
      </c>
      <c r="C415" t="s">
        <v>101</v>
      </c>
      <c r="D415" t="s">
        <v>1102</v>
      </c>
      <c r="E415">
        <v>59</v>
      </c>
      <c r="G415" t="s">
        <v>103</v>
      </c>
      <c r="H415" t="s">
        <v>176</v>
      </c>
      <c r="I415" t="s">
        <v>913</v>
      </c>
      <c r="J415" t="s">
        <v>101</v>
      </c>
      <c r="K415" t="s">
        <v>103</v>
      </c>
      <c r="M415" t="b">
        <v>1</v>
      </c>
      <c r="N415" t="s">
        <v>32</v>
      </c>
      <c r="O415" t="s">
        <v>33</v>
      </c>
      <c r="Q415">
        <v>125.08</v>
      </c>
      <c r="R415">
        <v>2.9</v>
      </c>
      <c r="S415" t="s">
        <v>106</v>
      </c>
      <c r="T415">
        <v>50.6</v>
      </c>
      <c r="V415">
        <v>100.2</v>
      </c>
      <c r="W415">
        <v>77</v>
      </c>
      <c r="X415">
        <v>9.4</v>
      </c>
      <c r="Y415">
        <v>59.2</v>
      </c>
      <c r="Z415">
        <v>1397715000</v>
      </c>
      <c r="AA415">
        <v>35.861660000000001</v>
      </c>
      <c r="AB415">
        <v>104.195397</v>
      </c>
    </row>
    <row r="416" spans="1:28" hidden="1">
      <c r="A416">
        <v>411</v>
      </c>
      <c r="B416">
        <v>6200</v>
      </c>
      <c r="C416" t="s">
        <v>217</v>
      </c>
      <c r="D416" t="s">
        <v>1103</v>
      </c>
      <c r="E416">
        <v>59</v>
      </c>
      <c r="G416" t="s">
        <v>103</v>
      </c>
      <c r="H416" t="s">
        <v>633</v>
      </c>
      <c r="I416" t="s">
        <v>1104</v>
      </c>
      <c r="J416" t="s">
        <v>217</v>
      </c>
      <c r="K416" t="s">
        <v>172</v>
      </c>
      <c r="M416" t="b">
        <v>1</v>
      </c>
      <c r="N416" t="s">
        <v>32</v>
      </c>
      <c r="O416" t="s">
        <v>33</v>
      </c>
      <c r="Q416">
        <v>125.08</v>
      </c>
      <c r="R416">
        <v>2.9</v>
      </c>
      <c r="S416" t="s">
        <v>106</v>
      </c>
      <c r="T416">
        <v>50.6</v>
      </c>
      <c r="V416">
        <v>100.2</v>
      </c>
      <c r="W416">
        <v>77</v>
      </c>
      <c r="X416">
        <v>9.4</v>
      </c>
      <c r="Y416">
        <v>59.2</v>
      </c>
      <c r="Z416">
        <v>1397715000</v>
      </c>
      <c r="AA416">
        <v>35.861660000000001</v>
      </c>
      <c r="AB416">
        <v>104.195397</v>
      </c>
    </row>
    <row r="417" spans="1:28" hidden="1">
      <c r="A417">
        <v>411</v>
      </c>
      <c r="B417">
        <v>6200</v>
      </c>
      <c r="C417" t="s">
        <v>217</v>
      </c>
      <c r="D417" t="s">
        <v>1105</v>
      </c>
      <c r="E417">
        <v>51</v>
      </c>
      <c r="G417" t="s">
        <v>103</v>
      </c>
      <c r="H417" t="s">
        <v>633</v>
      </c>
      <c r="I417" t="s">
        <v>1106</v>
      </c>
      <c r="J417" t="s">
        <v>217</v>
      </c>
      <c r="K417" t="s">
        <v>172</v>
      </c>
      <c r="M417" t="b">
        <v>1</v>
      </c>
      <c r="N417" t="s">
        <v>32</v>
      </c>
      <c r="O417" t="s">
        <v>33</v>
      </c>
      <c r="Q417">
        <v>125.08</v>
      </c>
      <c r="R417">
        <v>2.9</v>
      </c>
      <c r="S417" t="s">
        <v>106</v>
      </c>
      <c r="T417">
        <v>50.6</v>
      </c>
      <c r="V417">
        <v>100.2</v>
      </c>
      <c r="W417">
        <v>77</v>
      </c>
      <c r="X417">
        <v>9.4</v>
      </c>
      <c r="Y417">
        <v>59.2</v>
      </c>
      <c r="Z417">
        <v>1397715000</v>
      </c>
      <c r="AA417">
        <v>35.861660000000001</v>
      </c>
      <c r="AB417">
        <v>104.195397</v>
      </c>
    </row>
    <row r="418" spans="1:28" hidden="1">
      <c r="A418">
        <v>411</v>
      </c>
      <c r="B418">
        <v>6200</v>
      </c>
      <c r="C418" t="s">
        <v>54</v>
      </c>
      <c r="D418" t="s">
        <v>1107</v>
      </c>
      <c r="E418">
        <v>60</v>
      </c>
      <c r="G418" t="s">
        <v>1108</v>
      </c>
      <c r="H418" t="s">
        <v>1109</v>
      </c>
      <c r="I418" t="s">
        <v>231</v>
      </c>
      <c r="J418" t="s">
        <v>54</v>
      </c>
      <c r="K418" t="s">
        <v>1108</v>
      </c>
      <c r="M418" t="b">
        <v>1</v>
      </c>
      <c r="N418" t="s">
        <v>419</v>
      </c>
      <c r="O418" t="s">
        <v>33</v>
      </c>
      <c r="Q418">
        <v>114.11</v>
      </c>
      <c r="R418">
        <v>2.2000000000000002</v>
      </c>
      <c r="S418" t="s">
        <v>1110</v>
      </c>
      <c r="T418">
        <v>67.8</v>
      </c>
      <c r="V418">
        <v>100</v>
      </c>
      <c r="W418">
        <v>77.599999999999994</v>
      </c>
      <c r="X418">
        <v>17.399999999999999</v>
      </c>
      <c r="Y418">
        <v>40.799999999999997</v>
      </c>
      <c r="Z418">
        <v>37970874</v>
      </c>
      <c r="AA418">
        <v>51.919438</v>
      </c>
      <c r="AB418">
        <v>19.145136000000001</v>
      </c>
    </row>
    <row r="419" spans="1:28" hidden="1">
      <c r="A419">
        <v>418</v>
      </c>
      <c r="B419">
        <v>6100</v>
      </c>
      <c r="C419" t="s">
        <v>75</v>
      </c>
      <c r="D419" t="s">
        <v>1111</v>
      </c>
      <c r="E419">
        <v>69</v>
      </c>
      <c r="G419" t="s">
        <v>455</v>
      </c>
      <c r="H419" t="s">
        <v>456</v>
      </c>
      <c r="I419" t="s">
        <v>1112</v>
      </c>
      <c r="J419" t="s">
        <v>75</v>
      </c>
      <c r="K419" t="s">
        <v>455</v>
      </c>
      <c r="M419" t="b">
        <v>1</v>
      </c>
      <c r="N419" t="s">
        <v>42</v>
      </c>
      <c r="O419" t="s">
        <v>33</v>
      </c>
      <c r="Q419">
        <v>267.51</v>
      </c>
      <c r="R419">
        <v>11.4</v>
      </c>
      <c r="S419" t="s">
        <v>459</v>
      </c>
      <c r="T419">
        <v>10.199999999999999</v>
      </c>
      <c r="V419">
        <v>84.7</v>
      </c>
      <c r="W419">
        <v>54.3</v>
      </c>
      <c r="X419">
        <v>1.5</v>
      </c>
      <c r="Y419">
        <v>34.799999999999997</v>
      </c>
      <c r="Z419">
        <v>200963599</v>
      </c>
      <c r="AA419">
        <v>9.0819989999999997</v>
      </c>
      <c r="AB419">
        <v>8.6752769999999995</v>
      </c>
    </row>
    <row r="420" spans="1:28" hidden="1">
      <c r="A420">
        <v>418</v>
      </c>
      <c r="B420">
        <v>6100</v>
      </c>
      <c r="C420" t="s">
        <v>54</v>
      </c>
      <c r="D420" t="s">
        <v>1113</v>
      </c>
      <c r="E420">
        <v>58</v>
      </c>
      <c r="G420" t="s">
        <v>38</v>
      </c>
      <c r="H420" t="s">
        <v>675</v>
      </c>
      <c r="I420" t="s">
        <v>613</v>
      </c>
      <c r="J420" t="s">
        <v>54</v>
      </c>
      <c r="K420" t="s">
        <v>38</v>
      </c>
      <c r="M420" t="b">
        <v>1</v>
      </c>
      <c r="N420" t="s">
        <v>32</v>
      </c>
      <c r="O420" t="s">
        <v>33</v>
      </c>
      <c r="Q420">
        <v>117.24</v>
      </c>
      <c r="R420">
        <v>7.5</v>
      </c>
      <c r="S420" t="s">
        <v>44</v>
      </c>
      <c r="T420">
        <v>88.2</v>
      </c>
      <c r="V420">
        <v>101.8</v>
      </c>
      <c r="W420">
        <v>78.5</v>
      </c>
      <c r="X420">
        <v>9.6</v>
      </c>
      <c r="Y420">
        <v>36.6</v>
      </c>
      <c r="Z420">
        <v>328239523</v>
      </c>
      <c r="AA420">
        <v>37.090240000000001</v>
      </c>
      <c r="AB420">
        <v>-95.712890999999999</v>
      </c>
    </row>
    <row r="421" spans="1:28" hidden="1">
      <c r="A421">
        <v>418</v>
      </c>
      <c r="B421">
        <v>6100</v>
      </c>
      <c r="C421" t="s">
        <v>26</v>
      </c>
      <c r="D421" t="s">
        <v>1114</v>
      </c>
      <c r="E421">
        <v>79</v>
      </c>
      <c r="G421" t="s">
        <v>148</v>
      </c>
      <c r="H421" t="s">
        <v>683</v>
      </c>
      <c r="I421" t="s">
        <v>1115</v>
      </c>
      <c r="J421" t="s">
        <v>26</v>
      </c>
      <c r="K421" t="s">
        <v>148</v>
      </c>
      <c r="M421" t="b">
        <v>0</v>
      </c>
      <c r="N421" t="s">
        <v>32</v>
      </c>
      <c r="O421" t="s">
        <v>33</v>
      </c>
      <c r="Q421">
        <v>112.85</v>
      </c>
      <c r="R421">
        <v>1.4</v>
      </c>
      <c r="S421" t="s">
        <v>151</v>
      </c>
      <c r="T421">
        <v>70.2</v>
      </c>
      <c r="V421">
        <v>104</v>
      </c>
      <c r="W421">
        <v>80.900000000000006</v>
      </c>
      <c r="X421">
        <v>11.5</v>
      </c>
      <c r="Y421">
        <v>48.8</v>
      </c>
      <c r="Z421">
        <v>83132799</v>
      </c>
      <c r="AA421">
        <v>51.165691000000002</v>
      </c>
      <c r="AB421">
        <v>10.451525999999999</v>
      </c>
    </row>
    <row r="422" spans="1:28" hidden="1">
      <c r="A422">
        <v>418</v>
      </c>
      <c r="B422">
        <v>6100</v>
      </c>
      <c r="C422" t="s">
        <v>26</v>
      </c>
      <c r="D422" t="s">
        <v>1116</v>
      </c>
      <c r="E422">
        <v>72</v>
      </c>
      <c r="G422" t="s">
        <v>148</v>
      </c>
      <c r="H422" t="s">
        <v>683</v>
      </c>
      <c r="I422" t="s">
        <v>1115</v>
      </c>
      <c r="J422" t="s">
        <v>26</v>
      </c>
      <c r="K422" t="s">
        <v>148</v>
      </c>
      <c r="M422" t="b">
        <v>0</v>
      </c>
      <c r="N422" t="s">
        <v>32</v>
      </c>
      <c r="O422" t="s">
        <v>33</v>
      </c>
      <c r="Q422">
        <v>112.85</v>
      </c>
      <c r="R422">
        <v>1.4</v>
      </c>
      <c r="S422" t="s">
        <v>151</v>
      </c>
      <c r="T422">
        <v>70.2</v>
      </c>
      <c r="V422">
        <v>104</v>
      </c>
      <c r="W422">
        <v>80.900000000000006</v>
      </c>
      <c r="X422">
        <v>11.5</v>
      </c>
      <c r="Y422">
        <v>48.8</v>
      </c>
      <c r="Z422">
        <v>83132799</v>
      </c>
      <c r="AA422">
        <v>51.165691000000002</v>
      </c>
      <c r="AB422">
        <v>10.451525999999999</v>
      </c>
    </row>
    <row r="423" spans="1:28" hidden="1">
      <c r="A423">
        <v>418</v>
      </c>
      <c r="B423">
        <v>6100</v>
      </c>
      <c r="C423" t="s">
        <v>250</v>
      </c>
      <c r="D423" t="s">
        <v>1117</v>
      </c>
      <c r="E423">
        <v>81</v>
      </c>
      <c r="G423" t="s">
        <v>172</v>
      </c>
      <c r="H423" t="s">
        <v>172</v>
      </c>
      <c r="I423" t="s">
        <v>1118</v>
      </c>
      <c r="J423" t="s">
        <v>250</v>
      </c>
      <c r="K423" t="s">
        <v>172</v>
      </c>
      <c r="M423" t="b">
        <v>0</v>
      </c>
      <c r="N423" t="s">
        <v>42</v>
      </c>
      <c r="O423" t="s">
        <v>33</v>
      </c>
    </row>
    <row r="424" spans="1:28" hidden="1">
      <c r="A424">
        <v>418</v>
      </c>
      <c r="B424">
        <v>6100</v>
      </c>
      <c r="C424" t="s">
        <v>68</v>
      </c>
      <c r="D424" t="s">
        <v>1119</v>
      </c>
      <c r="E424">
        <v>65</v>
      </c>
      <c r="I424" t="s">
        <v>68</v>
      </c>
      <c r="J424" t="s">
        <v>68</v>
      </c>
      <c r="K424" t="s">
        <v>77</v>
      </c>
      <c r="M424" t="b">
        <v>1</v>
      </c>
      <c r="N424" t="s">
        <v>212</v>
      </c>
      <c r="O424" t="s">
        <v>33</v>
      </c>
    </row>
    <row r="425" spans="1:28" hidden="1">
      <c r="A425">
        <v>418</v>
      </c>
      <c r="B425">
        <v>6100</v>
      </c>
      <c r="C425" t="s">
        <v>45</v>
      </c>
      <c r="D425" t="s">
        <v>1120</v>
      </c>
      <c r="E425">
        <v>53</v>
      </c>
      <c r="G425" t="s">
        <v>172</v>
      </c>
      <c r="H425" t="s">
        <v>172</v>
      </c>
      <c r="I425" t="s">
        <v>1121</v>
      </c>
      <c r="J425" t="s">
        <v>45</v>
      </c>
      <c r="K425" t="s">
        <v>172</v>
      </c>
      <c r="L425" t="s">
        <v>1122</v>
      </c>
      <c r="M425" t="b">
        <v>1</v>
      </c>
      <c r="N425" t="s">
        <v>42</v>
      </c>
      <c r="O425" t="s">
        <v>88</v>
      </c>
      <c r="P425" t="s">
        <v>619</v>
      </c>
    </row>
    <row r="426" spans="1:28" hidden="1">
      <c r="A426">
        <v>425</v>
      </c>
      <c r="B426">
        <v>6000</v>
      </c>
      <c r="C426" t="s">
        <v>236</v>
      </c>
      <c r="D426" t="s">
        <v>1123</v>
      </c>
      <c r="E426">
        <v>64</v>
      </c>
      <c r="G426" t="s">
        <v>263</v>
      </c>
      <c r="H426" t="s">
        <v>274</v>
      </c>
      <c r="I426" t="s">
        <v>1124</v>
      </c>
      <c r="J426" t="s">
        <v>236</v>
      </c>
      <c r="K426" t="s">
        <v>263</v>
      </c>
      <c r="M426" t="b">
        <v>1</v>
      </c>
      <c r="N426" t="s">
        <v>32</v>
      </c>
      <c r="O426" t="s">
        <v>33</v>
      </c>
      <c r="Q426">
        <v>180.75</v>
      </c>
      <c r="R426">
        <v>4.5</v>
      </c>
      <c r="S426" t="s">
        <v>276</v>
      </c>
      <c r="T426">
        <v>81.900000000000006</v>
      </c>
      <c r="V426">
        <v>102.6</v>
      </c>
      <c r="W426">
        <v>72.7</v>
      </c>
      <c r="X426">
        <v>11.4</v>
      </c>
      <c r="Y426">
        <v>46.2</v>
      </c>
      <c r="Z426">
        <v>144373535</v>
      </c>
      <c r="AA426">
        <v>61.524009999999997</v>
      </c>
      <c r="AB426">
        <v>105.31875599999999</v>
      </c>
    </row>
    <row r="427" spans="1:28" hidden="1">
      <c r="A427">
        <v>425</v>
      </c>
      <c r="B427">
        <v>6000</v>
      </c>
      <c r="C427" t="s">
        <v>221</v>
      </c>
      <c r="D427" t="s">
        <v>1125</v>
      </c>
      <c r="E427">
        <v>46</v>
      </c>
      <c r="G427" t="s">
        <v>189</v>
      </c>
      <c r="I427" t="s">
        <v>1126</v>
      </c>
      <c r="J427" t="s">
        <v>221</v>
      </c>
      <c r="K427" t="s">
        <v>189</v>
      </c>
      <c r="M427" t="b">
        <v>1</v>
      </c>
      <c r="N427" t="s">
        <v>32</v>
      </c>
      <c r="O427" t="s">
        <v>33</v>
      </c>
      <c r="Q427">
        <v>118.06</v>
      </c>
      <c r="R427">
        <v>1.5</v>
      </c>
      <c r="S427" t="s">
        <v>193</v>
      </c>
      <c r="T427">
        <v>85.1</v>
      </c>
      <c r="V427">
        <v>103.1</v>
      </c>
      <c r="W427">
        <v>81.599999999999994</v>
      </c>
      <c r="X427">
        <v>25.4</v>
      </c>
      <c r="Y427">
        <v>51.4</v>
      </c>
      <c r="Z427">
        <v>8877067</v>
      </c>
      <c r="AA427">
        <v>47.516230999999998</v>
      </c>
      <c r="AB427">
        <v>14.550072</v>
      </c>
    </row>
    <row r="428" spans="1:28" hidden="1">
      <c r="A428">
        <v>425</v>
      </c>
      <c r="B428">
        <v>6000</v>
      </c>
      <c r="C428" t="s">
        <v>221</v>
      </c>
      <c r="D428" t="s">
        <v>1127</v>
      </c>
      <c r="E428">
        <v>85</v>
      </c>
      <c r="G428" t="s">
        <v>38</v>
      </c>
      <c r="H428" t="s">
        <v>307</v>
      </c>
      <c r="I428" t="s">
        <v>223</v>
      </c>
      <c r="J428" t="s">
        <v>221</v>
      </c>
      <c r="K428" t="s">
        <v>38</v>
      </c>
      <c r="M428" t="b">
        <v>1</v>
      </c>
      <c r="N428" t="s">
        <v>32</v>
      </c>
      <c r="O428" t="s">
        <v>33</v>
      </c>
      <c r="Q428">
        <v>117.24</v>
      </c>
      <c r="R428">
        <v>7.5</v>
      </c>
      <c r="S428" t="s">
        <v>44</v>
      </c>
      <c r="T428">
        <v>88.2</v>
      </c>
      <c r="V428">
        <v>101.8</v>
      </c>
      <c r="W428">
        <v>78.5</v>
      </c>
      <c r="X428">
        <v>9.6</v>
      </c>
      <c r="Y428">
        <v>36.6</v>
      </c>
      <c r="Z428">
        <v>328239523</v>
      </c>
      <c r="AA428">
        <v>37.090240000000001</v>
      </c>
      <c r="AB428">
        <v>-95.712890999999999</v>
      </c>
    </row>
    <row r="429" spans="1:28">
      <c r="A429">
        <v>425</v>
      </c>
      <c r="B429">
        <v>6000</v>
      </c>
      <c r="C429" t="s">
        <v>26</v>
      </c>
      <c r="D429" t="s">
        <v>1128</v>
      </c>
      <c r="E429">
        <v>74</v>
      </c>
      <c r="F429" t="str">
        <f>IF(E429&gt;=90,"90-100",IF(E429&gt;=80,"80-90",IF(E429&gt;=70,"70-80",IF(E429&gt;=60,"60-70",IF(E429&gt;=50,"50-60",IF(E429&gt;=40,"40-50",IF(E429&gt;=30,"30-40","20-30")))))))</f>
        <v>70-80</v>
      </c>
      <c r="G429" t="s">
        <v>127</v>
      </c>
      <c r="H429" t="s">
        <v>1129</v>
      </c>
      <c r="I429" t="s">
        <v>1130</v>
      </c>
      <c r="J429" t="s">
        <v>26</v>
      </c>
      <c r="K429" t="s">
        <v>127</v>
      </c>
      <c r="L429" t="s">
        <v>1131</v>
      </c>
      <c r="M429" t="b">
        <v>1</v>
      </c>
      <c r="N429" t="s">
        <v>32</v>
      </c>
      <c r="O429" t="s">
        <v>4867</v>
      </c>
      <c r="P429" t="s">
        <v>34</v>
      </c>
      <c r="Q429">
        <v>116.76</v>
      </c>
      <c r="R429">
        <v>1.9</v>
      </c>
      <c r="S429" t="s">
        <v>132</v>
      </c>
      <c r="T429">
        <v>68.900000000000006</v>
      </c>
      <c r="U429" t="str">
        <f>IF(T429&gt;=100,"above 100",IF(T429&gt;=80,"80-100",IF(T429&gt;=60,"60-80",IF(T429&gt;=40,"40-60",IF(T429&gt;=20,"20-60","0-20")))))</f>
        <v>60-80</v>
      </c>
      <c r="V429">
        <v>100.9</v>
      </c>
      <c r="W429">
        <v>81.900000000000006</v>
      </c>
      <c r="X429">
        <v>12.8</v>
      </c>
      <c r="Y429">
        <v>24.5</v>
      </c>
      <c r="Z429">
        <v>36991981</v>
      </c>
      <c r="AA429">
        <v>56.130366000000002</v>
      </c>
      <c r="AB429">
        <v>-106.346771</v>
      </c>
    </row>
    <row r="430" spans="1:28" hidden="1">
      <c r="A430">
        <v>425</v>
      </c>
      <c r="B430">
        <v>6000</v>
      </c>
      <c r="C430" t="s">
        <v>45</v>
      </c>
      <c r="D430" t="s">
        <v>1132</v>
      </c>
      <c r="E430">
        <v>63</v>
      </c>
      <c r="G430" t="s">
        <v>38</v>
      </c>
      <c r="H430" t="s">
        <v>1133</v>
      </c>
      <c r="I430" t="s">
        <v>1134</v>
      </c>
      <c r="J430" t="s">
        <v>45</v>
      </c>
      <c r="K430" t="s">
        <v>38</v>
      </c>
      <c r="M430" t="b">
        <v>1</v>
      </c>
      <c r="N430" t="s">
        <v>42</v>
      </c>
      <c r="O430" t="s">
        <v>33</v>
      </c>
      <c r="Q430">
        <v>117.24</v>
      </c>
      <c r="R430">
        <v>7.5</v>
      </c>
      <c r="S430" t="s">
        <v>44</v>
      </c>
      <c r="T430">
        <v>88.2</v>
      </c>
      <c r="V430">
        <v>101.8</v>
      </c>
      <c r="W430">
        <v>78.5</v>
      </c>
      <c r="X430">
        <v>9.6</v>
      </c>
      <c r="Y430">
        <v>36.6</v>
      </c>
      <c r="Z430">
        <v>328239523</v>
      </c>
      <c r="AA430">
        <v>37.090240000000001</v>
      </c>
      <c r="AB430">
        <v>-95.712890999999999</v>
      </c>
    </row>
    <row r="431" spans="1:28" hidden="1">
      <c r="A431">
        <v>425</v>
      </c>
      <c r="B431">
        <v>6000</v>
      </c>
      <c r="C431" t="s">
        <v>26</v>
      </c>
      <c r="D431" t="s">
        <v>1135</v>
      </c>
      <c r="E431">
        <v>65</v>
      </c>
      <c r="G431" t="s">
        <v>77</v>
      </c>
      <c r="H431" t="s">
        <v>78</v>
      </c>
      <c r="I431" t="s">
        <v>426</v>
      </c>
      <c r="J431" t="s">
        <v>26</v>
      </c>
      <c r="K431" t="s">
        <v>77</v>
      </c>
      <c r="M431" t="b">
        <v>1</v>
      </c>
      <c r="N431" t="s">
        <v>42</v>
      </c>
      <c r="O431" t="s">
        <v>33</v>
      </c>
      <c r="Q431">
        <v>180.44</v>
      </c>
      <c r="R431">
        <v>7.7</v>
      </c>
      <c r="S431" t="s">
        <v>81</v>
      </c>
      <c r="T431">
        <v>28.1</v>
      </c>
      <c r="V431">
        <v>113</v>
      </c>
      <c r="W431">
        <v>69.400000000000006</v>
      </c>
      <c r="X431">
        <v>11.2</v>
      </c>
      <c r="Y431">
        <v>49.7</v>
      </c>
      <c r="Z431">
        <v>1366417754</v>
      </c>
      <c r="AA431">
        <v>20.593684</v>
      </c>
      <c r="AB431">
        <v>78.962879999999998</v>
      </c>
    </row>
    <row r="432" spans="1:28" hidden="1">
      <c r="A432">
        <v>425</v>
      </c>
      <c r="B432">
        <v>6000</v>
      </c>
      <c r="C432" t="s">
        <v>75</v>
      </c>
      <c r="D432" t="s">
        <v>1136</v>
      </c>
      <c r="E432">
        <v>88</v>
      </c>
      <c r="G432" t="s">
        <v>429</v>
      </c>
      <c r="H432" t="s">
        <v>430</v>
      </c>
      <c r="I432" t="s">
        <v>75</v>
      </c>
      <c r="J432" t="s">
        <v>75</v>
      </c>
      <c r="K432" t="s">
        <v>429</v>
      </c>
      <c r="M432" t="b">
        <v>0</v>
      </c>
      <c r="N432" t="s">
        <v>32</v>
      </c>
      <c r="O432" t="s">
        <v>33</v>
      </c>
      <c r="Q432">
        <v>113.27</v>
      </c>
      <c r="R432">
        <v>0.7</v>
      </c>
      <c r="S432" t="s">
        <v>431</v>
      </c>
      <c r="T432">
        <v>49.3</v>
      </c>
      <c r="V432">
        <v>99.8</v>
      </c>
      <c r="W432">
        <v>76.900000000000006</v>
      </c>
      <c r="X432">
        <v>14.9</v>
      </c>
      <c r="Y432">
        <v>29.5</v>
      </c>
      <c r="Z432">
        <v>69625582</v>
      </c>
      <c r="AA432">
        <v>15.870032</v>
      </c>
      <c r="AB432">
        <v>100.992541</v>
      </c>
    </row>
    <row r="433" spans="1:28" hidden="1">
      <c r="A433">
        <v>425</v>
      </c>
      <c r="B433">
        <v>6000</v>
      </c>
      <c r="C433" t="s">
        <v>54</v>
      </c>
      <c r="D433" t="s">
        <v>1137</v>
      </c>
      <c r="E433">
        <v>86</v>
      </c>
      <c r="G433" t="s">
        <v>1138</v>
      </c>
      <c r="H433" t="s">
        <v>1139</v>
      </c>
      <c r="I433" t="s">
        <v>231</v>
      </c>
      <c r="J433" t="s">
        <v>54</v>
      </c>
      <c r="K433" t="s">
        <v>203</v>
      </c>
      <c r="M433" t="b">
        <v>1</v>
      </c>
      <c r="N433" t="s">
        <v>32</v>
      </c>
      <c r="O433" t="s">
        <v>33</v>
      </c>
    </row>
    <row r="434" spans="1:28" hidden="1">
      <c r="A434">
        <v>425</v>
      </c>
      <c r="B434">
        <v>6000</v>
      </c>
      <c r="C434" t="s">
        <v>54</v>
      </c>
      <c r="D434" t="s">
        <v>1140</v>
      </c>
      <c r="E434">
        <v>92</v>
      </c>
      <c r="G434" t="s">
        <v>342</v>
      </c>
      <c r="H434" t="s">
        <v>1093</v>
      </c>
      <c r="I434" t="s">
        <v>231</v>
      </c>
      <c r="J434" t="s">
        <v>54</v>
      </c>
      <c r="K434" t="s">
        <v>238</v>
      </c>
      <c r="M434" t="b">
        <v>1</v>
      </c>
      <c r="N434" t="s">
        <v>42</v>
      </c>
      <c r="O434" t="s">
        <v>33</v>
      </c>
      <c r="Q434">
        <v>108.15</v>
      </c>
      <c r="R434">
        <v>0.8</v>
      </c>
      <c r="S434" t="s">
        <v>532</v>
      </c>
      <c r="T434">
        <v>63.4</v>
      </c>
      <c r="V434">
        <v>104.9</v>
      </c>
      <c r="W434">
        <v>82.8</v>
      </c>
      <c r="X434">
        <v>23.1</v>
      </c>
      <c r="Y434">
        <v>25.3</v>
      </c>
      <c r="Z434">
        <v>9053300</v>
      </c>
      <c r="AA434">
        <v>31.046050999999999</v>
      </c>
      <c r="AB434">
        <v>34.851612000000003</v>
      </c>
    </row>
    <row r="435" spans="1:28" hidden="1">
      <c r="A435">
        <v>425</v>
      </c>
      <c r="B435">
        <v>6000</v>
      </c>
      <c r="C435" t="s">
        <v>54</v>
      </c>
      <c r="D435" t="s">
        <v>1141</v>
      </c>
      <c r="E435">
        <v>76</v>
      </c>
      <c r="G435" t="s">
        <v>38</v>
      </c>
      <c r="H435" t="s">
        <v>635</v>
      </c>
      <c r="I435" t="s">
        <v>231</v>
      </c>
      <c r="J435" t="s">
        <v>54</v>
      </c>
      <c r="K435" t="s">
        <v>38</v>
      </c>
      <c r="M435" t="b">
        <v>1</v>
      </c>
      <c r="N435" t="s">
        <v>32</v>
      </c>
      <c r="O435" t="s">
        <v>33</v>
      </c>
      <c r="Q435">
        <v>117.24</v>
      </c>
      <c r="R435">
        <v>7.5</v>
      </c>
      <c r="S435" t="s">
        <v>44</v>
      </c>
      <c r="T435">
        <v>88.2</v>
      </c>
      <c r="V435">
        <v>101.8</v>
      </c>
      <c r="W435">
        <v>78.5</v>
      </c>
      <c r="X435">
        <v>9.6</v>
      </c>
      <c r="Y435">
        <v>36.6</v>
      </c>
      <c r="Z435">
        <v>328239523</v>
      </c>
      <c r="AA435">
        <v>37.090240000000001</v>
      </c>
      <c r="AB435">
        <v>-95.712890999999999</v>
      </c>
    </row>
    <row r="436" spans="1:28" hidden="1">
      <c r="A436">
        <v>425</v>
      </c>
      <c r="B436">
        <v>6000</v>
      </c>
      <c r="C436" t="s">
        <v>45</v>
      </c>
      <c r="D436" t="s">
        <v>1142</v>
      </c>
      <c r="E436">
        <v>71</v>
      </c>
      <c r="G436" t="s">
        <v>38</v>
      </c>
      <c r="H436" t="s">
        <v>958</v>
      </c>
      <c r="I436" t="s">
        <v>1143</v>
      </c>
      <c r="J436" t="s">
        <v>45</v>
      </c>
      <c r="K436" t="s">
        <v>38</v>
      </c>
      <c r="M436" t="b">
        <v>1</v>
      </c>
      <c r="N436" t="s">
        <v>32</v>
      </c>
      <c r="O436" t="s">
        <v>33</v>
      </c>
      <c r="Q436">
        <v>117.24</v>
      </c>
      <c r="R436">
        <v>7.5</v>
      </c>
      <c r="S436" t="s">
        <v>44</v>
      </c>
      <c r="T436">
        <v>88.2</v>
      </c>
      <c r="V436">
        <v>101.8</v>
      </c>
      <c r="W436">
        <v>78.5</v>
      </c>
      <c r="X436">
        <v>9.6</v>
      </c>
      <c r="Y436">
        <v>36.6</v>
      </c>
      <c r="Z436">
        <v>328239523</v>
      </c>
      <c r="AA436">
        <v>37.090240000000001</v>
      </c>
      <c r="AB436">
        <v>-95.712890999999999</v>
      </c>
    </row>
    <row r="437" spans="1:28" hidden="1">
      <c r="A437">
        <v>425</v>
      </c>
      <c r="B437">
        <v>6000</v>
      </c>
      <c r="C437" t="s">
        <v>26</v>
      </c>
      <c r="D437" t="s">
        <v>1144</v>
      </c>
      <c r="E437">
        <v>85</v>
      </c>
      <c r="G437" t="s">
        <v>38</v>
      </c>
      <c r="H437" t="s">
        <v>1145</v>
      </c>
      <c r="I437" t="s">
        <v>150</v>
      </c>
      <c r="J437" t="s">
        <v>26</v>
      </c>
      <c r="K437" t="s">
        <v>38</v>
      </c>
      <c r="M437" t="b">
        <v>1</v>
      </c>
      <c r="N437" t="s">
        <v>32</v>
      </c>
      <c r="O437" t="s">
        <v>33</v>
      </c>
      <c r="Q437">
        <v>117.24</v>
      </c>
      <c r="R437">
        <v>7.5</v>
      </c>
      <c r="S437" t="s">
        <v>44</v>
      </c>
      <c r="T437">
        <v>88.2</v>
      </c>
      <c r="V437">
        <v>101.8</v>
      </c>
      <c r="W437">
        <v>78.5</v>
      </c>
      <c r="X437">
        <v>9.6</v>
      </c>
      <c r="Y437">
        <v>36.6</v>
      </c>
      <c r="Z437">
        <v>328239523</v>
      </c>
      <c r="AA437">
        <v>37.090240000000001</v>
      </c>
      <c r="AB437">
        <v>-95.712890999999999</v>
      </c>
    </row>
    <row r="438" spans="1:28" hidden="1">
      <c r="A438">
        <v>437</v>
      </c>
      <c r="B438">
        <v>5900</v>
      </c>
      <c r="C438" t="s">
        <v>221</v>
      </c>
      <c r="D438" t="s">
        <v>1146</v>
      </c>
      <c r="E438">
        <v>60</v>
      </c>
      <c r="G438" t="s">
        <v>103</v>
      </c>
      <c r="H438" t="s">
        <v>521</v>
      </c>
      <c r="I438" t="s">
        <v>223</v>
      </c>
      <c r="J438" t="s">
        <v>221</v>
      </c>
      <c r="K438" t="s">
        <v>103</v>
      </c>
      <c r="M438" t="b">
        <v>1</v>
      </c>
      <c r="N438" t="s">
        <v>42</v>
      </c>
      <c r="O438" t="s">
        <v>33</v>
      </c>
      <c r="Q438">
        <v>125.08</v>
      </c>
      <c r="R438">
        <v>2.9</v>
      </c>
      <c r="S438" t="s">
        <v>106</v>
      </c>
      <c r="T438">
        <v>50.6</v>
      </c>
      <c r="V438">
        <v>100.2</v>
      </c>
      <c r="W438">
        <v>77</v>
      </c>
      <c r="X438">
        <v>9.4</v>
      </c>
      <c r="Y438">
        <v>59.2</v>
      </c>
      <c r="Z438">
        <v>1397715000</v>
      </c>
      <c r="AA438">
        <v>35.861660000000001</v>
      </c>
      <c r="AB438">
        <v>104.195397</v>
      </c>
    </row>
    <row r="439" spans="1:28" hidden="1">
      <c r="A439">
        <v>437</v>
      </c>
      <c r="B439">
        <v>5900</v>
      </c>
      <c r="C439" t="s">
        <v>75</v>
      </c>
      <c r="D439" t="s">
        <v>1147</v>
      </c>
      <c r="E439">
        <v>93</v>
      </c>
      <c r="G439" t="s">
        <v>429</v>
      </c>
      <c r="H439" t="s">
        <v>430</v>
      </c>
      <c r="I439" t="s">
        <v>75</v>
      </c>
      <c r="J439" t="s">
        <v>75</v>
      </c>
      <c r="K439" t="s">
        <v>429</v>
      </c>
      <c r="M439" t="b">
        <v>0</v>
      </c>
      <c r="N439" t="s">
        <v>32</v>
      </c>
      <c r="O439" t="s">
        <v>33</v>
      </c>
      <c r="Q439">
        <v>113.27</v>
      </c>
      <c r="R439">
        <v>0.7</v>
      </c>
      <c r="S439" t="s">
        <v>431</v>
      </c>
      <c r="T439">
        <v>49.3</v>
      </c>
      <c r="V439">
        <v>99.8</v>
      </c>
      <c r="W439">
        <v>76.900000000000006</v>
      </c>
      <c r="X439">
        <v>14.9</v>
      </c>
      <c r="Y439">
        <v>29.5</v>
      </c>
      <c r="Z439">
        <v>69625582</v>
      </c>
      <c r="AA439">
        <v>15.870032</v>
      </c>
      <c r="AB439">
        <v>100.992541</v>
      </c>
    </row>
    <row r="440" spans="1:28">
      <c r="A440">
        <v>437</v>
      </c>
      <c r="B440">
        <v>5900</v>
      </c>
      <c r="C440" t="s">
        <v>54</v>
      </c>
      <c r="D440" t="s">
        <v>1148</v>
      </c>
      <c r="E440">
        <v>61</v>
      </c>
      <c r="F440" t="str">
        <f>IF(E440&gt;=90,"90-100",IF(E440&gt;=80,"80-90",IF(E440&gt;=70,"70-80",IF(E440&gt;=60,"60-70",IF(E440&gt;=50,"50-60",IF(E440&gt;=40,"40-50",IF(E440&gt;=30,"30-40","20-30")))))))</f>
        <v>60-70</v>
      </c>
      <c r="G440" t="s">
        <v>38</v>
      </c>
      <c r="H440" t="s">
        <v>1149</v>
      </c>
      <c r="I440" t="s">
        <v>185</v>
      </c>
      <c r="J440" t="s">
        <v>54</v>
      </c>
      <c r="K440" t="s">
        <v>833</v>
      </c>
      <c r="L440" t="s">
        <v>1150</v>
      </c>
      <c r="M440" t="b">
        <v>1</v>
      </c>
      <c r="N440" t="s">
        <v>42</v>
      </c>
      <c r="O440" t="s">
        <v>4867</v>
      </c>
      <c r="P440" t="s">
        <v>468</v>
      </c>
      <c r="Q440">
        <v>117.24</v>
      </c>
      <c r="R440">
        <v>7.5</v>
      </c>
      <c r="S440" t="s">
        <v>44</v>
      </c>
      <c r="T440">
        <v>88.2</v>
      </c>
      <c r="U440" t="str">
        <f>IF(T440&gt;=100,"above 100",IF(T440&gt;=80,"80-100",IF(T440&gt;=60,"60-80",IF(T440&gt;=40,"40-60",IF(T440&gt;=20,"20-60","0-20")))))</f>
        <v>80-100</v>
      </c>
      <c r="V440">
        <v>101.8</v>
      </c>
      <c r="W440">
        <v>78.5</v>
      </c>
      <c r="X440">
        <v>9.6</v>
      </c>
      <c r="Y440">
        <v>36.6</v>
      </c>
      <c r="Z440">
        <v>328239523</v>
      </c>
      <c r="AA440">
        <v>37.090240000000001</v>
      </c>
      <c r="AB440">
        <v>-95.712890999999999</v>
      </c>
    </row>
    <row r="441" spans="1:28" hidden="1">
      <c r="A441">
        <v>437</v>
      </c>
      <c r="B441">
        <v>5900</v>
      </c>
      <c r="C441" t="s">
        <v>54</v>
      </c>
      <c r="D441" t="s">
        <v>1151</v>
      </c>
      <c r="E441">
        <v>62</v>
      </c>
      <c r="G441" t="s">
        <v>38</v>
      </c>
      <c r="H441" t="s">
        <v>635</v>
      </c>
      <c r="I441" t="s">
        <v>1152</v>
      </c>
      <c r="J441" t="s">
        <v>54</v>
      </c>
      <c r="K441" t="s">
        <v>38</v>
      </c>
      <c r="M441" t="b">
        <v>1</v>
      </c>
      <c r="N441" t="s">
        <v>32</v>
      </c>
      <c r="O441" t="s">
        <v>33</v>
      </c>
      <c r="Q441">
        <v>117.24</v>
      </c>
      <c r="R441">
        <v>7.5</v>
      </c>
      <c r="S441" t="s">
        <v>44</v>
      </c>
      <c r="T441">
        <v>88.2</v>
      </c>
      <c r="V441">
        <v>101.8</v>
      </c>
      <c r="W441">
        <v>78.5</v>
      </c>
      <c r="X441">
        <v>9.6</v>
      </c>
      <c r="Y441">
        <v>36.6</v>
      </c>
      <c r="Z441">
        <v>328239523</v>
      </c>
      <c r="AA441">
        <v>37.090240000000001</v>
      </c>
      <c r="AB441">
        <v>-95.712890999999999</v>
      </c>
    </row>
    <row r="442" spans="1:28" hidden="1">
      <c r="A442">
        <v>437</v>
      </c>
      <c r="B442">
        <v>5900</v>
      </c>
      <c r="C442" t="s">
        <v>101</v>
      </c>
      <c r="D442" t="s">
        <v>1153</v>
      </c>
      <c r="E442">
        <v>66</v>
      </c>
      <c r="G442" t="s">
        <v>103</v>
      </c>
      <c r="H442" t="s">
        <v>215</v>
      </c>
      <c r="I442" t="s">
        <v>1154</v>
      </c>
      <c r="J442" t="s">
        <v>101</v>
      </c>
      <c r="K442" t="s">
        <v>810</v>
      </c>
      <c r="M442" t="b">
        <v>0</v>
      </c>
      <c r="N442" t="s">
        <v>42</v>
      </c>
      <c r="O442" t="s">
        <v>33</v>
      </c>
      <c r="Q442">
        <v>125.08</v>
      </c>
      <c r="R442">
        <v>2.9</v>
      </c>
      <c r="S442" t="s">
        <v>106</v>
      </c>
      <c r="T442">
        <v>50.6</v>
      </c>
      <c r="V442">
        <v>100.2</v>
      </c>
      <c r="W442">
        <v>77</v>
      </c>
      <c r="X442">
        <v>9.4</v>
      </c>
      <c r="Y442">
        <v>59.2</v>
      </c>
      <c r="Z442">
        <v>1397715000</v>
      </c>
      <c r="AA442">
        <v>35.861660000000001</v>
      </c>
      <c r="AB442">
        <v>104.195397</v>
      </c>
    </row>
    <row r="443" spans="1:28" hidden="1">
      <c r="A443">
        <v>442</v>
      </c>
      <c r="B443">
        <v>5800</v>
      </c>
      <c r="C443" t="s">
        <v>54</v>
      </c>
      <c r="D443" t="s">
        <v>1155</v>
      </c>
      <c r="E443">
        <v>58</v>
      </c>
      <c r="G443" t="s">
        <v>38</v>
      </c>
      <c r="H443" t="s">
        <v>184</v>
      </c>
      <c r="I443" t="s">
        <v>613</v>
      </c>
      <c r="J443" t="s">
        <v>54</v>
      </c>
      <c r="K443" t="s">
        <v>38</v>
      </c>
      <c r="M443" t="b">
        <v>1</v>
      </c>
      <c r="N443" t="s">
        <v>419</v>
      </c>
      <c r="O443" t="s">
        <v>33</v>
      </c>
      <c r="Q443">
        <v>117.24</v>
      </c>
      <c r="R443">
        <v>7.5</v>
      </c>
      <c r="S443" t="s">
        <v>44</v>
      </c>
      <c r="T443">
        <v>88.2</v>
      </c>
      <c r="V443">
        <v>101.8</v>
      </c>
      <c r="W443">
        <v>78.5</v>
      </c>
      <c r="X443">
        <v>9.6</v>
      </c>
      <c r="Y443">
        <v>36.6</v>
      </c>
      <c r="Z443">
        <v>328239523</v>
      </c>
      <c r="AA443">
        <v>37.090240000000001</v>
      </c>
      <c r="AB443">
        <v>-95.712890999999999</v>
      </c>
    </row>
    <row r="444" spans="1:28" hidden="1">
      <c r="A444">
        <v>442</v>
      </c>
      <c r="B444">
        <v>5800</v>
      </c>
      <c r="C444" t="s">
        <v>288</v>
      </c>
      <c r="D444" t="s">
        <v>1156</v>
      </c>
      <c r="E444">
        <v>75</v>
      </c>
      <c r="G444" t="s">
        <v>887</v>
      </c>
      <c r="H444" t="s">
        <v>1157</v>
      </c>
      <c r="I444" t="s">
        <v>440</v>
      </c>
      <c r="J444" t="s">
        <v>288</v>
      </c>
      <c r="K444" t="s">
        <v>887</v>
      </c>
      <c r="M444" t="b">
        <v>0</v>
      </c>
      <c r="N444" t="s">
        <v>42</v>
      </c>
      <c r="O444" t="s">
        <v>33</v>
      </c>
      <c r="Q444">
        <v>110.35</v>
      </c>
      <c r="R444">
        <v>0.8</v>
      </c>
      <c r="S444" t="s">
        <v>889</v>
      </c>
      <c r="T444">
        <v>80.599999999999994</v>
      </c>
      <c r="V444">
        <v>101.3</v>
      </c>
      <c r="W444">
        <v>81</v>
      </c>
      <c r="X444">
        <v>32.4</v>
      </c>
      <c r="Y444">
        <v>23.8</v>
      </c>
      <c r="Z444">
        <v>5818553</v>
      </c>
      <c r="AA444">
        <v>56.263919999999999</v>
      </c>
      <c r="AB444">
        <v>9.5017849999999999</v>
      </c>
    </row>
    <row r="445" spans="1:28" hidden="1">
      <c r="A445">
        <v>442</v>
      </c>
      <c r="B445">
        <v>5800</v>
      </c>
      <c r="C445" t="s">
        <v>288</v>
      </c>
      <c r="D445" t="s">
        <v>1158</v>
      </c>
      <c r="E445">
        <v>70</v>
      </c>
      <c r="G445" t="s">
        <v>38</v>
      </c>
      <c r="H445" t="s">
        <v>635</v>
      </c>
      <c r="I445" t="s">
        <v>418</v>
      </c>
      <c r="J445" t="s">
        <v>288</v>
      </c>
      <c r="K445" t="s">
        <v>38</v>
      </c>
      <c r="M445" t="b">
        <v>1</v>
      </c>
      <c r="N445" t="s">
        <v>42</v>
      </c>
      <c r="O445" t="s">
        <v>33</v>
      </c>
      <c r="Q445">
        <v>117.24</v>
      </c>
      <c r="R445">
        <v>7.5</v>
      </c>
      <c r="S445" t="s">
        <v>44</v>
      </c>
      <c r="T445">
        <v>88.2</v>
      </c>
      <c r="V445">
        <v>101.8</v>
      </c>
      <c r="W445">
        <v>78.5</v>
      </c>
      <c r="X445">
        <v>9.6</v>
      </c>
      <c r="Y445">
        <v>36.6</v>
      </c>
      <c r="Z445">
        <v>328239523</v>
      </c>
      <c r="AA445">
        <v>37.090240000000001</v>
      </c>
      <c r="AB445">
        <v>-95.712890999999999</v>
      </c>
    </row>
    <row r="446" spans="1:28" hidden="1">
      <c r="A446">
        <v>445</v>
      </c>
      <c r="B446">
        <v>5700</v>
      </c>
      <c r="C446" t="s">
        <v>236</v>
      </c>
      <c r="D446" t="s">
        <v>1159</v>
      </c>
      <c r="E446">
        <v>56</v>
      </c>
      <c r="G446" t="s">
        <v>1160</v>
      </c>
      <c r="H446" t="s">
        <v>1161</v>
      </c>
      <c r="I446" t="s">
        <v>1162</v>
      </c>
      <c r="J446" t="s">
        <v>236</v>
      </c>
      <c r="K446" t="s">
        <v>1160</v>
      </c>
      <c r="M446" t="b">
        <v>1</v>
      </c>
      <c r="N446" t="s">
        <v>32</v>
      </c>
      <c r="O446" t="s">
        <v>33</v>
      </c>
      <c r="Q446">
        <v>281.66000000000003</v>
      </c>
      <c r="R446">
        <v>7.9</v>
      </c>
      <c r="S446" t="s">
        <v>1163</v>
      </c>
      <c r="T446">
        <v>82.7</v>
      </c>
      <c r="V446">
        <v>99</v>
      </c>
      <c r="W446">
        <v>71.599999999999994</v>
      </c>
      <c r="X446">
        <v>20.100000000000001</v>
      </c>
      <c r="Y446">
        <v>45.2</v>
      </c>
      <c r="Z446">
        <v>44385155</v>
      </c>
      <c r="AA446">
        <v>48.379432999999999</v>
      </c>
      <c r="AB446">
        <v>31.165579999999999</v>
      </c>
    </row>
    <row r="447" spans="1:28" hidden="1">
      <c r="A447">
        <v>445</v>
      </c>
      <c r="B447">
        <v>5700</v>
      </c>
      <c r="C447" t="s">
        <v>288</v>
      </c>
      <c r="D447" t="s">
        <v>1164</v>
      </c>
      <c r="E447">
        <v>88</v>
      </c>
      <c r="G447" t="s">
        <v>38</v>
      </c>
      <c r="H447" t="s">
        <v>739</v>
      </c>
      <c r="I447" t="s">
        <v>971</v>
      </c>
      <c r="J447" t="s">
        <v>288</v>
      </c>
      <c r="K447" t="s">
        <v>38</v>
      </c>
      <c r="M447" t="b">
        <v>1</v>
      </c>
      <c r="N447" t="s">
        <v>32</v>
      </c>
      <c r="O447" t="s">
        <v>33</v>
      </c>
      <c r="Q447">
        <v>117.24</v>
      </c>
      <c r="R447">
        <v>7.5</v>
      </c>
      <c r="S447" t="s">
        <v>44</v>
      </c>
      <c r="T447">
        <v>88.2</v>
      </c>
      <c r="V447">
        <v>101.8</v>
      </c>
      <c r="W447">
        <v>78.5</v>
      </c>
      <c r="X447">
        <v>9.6</v>
      </c>
      <c r="Y447">
        <v>36.6</v>
      </c>
      <c r="Z447">
        <v>328239523</v>
      </c>
      <c r="AA447">
        <v>37.090240000000001</v>
      </c>
      <c r="AB447">
        <v>-95.712890999999999</v>
      </c>
    </row>
    <row r="448" spans="1:28" hidden="1">
      <c r="A448">
        <v>445</v>
      </c>
      <c r="B448">
        <v>5700</v>
      </c>
      <c r="C448" t="s">
        <v>63</v>
      </c>
      <c r="D448" t="s">
        <v>1165</v>
      </c>
      <c r="E448">
        <v>76</v>
      </c>
      <c r="G448" t="s">
        <v>1166</v>
      </c>
      <c r="H448" t="s">
        <v>1167</v>
      </c>
      <c r="I448" t="s">
        <v>1168</v>
      </c>
      <c r="J448" t="s">
        <v>63</v>
      </c>
      <c r="K448" t="s">
        <v>203</v>
      </c>
      <c r="M448" t="b">
        <v>1</v>
      </c>
      <c r="N448" t="s">
        <v>419</v>
      </c>
      <c r="O448" t="s">
        <v>33</v>
      </c>
    </row>
    <row r="449" spans="1:28" hidden="1">
      <c r="A449">
        <v>445</v>
      </c>
      <c r="B449">
        <v>5700</v>
      </c>
      <c r="C449" t="s">
        <v>250</v>
      </c>
      <c r="D449" t="s">
        <v>1169</v>
      </c>
      <c r="E449">
        <v>93</v>
      </c>
      <c r="G449" t="s">
        <v>127</v>
      </c>
      <c r="H449" t="s">
        <v>1170</v>
      </c>
      <c r="I449" t="s">
        <v>325</v>
      </c>
      <c r="J449" t="s">
        <v>250</v>
      </c>
      <c r="K449" t="s">
        <v>127</v>
      </c>
      <c r="M449" t="b">
        <v>0</v>
      </c>
      <c r="N449" t="s">
        <v>32</v>
      </c>
      <c r="O449" t="s">
        <v>33</v>
      </c>
      <c r="Q449">
        <v>116.76</v>
      </c>
      <c r="R449">
        <v>1.9</v>
      </c>
      <c r="S449" t="s">
        <v>132</v>
      </c>
      <c r="T449">
        <v>68.900000000000006</v>
      </c>
      <c r="V449">
        <v>100.9</v>
      </c>
      <c r="W449">
        <v>81.900000000000006</v>
      </c>
      <c r="X449">
        <v>12.8</v>
      </c>
      <c r="Y449">
        <v>24.5</v>
      </c>
      <c r="Z449">
        <v>36991981</v>
      </c>
      <c r="AA449">
        <v>56.130366000000002</v>
      </c>
      <c r="AB449">
        <v>-106.346771</v>
      </c>
    </row>
    <row r="450" spans="1:28" hidden="1">
      <c r="A450">
        <v>445</v>
      </c>
      <c r="B450">
        <v>5700</v>
      </c>
      <c r="C450" t="s">
        <v>221</v>
      </c>
      <c r="D450" t="s">
        <v>1171</v>
      </c>
      <c r="E450">
        <v>71</v>
      </c>
      <c r="G450" t="s">
        <v>397</v>
      </c>
      <c r="H450" t="s">
        <v>398</v>
      </c>
      <c r="I450" t="s">
        <v>900</v>
      </c>
      <c r="J450" t="s">
        <v>221</v>
      </c>
      <c r="K450" t="s">
        <v>397</v>
      </c>
      <c r="M450" t="b">
        <v>0</v>
      </c>
      <c r="N450" t="s">
        <v>42</v>
      </c>
      <c r="O450" t="s">
        <v>33</v>
      </c>
      <c r="Q450">
        <v>110.51</v>
      </c>
      <c r="R450">
        <v>1.8</v>
      </c>
      <c r="S450" t="s">
        <v>401</v>
      </c>
      <c r="T450">
        <v>67</v>
      </c>
      <c r="V450">
        <v>126.6</v>
      </c>
      <c r="W450">
        <v>82.5</v>
      </c>
      <c r="X450">
        <v>27.9</v>
      </c>
      <c r="Y450">
        <v>49.1</v>
      </c>
      <c r="Z450">
        <v>10285453</v>
      </c>
      <c r="AA450">
        <v>60.128160999999999</v>
      </c>
      <c r="AB450">
        <v>18.643501000000001</v>
      </c>
    </row>
    <row r="451" spans="1:28" hidden="1">
      <c r="A451">
        <v>445</v>
      </c>
      <c r="B451">
        <v>5700</v>
      </c>
      <c r="C451" t="s">
        <v>469</v>
      </c>
      <c r="D451" t="s">
        <v>1172</v>
      </c>
      <c r="E451">
        <v>77</v>
      </c>
      <c r="G451" t="s">
        <v>156</v>
      </c>
      <c r="H451" t="s">
        <v>1173</v>
      </c>
      <c r="I451" t="s">
        <v>883</v>
      </c>
      <c r="J451" t="s">
        <v>469</v>
      </c>
      <c r="K451" t="s">
        <v>156</v>
      </c>
      <c r="M451" t="b">
        <v>0</v>
      </c>
      <c r="N451" t="s">
        <v>32</v>
      </c>
      <c r="O451" t="s">
        <v>33</v>
      </c>
      <c r="Q451">
        <v>99.55</v>
      </c>
      <c r="R451">
        <v>0.4</v>
      </c>
      <c r="S451" t="s">
        <v>159</v>
      </c>
      <c r="T451">
        <v>59.6</v>
      </c>
      <c r="V451">
        <v>105.2</v>
      </c>
      <c r="W451">
        <v>83.6</v>
      </c>
      <c r="X451">
        <v>10.1</v>
      </c>
      <c r="Y451">
        <v>28.8</v>
      </c>
      <c r="Z451">
        <v>8574832</v>
      </c>
      <c r="AA451">
        <v>46.818187999999999</v>
      </c>
      <c r="AB451">
        <v>8.2275120000000008</v>
      </c>
    </row>
    <row r="452" spans="1:28" hidden="1">
      <c r="A452">
        <v>445</v>
      </c>
      <c r="B452">
        <v>5700</v>
      </c>
      <c r="C452" t="s">
        <v>154</v>
      </c>
      <c r="D452" t="s">
        <v>1174</v>
      </c>
      <c r="E452">
        <v>83</v>
      </c>
      <c r="G452" t="s">
        <v>172</v>
      </c>
      <c r="H452" t="s">
        <v>172</v>
      </c>
      <c r="I452" t="s">
        <v>158</v>
      </c>
      <c r="J452" t="s">
        <v>154</v>
      </c>
      <c r="K452" t="s">
        <v>189</v>
      </c>
      <c r="M452" t="b">
        <v>0</v>
      </c>
      <c r="N452" t="s">
        <v>32</v>
      </c>
      <c r="O452" t="s">
        <v>33</v>
      </c>
    </row>
    <row r="453" spans="1:28" hidden="1">
      <c r="A453">
        <v>445</v>
      </c>
      <c r="B453">
        <v>5700</v>
      </c>
      <c r="C453" t="s">
        <v>54</v>
      </c>
      <c r="D453" t="s">
        <v>1175</v>
      </c>
      <c r="E453">
        <v>51</v>
      </c>
      <c r="G453" t="s">
        <v>38</v>
      </c>
      <c r="H453" t="s">
        <v>65</v>
      </c>
      <c r="I453" t="s">
        <v>231</v>
      </c>
      <c r="J453" t="s">
        <v>54</v>
      </c>
      <c r="K453" t="s">
        <v>38</v>
      </c>
      <c r="M453" t="b">
        <v>0</v>
      </c>
      <c r="N453" t="s">
        <v>32</v>
      </c>
      <c r="O453" t="s">
        <v>33</v>
      </c>
      <c r="Q453">
        <v>117.24</v>
      </c>
      <c r="R453">
        <v>7.5</v>
      </c>
      <c r="S453" t="s">
        <v>44</v>
      </c>
      <c r="T453">
        <v>88.2</v>
      </c>
      <c r="V453">
        <v>101.8</v>
      </c>
      <c r="W453">
        <v>78.5</v>
      </c>
      <c r="X453">
        <v>9.6</v>
      </c>
      <c r="Y453">
        <v>36.6</v>
      </c>
      <c r="Z453">
        <v>328239523</v>
      </c>
      <c r="AA453">
        <v>37.090240000000001</v>
      </c>
      <c r="AB453">
        <v>-95.712890999999999</v>
      </c>
    </row>
    <row r="454" spans="1:28" hidden="1">
      <c r="A454">
        <v>445</v>
      </c>
      <c r="B454">
        <v>5700</v>
      </c>
      <c r="C454" t="s">
        <v>54</v>
      </c>
      <c r="D454" t="s">
        <v>1176</v>
      </c>
      <c r="E454">
        <v>59</v>
      </c>
      <c r="G454" t="s">
        <v>38</v>
      </c>
      <c r="H454" t="s">
        <v>1177</v>
      </c>
      <c r="I454" t="s">
        <v>231</v>
      </c>
      <c r="J454" t="s">
        <v>54</v>
      </c>
      <c r="K454" t="s">
        <v>38</v>
      </c>
      <c r="M454" t="b">
        <v>0</v>
      </c>
      <c r="N454" t="s">
        <v>32</v>
      </c>
      <c r="O454" t="s">
        <v>33</v>
      </c>
      <c r="Q454">
        <v>117.24</v>
      </c>
      <c r="R454">
        <v>7.5</v>
      </c>
      <c r="S454" t="s">
        <v>44</v>
      </c>
      <c r="T454">
        <v>88.2</v>
      </c>
      <c r="V454">
        <v>101.8</v>
      </c>
      <c r="W454">
        <v>78.5</v>
      </c>
      <c r="X454">
        <v>9.6</v>
      </c>
      <c r="Y454">
        <v>36.6</v>
      </c>
      <c r="Z454">
        <v>328239523</v>
      </c>
      <c r="AA454">
        <v>37.090240000000001</v>
      </c>
      <c r="AB454">
        <v>-95.712890999999999</v>
      </c>
    </row>
    <row r="455" spans="1:28" hidden="1">
      <c r="A455">
        <v>445</v>
      </c>
      <c r="B455">
        <v>5700</v>
      </c>
      <c r="C455" t="s">
        <v>54</v>
      </c>
      <c r="D455" t="s">
        <v>1178</v>
      </c>
      <c r="E455">
        <v>56</v>
      </c>
      <c r="G455" t="s">
        <v>38</v>
      </c>
      <c r="H455" t="s">
        <v>65</v>
      </c>
      <c r="I455" t="s">
        <v>231</v>
      </c>
      <c r="J455" t="s">
        <v>54</v>
      </c>
      <c r="K455" t="s">
        <v>38</v>
      </c>
      <c r="M455" t="b">
        <v>0</v>
      </c>
      <c r="N455" t="s">
        <v>32</v>
      </c>
      <c r="O455" t="s">
        <v>33</v>
      </c>
      <c r="Q455">
        <v>117.24</v>
      </c>
      <c r="R455">
        <v>7.5</v>
      </c>
      <c r="S455" t="s">
        <v>44</v>
      </c>
      <c r="T455">
        <v>88.2</v>
      </c>
      <c r="V455">
        <v>101.8</v>
      </c>
      <c r="W455">
        <v>78.5</v>
      </c>
      <c r="X455">
        <v>9.6</v>
      </c>
      <c r="Y455">
        <v>36.6</v>
      </c>
      <c r="Z455">
        <v>328239523</v>
      </c>
      <c r="AA455">
        <v>37.090240000000001</v>
      </c>
      <c r="AB455">
        <v>-95.712890999999999</v>
      </c>
    </row>
    <row r="456" spans="1:28" hidden="1">
      <c r="A456">
        <v>455</v>
      </c>
      <c r="B456">
        <v>5600</v>
      </c>
      <c r="C456" t="s">
        <v>154</v>
      </c>
      <c r="D456" t="s">
        <v>1179</v>
      </c>
      <c r="E456">
        <v>41</v>
      </c>
      <c r="G456" t="s">
        <v>1180</v>
      </c>
      <c r="I456" t="s">
        <v>158</v>
      </c>
      <c r="J456" t="s">
        <v>154</v>
      </c>
      <c r="K456" t="s">
        <v>1180</v>
      </c>
      <c r="M456" t="b">
        <v>0</v>
      </c>
      <c r="N456" t="s">
        <v>192</v>
      </c>
      <c r="O456" t="s">
        <v>88</v>
      </c>
      <c r="Q456">
        <v>101.87</v>
      </c>
      <c r="R456">
        <v>0.2</v>
      </c>
      <c r="S456" t="s">
        <v>1181</v>
      </c>
      <c r="T456">
        <v>136.6</v>
      </c>
      <c r="V456">
        <v>99.6</v>
      </c>
      <c r="W456">
        <v>81.3</v>
      </c>
      <c r="X456">
        <v>26.2</v>
      </c>
      <c r="Y456">
        <v>51.9</v>
      </c>
      <c r="Z456">
        <v>10716322</v>
      </c>
      <c r="AA456">
        <v>39.074207999999999</v>
      </c>
      <c r="AB456">
        <v>21.824311999999999</v>
      </c>
    </row>
    <row r="457" spans="1:28" hidden="1">
      <c r="A457">
        <v>455</v>
      </c>
      <c r="B457">
        <v>5600</v>
      </c>
      <c r="C457" t="s">
        <v>250</v>
      </c>
      <c r="D457" t="s">
        <v>1182</v>
      </c>
      <c r="E457">
        <v>79</v>
      </c>
      <c r="G457" t="s">
        <v>38</v>
      </c>
      <c r="H457" t="s">
        <v>480</v>
      </c>
      <c r="I457" t="s">
        <v>1183</v>
      </c>
      <c r="J457" t="s">
        <v>250</v>
      </c>
      <c r="K457" t="s">
        <v>38</v>
      </c>
      <c r="M457" t="b">
        <v>0</v>
      </c>
      <c r="N457" t="s">
        <v>42</v>
      </c>
      <c r="O457" t="s">
        <v>33</v>
      </c>
      <c r="Q457">
        <v>117.24</v>
      </c>
      <c r="R457">
        <v>7.5</v>
      </c>
      <c r="S457" t="s">
        <v>44</v>
      </c>
      <c r="T457">
        <v>88.2</v>
      </c>
      <c r="V457">
        <v>101.8</v>
      </c>
      <c r="W457">
        <v>78.5</v>
      </c>
      <c r="X457">
        <v>9.6</v>
      </c>
      <c r="Y457">
        <v>36.6</v>
      </c>
      <c r="Z457">
        <v>328239523</v>
      </c>
      <c r="AA457">
        <v>37.090240000000001</v>
      </c>
      <c r="AB457">
        <v>-95.712890999999999</v>
      </c>
    </row>
    <row r="458" spans="1:28" hidden="1">
      <c r="A458">
        <v>455</v>
      </c>
      <c r="B458">
        <v>5600</v>
      </c>
      <c r="C458" t="s">
        <v>154</v>
      </c>
      <c r="D458" t="s">
        <v>1184</v>
      </c>
      <c r="E458">
        <v>52</v>
      </c>
      <c r="G458" t="s">
        <v>103</v>
      </c>
      <c r="H458" t="s">
        <v>215</v>
      </c>
      <c r="I458" t="s">
        <v>310</v>
      </c>
      <c r="J458" t="s">
        <v>154</v>
      </c>
      <c r="K458" t="s">
        <v>103</v>
      </c>
      <c r="M458" t="b">
        <v>1</v>
      </c>
      <c r="N458" t="s">
        <v>32</v>
      </c>
      <c r="O458" t="s">
        <v>33</v>
      </c>
      <c r="Q458">
        <v>125.08</v>
      </c>
      <c r="R458">
        <v>2.9</v>
      </c>
      <c r="S458" t="s">
        <v>106</v>
      </c>
      <c r="T458">
        <v>50.6</v>
      </c>
      <c r="V458">
        <v>100.2</v>
      </c>
      <c r="W458">
        <v>77</v>
      </c>
      <c r="X458">
        <v>9.4</v>
      </c>
      <c r="Y458">
        <v>59.2</v>
      </c>
      <c r="Z458">
        <v>1397715000</v>
      </c>
      <c r="AA458">
        <v>35.861660000000001</v>
      </c>
      <c r="AB458">
        <v>104.195397</v>
      </c>
    </row>
    <row r="459" spans="1:28" hidden="1">
      <c r="A459">
        <v>455</v>
      </c>
      <c r="B459">
        <v>5600</v>
      </c>
      <c r="C459" t="s">
        <v>36</v>
      </c>
      <c r="D459" t="s">
        <v>1185</v>
      </c>
      <c r="E459">
        <v>81</v>
      </c>
      <c r="G459" t="s">
        <v>77</v>
      </c>
      <c r="H459" t="s">
        <v>248</v>
      </c>
      <c r="I459" t="s">
        <v>1186</v>
      </c>
      <c r="J459" t="s">
        <v>36</v>
      </c>
      <c r="K459" t="s">
        <v>77</v>
      </c>
      <c r="M459" t="b">
        <v>0</v>
      </c>
      <c r="N459" t="s">
        <v>32</v>
      </c>
      <c r="O459" t="s">
        <v>33</v>
      </c>
      <c r="Q459">
        <v>180.44</v>
      </c>
      <c r="R459">
        <v>7.7</v>
      </c>
      <c r="S459" t="s">
        <v>81</v>
      </c>
      <c r="T459">
        <v>28.1</v>
      </c>
      <c r="V459">
        <v>113</v>
      </c>
      <c r="W459">
        <v>69.400000000000006</v>
      </c>
      <c r="X459">
        <v>11.2</v>
      </c>
      <c r="Y459">
        <v>49.7</v>
      </c>
      <c r="Z459">
        <v>1366417754</v>
      </c>
      <c r="AA459">
        <v>20.593684</v>
      </c>
      <c r="AB459">
        <v>78.962879999999998</v>
      </c>
    </row>
    <row r="460" spans="1:28" hidden="1">
      <c r="A460">
        <v>455</v>
      </c>
      <c r="B460">
        <v>5600</v>
      </c>
      <c r="C460" t="s">
        <v>54</v>
      </c>
      <c r="D460" t="s">
        <v>1187</v>
      </c>
      <c r="E460">
        <v>87</v>
      </c>
      <c r="G460" t="s">
        <v>38</v>
      </c>
      <c r="H460" t="s">
        <v>1188</v>
      </c>
      <c r="I460" t="s">
        <v>231</v>
      </c>
      <c r="J460" t="s">
        <v>54</v>
      </c>
      <c r="K460" t="s">
        <v>38</v>
      </c>
      <c r="M460" t="b">
        <v>1</v>
      </c>
      <c r="N460" t="s">
        <v>42</v>
      </c>
      <c r="O460" t="s">
        <v>33</v>
      </c>
      <c r="Q460">
        <v>117.24</v>
      </c>
      <c r="R460">
        <v>7.5</v>
      </c>
      <c r="S460" t="s">
        <v>44</v>
      </c>
      <c r="T460">
        <v>88.2</v>
      </c>
      <c r="V460">
        <v>101.8</v>
      </c>
      <c r="W460">
        <v>78.5</v>
      </c>
      <c r="X460">
        <v>9.6</v>
      </c>
      <c r="Y460">
        <v>36.6</v>
      </c>
      <c r="Z460">
        <v>328239523</v>
      </c>
      <c r="AA460">
        <v>37.090240000000001</v>
      </c>
      <c r="AB460">
        <v>-95.712890999999999</v>
      </c>
    </row>
    <row r="461" spans="1:28" hidden="1">
      <c r="A461">
        <v>455</v>
      </c>
      <c r="B461">
        <v>5600</v>
      </c>
      <c r="C461" t="s">
        <v>288</v>
      </c>
      <c r="D461" t="s">
        <v>1189</v>
      </c>
      <c r="E461">
        <v>56</v>
      </c>
      <c r="G461" t="s">
        <v>103</v>
      </c>
      <c r="H461" t="s">
        <v>215</v>
      </c>
      <c r="I461" t="s">
        <v>1190</v>
      </c>
      <c r="J461" t="s">
        <v>288</v>
      </c>
      <c r="K461" t="s">
        <v>38</v>
      </c>
      <c r="M461" t="b">
        <v>1</v>
      </c>
      <c r="N461" t="s">
        <v>212</v>
      </c>
      <c r="O461" t="s">
        <v>33</v>
      </c>
      <c r="Q461">
        <v>125.08</v>
      </c>
      <c r="R461">
        <v>2.9</v>
      </c>
      <c r="S461" t="s">
        <v>106</v>
      </c>
      <c r="T461">
        <v>50.6</v>
      </c>
      <c r="V461">
        <v>100.2</v>
      </c>
      <c r="W461">
        <v>77</v>
      </c>
      <c r="X461">
        <v>9.4</v>
      </c>
      <c r="Y461">
        <v>59.2</v>
      </c>
      <c r="Z461">
        <v>1397715000</v>
      </c>
      <c r="AA461">
        <v>35.861660000000001</v>
      </c>
      <c r="AB461">
        <v>104.195397</v>
      </c>
    </row>
    <row r="462" spans="1:28" hidden="1">
      <c r="A462">
        <v>455</v>
      </c>
      <c r="B462">
        <v>5600</v>
      </c>
      <c r="C462" t="s">
        <v>54</v>
      </c>
      <c r="D462" t="s">
        <v>1191</v>
      </c>
      <c r="E462">
        <v>65</v>
      </c>
      <c r="G462" t="s">
        <v>38</v>
      </c>
      <c r="H462" t="s">
        <v>1192</v>
      </c>
      <c r="I462" t="s">
        <v>1193</v>
      </c>
      <c r="J462" t="s">
        <v>54</v>
      </c>
      <c r="K462" t="s">
        <v>38</v>
      </c>
      <c r="M462" t="b">
        <v>0</v>
      </c>
      <c r="N462" t="s">
        <v>42</v>
      </c>
      <c r="O462" t="s">
        <v>88</v>
      </c>
      <c r="Q462">
        <v>117.24</v>
      </c>
      <c r="R462">
        <v>7.5</v>
      </c>
      <c r="S462" t="s">
        <v>44</v>
      </c>
      <c r="T462">
        <v>88.2</v>
      </c>
      <c r="V462">
        <v>101.8</v>
      </c>
      <c r="W462">
        <v>78.5</v>
      </c>
      <c r="X462">
        <v>9.6</v>
      </c>
      <c r="Y462">
        <v>36.6</v>
      </c>
      <c r="Z462">
        <v>328239523</v>
      </c>
      <c r="AA462">
        <v>37.090240000000001</v>
      </c>
      <c r="AB462">
        <v>-95.712890999999999</v>
      </c>
    </row>
    <row r="463" spans="1:28" hidden="1">
      <c r="A463">
        <v>455</v>
      </c>
      <c r="B463">
        <v>5600</v>
      </c>
      <c r="C463" t="s">
        <v>308</v>
      </c>
      <c r="D463" t="s">
        <v>1194</v>
      </c>
      <c r="E463">
        <v>69</v>
      </c>
      <c r="G463" t="s">
        <v>38</v>
      </c>
      <c r="H463" t="s">
        <v>480</v>
      </c>
      <c r="I463" t="s">
        <v>1193</v>
      </c>
      <c r="J463" t="s">
        <v>308</v>
      </c>
      <c r="K463" t="s">
        <v>38</v>
      </c>
      <c r="M463" t="b">
        <v>0</v>
      </c>
      <c r="N463" t="s">
        <v>32</v>
      </c>
      <c r="O463" t="s">
        <v>33</v>
      </c>
      <c r="Q463">
        <v>117.24</v>
      </c>
      <c r="R463">
        <v>7.5</v>
      </c>
      <c r="S463" t="s">
        <v>44</v>
      </c>
      <c r="T463">
        <v>88.2</v>
      </c>
      <c r="V463">
        <v>101.8</v>
      </c>
      <c r="W463">
        <v>78.5</v>
      </c>
      <c r="X463">
        <v>9.6</v>
      </c>
      <c r="Y463">
        <v>36.6</v>
      </c>
      <c r="Z463">
        <v>328239523</v>
      </c>
      <c r="AA463">
        <v>37.090240000000001</v>
      </c>
      <c r="AB463">
        <v>-95.712890999999999</v>
      </c>
    </row>
    <row r="464" spans="1:28" hidden="1">
      <c r="A464">
        <v>455</v>
      </c>
      <c r="B464">
        <v>5600</v>
      </c>
      <c r="C464" t="s">
        <v>179</v>
      </c>
      <c r="D464" t="s">
        <v>1195</v>
      </c>
      <c r="E464">
        <v>51</v>
      </c>
      <c r="G464" t="s">
        <v>342</v>
      </c>
      <c r="H464" t="s">
        <v>1093</v>
      </c>
      <c r="I464" t="s">
        <v>1196</v>
      </c>
      <c r="J464" t="s">
        <v>179</v>
      </c>
      <c r="K464" t="s">
        <v>342</v>
      </c>
      <c r="M464" t="b">
        <v>1</v>
      </c>
      <c r="N464" t="s">
        <v>419</v>
      </c>
      <c r="O464" t="s">
        <v>33</v>
      </c>
      <c r="Q464">
        <v>108.15</v>
      </c>
      <c r="R464">
        <v>0.8</v>
      </c>
      <c r="S464" t="s">
        <v>532</v>
      </c>
      <c r="T464">
        <v>63.4</v>
      </c>
      <c r="V464">
        <v>104.9</v>
      </c>
      <c r="W464">
        <v>82.8</v>
      </c>
      <c r="X464">
        <v>23.1</v>
      </c>
      <c r="Y464">
        <v>25.3</v>
      </c>
      <c r="Z464">
        <v>9053300</v>
      </c>
      <c r="AA464">
        <v>31.046050999999999</v>
      </c>
      <c r="AB464">
        <v>34.851612000000003</v>
      </c>
    </row>
    <row r="465" spans="1:28">
      <c r="A465">
        <v>455</v>
      </c>
      <c r="B465">
        <v>5600</v>
      </c>
      <c r="C465" t="s">
        <v>288</v>
      </c>
      <c r="D465" t="s">
        <v>1197</v>
      </c>
      <c r="E465">
        <v>65</v>
      </c>
      <c r="F465" t="s">
        <v>4848</v>
      </c>
      <c r="G465" t="s">
        <v>611</v>
      </c>
      <c r="H465" t="s">
        <v>612</v>
      </c>
      <c r="I465" t="s">
        <v>1198</v>
      </c>
      <c r="J465" t="s">
        <v>288</v>
      </c>
      <c r="K465" t="s">
        <v>611</v>
      </c>
      <c r="L465" t="s">
        <v>1199</v>
      </c>
      <c r="M465" t="b">
        <v>1</v>
      </c>
      <c r="N465" t="s">
        <v>42</v>
      </c>
      <c r="O465" t="s">
        <v>33</v>
      </c>
      <c r="Q465">
        <v>115.16</v>
      </c>
      <c r="R465">
        <v>0.4</v>
      </c>
      <c r="S465" t="s">
        <v>615</v>
      </c>
      <c r="T465">
        <v>94.3</v>
      </c>
      <c r="U465" t="str">
        <f>IF(T465&gt;=100,"above 100",IF(T465&gt;=80,"80-100",IF(T465&gt;=60,"60-80",IF(T465&gt;=40,"40-60",IF(T465&gt;=20,"20-60","0-20")))))</f>
        <v>80-100</v>
      </c>
      <c r="V465">
        <v>98.1</v>
      </c>
      <c r="W465">
        <v>82.6</v>
      </c>
      <c r="X465">
        <v>15.6</v>
      </c>
      <c r="Y465">
        <v>33.200000000000003</v>
      </c>
      <c r="Z465">
        <v>51709098</v>
      </c>
      <c r="AA465">
        <v>35.907756999999997</v>
      </c>
      <c r="AB465">
        <v>127.76692199999999</v>
      </c>
    </row>
    <row r="466" spans="1:28" hidden="1">
      <c r="A466">
        <v>455</v>
      </c>
      <c r="B466">
        <v>5600</v>
      </c>
      <c r="C466" t="s">
        <v>36</v>
      </c>
      <c r="D466" t="s">
        <v>1200</v>
      </c>
      <c r="E466">
        <v>59</v>
      </c>
      <c r="G466" t="s">
        <v>103</v>
      </c>
      <c r="H466" t="s">
        <v>633</v>
      </c>
      <c r="I466" t="s">
        <v>506</v>
      </c>
      <c r="J466" t="s">
        <v>36</v>
      </c>
      <c r="K466" t="s">
        <v>172</v>
      </c>
      <c r="M466" t="b">
        <v>1</v>
      </c>
      <c r="N466" t="s">
        <v>42</v>
      </c>
      <c r="O466" t="s">
        <v>33</v>
      </c>
      <c r="Q466">
        <v>125.08</v>
      </c>
      <c r="R466">
        <v>2.9</v>
      </c>
      <c r="S466" t="s">
        <v>106</v>
      </c>
      <c r="T466">
        <v>50.6</v>
      </c>
      <c r="V466">
        <v>100.2</v>
      </c>
      <c r="W466">
        <v>77</v>
      </c>
      <c r="X466">
        <v>9.4</v>
      </c>
      <c r="Y466">
        <v>59.2</v>
      </c>
      <c r="Z466">
        <v>1397715000</v>
      </c>
      <c r="AA466">
        <v>35.861660000000001</v>
      </c>
      <c r="AB466">
        <v>104.195397</v>
      </c>
    </row>
    <row r="467" spans="1:28">
      <c r="A467">
        <v>466</v>
      </c>
      <c r="B467">
        <v>5500</v>
      </c>
      <c r="C467" t="s">
        <v>308</v>
      </c>
      <c r="D467" t="s">
        <v>1201</v>
      </c>
      <c r="E467">
        <v>73</v>
      </c>
      <c r="F467" t="str">
        <f>IF(E467&gt;=90,"90-100",IF(E467&gt;=80,"80-90",IF(E467&gt;=70,"70-80",IF(E467&gt;=60,"60-70",IF(E467&gt;=50,"50-60",IF(E467&gt;=40,"40-50",IF(E467&gt;=30,"30-40","20-30")))))))</f>
        <v>70-80</v>
      </c>
      <c r="G467" t="s">
        <v>38</v>
      </c>
      <c r="H467" t="s">
        <v>1202</v>
      </c>
      <c r="I467" t="s">
        <v>1203</v>
      </c>
      <c r="J467" t="s">
        <v>308</v>
      </c>
      <c r="K467" t="s">
        <v>38</v>
      </c>
      <c r="L467" t="s">
        <v>1204</v>
      </c>
      <c r="M467" t="b">
        <v>0</v>
      </c>
      <c r="N467" t="s">
        <v>42</v>
      </c>
      <c r="O467" t="s">
        <v>4867</v>
      </c>
      <c r="P467" t="s">
        <v>34</v>
      </c>
      <c r="Q467">
        <v>117.24</v>
      </c>
      <c r="R467">
        <v>7.5</v>
      </c>
      <c r="S467" t="s">
        <v>44</v>
      </c>
      <c r="T467">
        <v>88.2</v>
      </c>
      <c r="U467" t="str">
        <f>IF(T467&gt;=100,"above 100",IF(T467&gt;=80,"80-100",IF(T467&gt;=60,"60-80",IF(T467&gt;=40,"40-60",IF(T467&gt;=20,"20-60","0-20")))))</f>
        <v>80-100</v>
      </c>
      <c r="V467">
        <v>101.8</v>
      </c>
      <c r="W467">
        <v>78.5</v>
      </c>
      <c r="X467">
        <v>9.6</v>
      </c>
      <c r="Y467">
        <v>36.6</v>
      </c>
      <c r="Z467">
        <v>328239523</v>
      </c>
      <c r="AA467">
        <v>37.090240000000001</v>
      </c>
      <c r="AB467">
        <v>-95.712890999999999</v>
      </c>
    </row>
    <row r="468" spans="1:28" hidden="1">
      <c r="A468">
        <v>466</v>
      </c>
      <c r="B468">
        <v>5500</v>
      </c>
      <c r="C468" t="s">
        <v>63</v>
      </c>
      <c r="D468" t="s">
        <v>1205</v>
      </c>
      <c r="E468">
        <v>65</v>
      </c>
      <c r="G468" t="s">
        <v>38</v>
      </c>
      <c r="H468" t="s">
        <v>1206</v>
      </c>
      <c r="I468" t="s">
        <v>740</v>
      </c>
      <c r="J468" t="s">
        <v>63</v>
      </c>
      <c r="K468" t="s">
        <v>38</v>
      </c>
      <c r="M468" t="b">
        <v>0</v>
      </c>
      <c r="N468" t="s">
        <v>32</v>
      </c>
      <c r="O468" t="s">
        <v>33</v>
      </c>
      <c r="Q468">
        <v>117.24</v>
      </c>
      <c r="R468">
        <v>7.5</v>
      </c>
      <c r="S468" t="s">
        <v>44</v>
      </c>
      <c r="T468">
        <v>88.2</v>
      </c>
      <c r="V468">
        <v>101.8</v>
      </c>
      <c r="W468">
        <v>78.5</v>
      </c>
      <c r="X468">
        <v>9.6</v>
      </c>
      <c r="Y468">
        <v>36.6</v>
      </c>
      <c r="Z468">
        <v>328239523</v>
      </c>
      <c r="AA468">
        <v>37.090240000000001</v>
      </c>
      <c r="AB468">
        <v>-95.712890999999999</v>
      </c>
    </row>
    <row r="469" spans="1:28" hidden="1">
      <c r="A469">
        <v>466</v>
      </c>
      <c r="B469">
        <v>5500</v>
      </c>
      <c r="C469" t="s">
        <v>45</v>
      </c>
      <c r="D469" t="s">
        <v>1207</v>
      </c>
      <c r="E469">
        <v>66</v>
      </c>
      <c r="G469" t="s">
        <v>810</v>
      </c>
      <c r="H469" t="s">
        <v>811</v>
      </c>
      <c r="I469" t="s">
        <v>897</v>
      </c>
      <c r="J469" t="s">
        <v>45</v>
      </c>
      <c r="K469" t="s">
        <v>810</v>
      </c>
      <c r="M469" t="b">
        <v>1</v>
      </c>
      <c r="N469" t="s">
        <v>32</v>
      </c>
      <c r="O469" t="s">
        <v>33</v>
      </c>
    </row>
    <row r="470" spans="1:28">
      <c r="A470">
        <v>466</v>
      </c>
      <c r="B470">
        <v>5500</v>
      </c>
      <c r="C470" t="s">
        <v>45</v>
      </c>
      <c r="D470" t="s">
        <v>1208</v>
      </c>
      <c r="E470">
        <v>32</v>
      </c>
      <c r="F470" t="str">
        <f>IF(E470&gt;=90,"90-100",IF(E470&gt;=80,"80-90",IF(E470&gt;=70,"70-80",IF(E470&gt;=60,"60-70",IF(E470&gt;=50,"50-60",IF(E470&gt;=40,"40-50",IF(E470&gt;=30,"30-40","20-30")))))))</f>
        <v>30-40</v>
      </c>
      <c r="G470" t="s">
        <v>38</v>
      </c>
      <c r="H470" t="s">
        <v>652</v>
      </c>
      <c r="I470" t="s">
        <v>1209</v>
      </c>
      <c r="J470" t="s">
        <v>45</v>
      </c>
      <c r="K470" t="s">
        <v>945</v>
      </c>
      <c r="L470" t="s">
        <v>1210</v>
      </c>
      <c r="M470" t="b">
        <v>1</v>
      </c>
      <c r="N470" t="s">
        <v>42</v>
      </c>
      <c r="O470" t="s">
        <v>4867</v>
      </c>
      <c r="P470" t="s">
        <v>110</v>
      </c>
      <c r="Q470">
        <v>117.24</v>
      </c>
      <c r="R470">
        <v>7.5</v>
      </c>
      <c r="S470" t="s">
        <v>44</v>
      </c>
      <c r="T470">
        <v>88.2</v>
      </c>
      <c r="U470" t="str">
        <f t="shared" ref="U470:U471" si="29">IF(T470&gt;=100,"above 100",IF(T470&gt;=80,"80-100",IF(T470&gt;=60,"60-80",IF(T470&gt;=40,"40-60",IF(T470&gt;=20,"20-60","0-20")))))</f>
        <v>80-100</v>
      </c>
      <c r="V470">
        <v>101.8</v>
      </c>
      <c r="W470">
        <v>78.5</v>
      </c>
      <c r="X470">
        <v>9.6</v>
      </c>
      <c r="Y470">
        <v>36.6</v>
      </c>
      <c r="Z470">
        <v>328239523</v>
      </c>
      <c r="AA470">
        <v>37.090240000000001</v>
      </c>
      <c r="AB470">
        <v>-95.712890999999999</v>
      </c>
    </row>
    <row r="471" spans="1:28">
      <c r="A471">
        <v>466</v>
      </c>
      <c r="B471">
        <v>5500</v>
      </c>
      <c r="C471" t="s">
        <v>45</v>
      </c>
      <c r="D471" t="s">
        <v>1211</v>
      </c>
      <c r="E471">
        <v>34</v>
      </c>
      <c r="F471" t="str">
        <f>IF(E471&gt;=90,"90-100",IF(E471&gt;=80,"80-90",IF(E471&gt;=70,"70-80",IF(E471&gt;=60,"60-70",IF(E471&gt;=50,"50-60",IF(E471&gt;=40,"40-50",IF(E471&gt;=30,"30-40","20-30")))))))</f>
        <v>30-40</v>
      </c>
      <c r="G471" t="s">
        <v>38</v>
      </c>
      <c r="H471" t="s">
        <v>652</v>
      </c>
      <c r="I471" t="s">
        <v>1212</v>
      </c>
      <c r="J471" t="s">
        <v>45</v>
      </c>
      <c r="K471" t="s">
        <v>945</v>
      </c>
      <c r="L471" t="s">
        <v>1210</v>
      </c>
      <c r="M471" t="b">
        <v>1</v>
      </c>
      <c r="N471" t="s">
        <v>42</v>
      </c>
      <c r="O471" t="s">
        <v>4867</v>
      </c>
      <c r="P471" t="s">
        <v>110</v>
      </c>
      <c r="Q471">
        <v>117.24</v>
      </c>
      <c r="R471">
        <v>7.5</v>
      </c>
      <c r="S471" t="s">
        <v>44</v>
      </c>
      <c r="T471">
        <v>88.2</v>
      </c>
      <c r="U471" t="str">
        <f t="shared" si="29"/>
        <v>80-100</v>
      </c>
      <c r="V471">
        <v>101.8</v>
      </c>
      <c r="W471">
        <v>78.5</v>
      </c>
      <c r="X471">
        <v>9.6</v>
      </c>
      <c r="Y471">
        <v>36.6</v>
      </c>
      <c r="Z471">
        <v>328239523</v>
      </c>
      <c r="AA471">
        <v>37.090240000000001</v>
      </c>
      <c r="AB471">
        <v>-95.712890999999999</v>
      </c>
    </row>
    <row r="472" spans="1:28" hidden="1">
      <c r="A472">
        <v>466</v>
      </c>
      <c r="B472">
        <v>5500</v>
      </c>
      <c r="C472" t="s">
        <v>217</v>
      </c>
      <c r="D472" t="s">
        <v>1213</v>
      </c>
      <c r="E472">
        <v>93</v>
      </c>
      <c r="G472" t="s">
        <v>38</v>
      </c>
      <c r="H472" t="s">
        <v>1214</v>
      </c>
      <c r="I472" t="s">
        <v>1215</v>
      </c>
      <c r="J472" t="s">
        <v>217</v>
      </c>
      <c r="K472" t="s">
        <v>38</v>
      </c>
      <c r="M472" t="b">
        <v>1</v>
      </c>
      <c r="N472" t="s">
        <v>32</v>
      </c>
      <c r="O472" t="s">
        <v>33</v>
      </c>
      <c r="Q472">
        <v>117.24</v>
      </c>
      <c r="R472">
        <v>7.5</v>
      </c>
      <c r="S472" t="s">
        <v>44</v>
      </c>
      <c r="T472">
        <v>88.2</v>
      </c>
      <c r="V472">
        <v>101.8</v>
      </c>
      <c r="W472">
        <v>78.5</v>
      </c>
      <c r="X472">
        <v>9.6</v>
      </c>
      <c r="Y472">
        <v>36.6</v>
      </c>
      <c r="Z472">
        <v>328239523</v>
      </c>
      <c r="AA472">
        <v>37.090240000000001</v>
      </c>
      <c r="AB472">
        <v>-95.712890999999999</v>
      </c>
    </row>
    <row r="473" spans="1:28" hidden="1">
      <c r="A473">
        <v>466</v>
      </c>
      <c r="B473">
        <v>5500</v>
      </c>
      <c r="C473" t="s">
        <v>36</v>
      </c>
      <c r="D473" t="s">
        <v>1216</v>
      </c>
      <c r="E473">
        <v>77</v>
      </c>
      <c r="G473" t="s">
        <v>164</v>
      </c>
      <c r="H473" t="s">
        <v>1217</v>
      </c>
      <c r="I473" t="s">
        <v>335</v>
      </c>
      <c r="J473" t="s">
        <v>36</v>
      </c>
      <c r="K473" t="s">
        <v>164</v>
      </c>
      <c r="M473" t="b">
        <v>0</v>
      </c>
      <c r="N473" t="s">
        <v>32</v>
      </c>
      <c r="O473" t="s">
        <v>33</v>
      </c>
      <c r="Q473">
        <v>110.62</v>
      </c>
      <c r="R473">
        <v>0.6</v>
      </c>
      <c r="S473" t="s">
        <v>539</v>
      </c>
      <c r="T473">
        <v>61.9</v>
      </c>
      <c r="V473">
        <v>101.9</v>
      </c>
      <c r="W473">
        <v>82.9</v>
      </c>
      <c r="X473">
        <v>24.3</v>
      </c>
      <c r="Y473">
        <v>59.1</v>
      </c>
      <c r="Z473">
        <v>60297396</v>
      </c>
      <c r="AA473">
        <v>41.871940000000002</v>
      </c>
      <c r="AB473">
        <v>12.56738</v>
      </c>
    </row>
    <row r="474" spans="1:28">
      <c r="A474">
        <v>466</v>
      </c>
      <c r="B474">
        <v>5500</v>
      </c>
      <c r="C474" t="s">
        <v>36</v>
      </c>
      <c r="D474" t="s">
        <v>1218</v>
      </c>
      <c r="E474">
        <v>58</v>
      </c>
      <c r="F474" t="str">
        <f>IF(E474&gt;=90,"90-100",IF(E474&gt;=80,"80-90",IF(E474&gt;=70,"70-80",IF(E474&gt;=60,"60-70",IF(E474&gt;=50,"50-60",IF(E474&gt;=40,"40-50",IF(E474&gt;=30,"30-40","20-30")))))))</f>
        <v>50-60</v>
      </c>
      <c r="G474" t="s">
        <v>38</v>
      </c>
      <c r="H474" t="s">
        <v>581</v>
      </c>
      <c r="I474" t="s">
        <v>1219</v>
      </c>
      <c r="J474" t="s">
        <v>36</v>
      </c>
      <c r="K474" t="s">
        <v>38</v>
      </c>
      <c r="L474" t="s">
        <v>1220</v>
      </c>
      <c r="M474" t="b">
        <v>0</v>
      </c>
      <c r="N474" t="s">
        <v>32</v>
      </c>
      <c r="O474" t="s">
        <v>4867</v>
      </c>
      <c r="P474" t="s">
        <v>1221</v>
      </c>
      <c r="Q474">
        <v>117.24</v>
      </c>
      <c r="R474">
        <v>7.5</v>
      </c>
      <c r="S474" t="s">
        <v>44</v>
      </c>
      <c r="T474">
        <v>88.2</v>
      </c>
      <c r="U474" t="str">
        <f>IF(T474&gt;=100,"above 100",IF(T474&gt;=80,"80-100",IF(T474&gt;=60,"60-80",IF(T474&gt;=40,"40-60",IF(T474&gt;=20,"20-60","0-20")))))</f>
        <v>80-100</v>
      </c>
      <c r="V474">
        <v>101.8</v>
      </c>
      <c r="W474">
        <v>78.5</v>
      </c>
      <c r="X474">
        <v>9.6</v>
      </c>
      <c r="Y474">
        <v>36.6</v>
      </c>
      <c r="Z474">
        <v>328239523</v>
      </c>
      <c r="AA474">
        <v>37.090240000000001</v>
      </c>
      <c r="AB474">
        <v>-95.712890999999999</v>
      </c>
    </row>
    <row r="475" spans="1:28" hidden="1">
      <c r="A475">
        <v>466</v>
      </c>
      <c r="B475">
        <v>5500</v>
      </c>
      <c r="C475" t="s">
        <v>75</v>
      </c>
      <c r="D475" t="s">
        <v>1222</v>
      </c>
      <c r="E475">
        <v>95</v>
      </c>
      <c r="G475" t="s">
        <v>127</v>
      </c>
      <c r="H475" t="s">
        <v>1170</v>
      </c>
      <c r="I475" t="s">
        <v>75</v>
      </c>
      <c r="J475" t="s">
        <v>75</v>
      </c>
      <c r="K475" t="s">
        <v>127</v>
      </c>
      <c r="M475" t="b">
        <v>0</v>
      </c>
      <c r="N475" t="s">
        <v>32</v>
      </c>
      <c r="O475" t="s">
        <v>33</v>
      </c>
      <c r="Q475">
        <v>116.76</v>
      </c>
      <c r="R475">
        <v>1.9</v>
      </c>
      <c r="S475" t="s">
        <v>132</v>
      </c>
      <c r="T475">
        <v>68.900000000000006</v>
      </c>
      <c r="V475">
        <v>100.9</v>
      </c>
      <c r="W475">
        <v>81.900000000000006</v>
      </c>
      <c r="X475">
        <v>12.8</v>
      </c>
      <c r="Y475">
        <v>24.5</v>
      </c>
      <c r="Z475">
        <v>36991981</v>
      </c>
      <c r="AA475">
        <v>56.130366000000002</v>
      </c>
      <c r="AB475">
        <v>-106.346771</v>
      </c>
    </row>
    <row r="476" spans="1:28" hidden="1">
      <c r="A476">
        <v>466</v>
      </c>
      <c r="B476">
        <v>5500</v>
      </c>
      <c r="C476" t="s">
        <v>217</v>
      </c>
      <c r="D476" t="s">
        <v>1223</v>
      </c>
      <c r="E476">
        <v>68</v>
      </c>
      <c r="G476" t="s">
        <v>103</v>
      </c>
      <c r="H476" t="s">
        <v>521</v>
      </c>
      <c r="I476" t="s">
        <v>287</v>
      </c>
      <c r="J476" t="s">
        <v>217</v>
      </c>
      <c r="K476" t="s">
        <v>103</v>
      </c>
      <c r="M476" t="b">
        <v>1</v>
      </c>
      <c r="N476" t="s">
        <v>42</v>
      </c>
      <c r="O476" t="s">
        <v>33</v>
      </c>
      <c r="Q476">
        <v>125.08</v>
      </c>
      <c r="R476">
        <v>2.9</v>
      </c>
      <c r="S476" t="s">
        <v>106</v>
      </c>
      <c r="T476">
        <v>50.6</v>
      </c>
      <c r="V476">
        <v>100.2</v>
      </c>
      <c r="W476">
        <v>77</v>
      </c>
      <c r="X476">
        <v>9.4</v>
      </c>
      <c r="Y476">
        <v>59.2</v>
      </c>
      <c r="Z476">
        <v>1397715000</v>
      </c>
      <c r="AA476">
        <v>35.861660000000001</v>
      </c>
      <c r="AB476">
        <v>104.195397</v>
      </c>
    </row>
    <row r="477" spans="1:28" hidden="1">
      <c r="A477">
        <v>466</v>
      </c>
      <c r="B477">
        <v>5500</v>
      </c>
      <c r="C477" t="s">
        <v>288</v>
      </c>
      <c r="D477" t="s">
        <v>1224</v>
      </c>
      <c r="E477">
        <v>81</v>
      </c>
      <c r="G477" t="s">
        <v>148</v>
      </c>
      <c r="H477" t="s">
        <v>722</v>
      </c>
      <c r="I477" t="s">
        <v>418</v>
      </c>
      <c r="J477" t="s">
        <v>288</v>
      </c>
      <c r="K477" t="s">
        <v>148</v>
      </c>
      <c r="M477" t="b">
        <v>1</v>
      </c>
      <c r="N477" t="s">
        <v>32</v>
      </c>
      <c r="O477" t="s">
        <v>33</v>
      </c>
      <c r="Q477">
        <v>112.85</v>
      </c>
      <c r="R477">
        <v>1.4</v>
      </c>
      <c r="S477" t="s">
        <v>151</v>
      </c>
      <c r="T477">
        <v>70.2</v>
      </c>
      <c r="V477">
        <v>104</v>
      </c>
      <c r="W477">
        <v>80.900000000000006</v>
      </c>
      <c r="X477">
        <v>11.5</v>
      </c>
      <c r="Y477">
        <v>48.8</v>
      </c>
      <c r="Z477">
        <v>83132799</v>
      </c>
      <c r="AA477">
        <v>51.165691000000002</v>
      </c>
      <c r="AB477">
        <v>10.451525999999999</v>
      </c>
    </row>
    <row r="478" spans="1:28" hidden="1">
      <c r="A478">
        <v>466</v>
      </c>
      <c r="B478">
        <v>5500</v>
      </c>
      <c r="C478" t="s">
        <v>54</v>
      </c>
      <c r="D478" t="s">
        <v>1225</v>
      </c>
      <c r="E478">
        <v>58</v>
      </c>
      <c r="G478" t="s">
        <v>148</v>
      </c>
      <c r="H478" t="s">
        <v>1226</v>
      </c>
      <c r="I478" t="s">
        <v>418</v>
      </c>
      <c r="J478" t="s">
        <v>54</v>
      </c>
      <c r="K478" t="s">
        <v>148</v>
      </c>
      <c r="M478" t="b">
        <v>0</v>
      </c>
      <c r="N478" t="s">
        <v>42</v>
      </c>
      <c r="O478" t="s">
        <v>33</v>
      </c>
      <c r="Q478">
        <v>112.85</v>
      </c>
      <c r="R478">
        <v>1.4</v>
      </c>
      <c r="S478" t="s">
        <v>151</v>
      </c>
      <c r="T478">
        <v>70.2</v>
      </c>
      <c r="V478">
        <v>104</v>
      </c>
      <c r="W478">
        <v>80.900000000000006</v>
      </c>
      <c r="X478">
        <v>11.5</v>
      </c>
      <c r="Y478">
        <v>48.8</v>
      </c>
      <c r="Z478">
        <v>83132799</v>
      </c>
      <c r="AA478">
        <v>51.165691000000002</v>
      </c>
      <c r="AB478">
        <v>10.451525999999999</v>
      </c>
    </row>
    <row r="479" spans="1:28" hidden="1">
      <c r="A479">
        <v>466</v>
      </c>
      <c r="B479">
        <v>5500</v>
      </c>
      <c r="C479" t="s">
        <v>217</v>
      </c>
      <c r="D479" t="s">
        <v>1227</v>
      </c>
      <c r="E479">
        <v>66</v>
      </c>
      <c r="G479" t="s">
        <v>38</v>
      </c>
      <c r="H479" t="s">
        <v>1228</v>
      </c>
      <c r="I479" t="s">
        <v>871</v>
      </c>
      <c r="J479" t="s">
        <v>217</v>
      </c>
      <c r="K479" t="s">
        <v>38</v>
      </c>
      <c r="M479" t="b">
        <v>1</v>
      </c>
      <c r="N479" t="s">
        <v>42</v>
      </c>
      <c r="O479" t="s">
        <v>33</v>
      </c>
      <c r="Q479">
        <v>117.24</v>
      </c>
      <c r="R479">
        <v>7.5</v>
      </c>
      <c r="S479" t="s">
        <v>44</v>
      </c>
      <c r="T479">
        <v>88.2</v>
      </c>
      <c r="V479">
        <v>101.8</v>
      </c>
      <c r="W479">
        <v>78.5</v>
      </c>
      <c r="X479">
        <v>9.6</v>
      </c>
      <c r="Y479">
        <v>36.6</v>
      </c>
      <c r="Z479">
        <v>328239523</v>
      </c>
      <c r="AA479">
        <v>37.090240000000001</v>
      </c>
      <c r="AB479">
        <v>-95.712890999999999</v>
      </c>
    </row>
    <row r="480" spans="1:28" hidden="1">
      <c r="A480">
        <v>466</v>
      </c>
      <c r="B480">
        <v>5500</v>
      </c>
      <c r="C480" t="s">
        <v>63</v>
      </c>
      <c r="D480" t="s">
        <v>1229</v>
      </c>
      <c r="E480">
        <v>78</v>
      </c>
      <c r="G480" t="s">
        <v>38</v>
      </c>
      <c r="H480" t="s">
        <v>1230</v>
      </c>
      <c r="I480" t="s">
        <v>740</v>
      </c>
      <c r="J480" t="s">
        <v>63</v>
      </c>
      <c r="K480" t="s">
        <v>38</v>
      </c>
      <c r="M480" t="b">
        <v>0</v>
      </c>
      <c r="N480" t="s">
        <v>32</v>
      </c>
      <c r="O480" t="s">
        <v>88</v>
      </c>
      <c r="Q480">
        <v>117.24</v>
      </c>
      <c r="R480">
        <v>7.5</v>
      </c>
      <c r="S480" t="s">
        <v>44</v>
      </c>
      <c r="T480">
        <v>88.2</v>
      </c>
      <c r="V480">
        <v>101.8</v>
      </c>
      <c r="W480">
        <v>78.5</v>
      </c>
      <c r="X480">
        <v>9.6</v>
      </c>
      <c r="Y480">
        <v>36.6</v>
      </c>
      <c r="Z480">
        <v>328239523</v>
      </c>
      <c r="AA480">
        <v>37.090240000000001</v>
      </c>
      <c r="AB480">
        <v>-95.712890999999999</v>
      </c>
    </row>
    <row r="481" spans="1:28" hidden="1">
      <c r="A481">
        <v>466</v>
      </c>
      <c r="B481">
        <v>5500</v>
      </c>
      <c r="C481" t="s">
        <v>54</v>
      </c>
      <c r="D481" t="s">
        <v>1231</v>
      </c>
      <c r="E481">
        <v>57</v>
      </c>
      <c r="G481" t="s">
        <v>172</v>
      </c>
      <c r="H481" t="s">
        <v>172</v>
      </c>
      <c r="I481" t="s">
        <v>1152</v>
      </c>
      <c r="J481" t="s">
        <v>54</v>
      </c>
      <c r="K481" t="s">
        <v>282</v>
      </c>
      <c r="M481" t="b">
        <v>1</v>
      </c>
      <c r="N481" t="s">
        <v>32</v>
      </c>
      <c r="O481" t="s">
        <v>33</v>
      </c>
    </row>
    <row r="482" spans="1:28">
      <c r="A482">
        <v>466</v>
      </c>
      <c r="B482">
        <v>5500</v>
      </c>
      <c r="C482" t="s">
        <v>54</v>
      </c>
      <c r="D482" t="s">
        <v>1232</v>
      </c>
      <c r="E482">
        <v>78</v>
      </c>
      <c r="F482" t="str">
        <f>IF(E482&gt;=90,"90-100",IF(E482&gt;=80,"80-90",IF(E482&gt;=70,"70-80",IF(E482&gt;=60,"60-70",IF(E482&gt;=50,"50-60",IF(E482&gt;=40,"40-50",IF(E482&gt;=30,"30-40","20-30")))))))</f>
        <v>70-80</v>
      </c>
      <c r="G482" t="s">
        <v>38</v>
      </c>
      <c r="H482" t="s">
        <v>65</v>
      </c>
      <c r="I482" t="s">
        <v>185</v>
      </c>
      <c r="J482" t="s">
        <v>54</v>
      </c>
      <c r="K482" t="s">
        <v>38</v>
      </c>
      <c r="L482" t="s">
        <v>1233</v>
      </c>
      <c r="M482" t="b">
        <v>1</v>
      </c>
      <c r="N482" t="s">
        <v>32</v>
      </c>
      <c r="O482" t="s">
        <v>4867</v>
      </c>
      <c r="P482" t="s">
        <v>468</v>
      </c>
      <c r="Q482">
        <v>117.24</v>
      </c>
      <c r="R482">
        <v>7.5</v>
      </c>
      <c r="S482" t="s">
        <v>44</v>
      </c>
      <c r="T482">
        <v>88.2</v>
      </c>
      <c r="U482" t="str">
        <f>IF(T482&gt;=100,"above 100",IF(T482&gt;=80,"80-100",IF(T482&gt;=60,"60-80",IF(T482&gt;=40,"40-60",IF(T482&gt;=20,"20-60","0-20")))))</f>
        <v>80-100</v>
      </c>
      <c r="V482">
        <v>101.8</v>
      </c>
      <c r="W482">
        <v>78.5</v>
      </c>
      <c r="X482">
        <v>9.6</v>
      </c>
      <c r="Y482">
        <v>36.6</v>
      </c>
      <c r="Z482">
        <v>328239523</v>
      </c>
      <c r="AA482">
        <v>37.090240000000001</v>
      </c>
      <c r="AB482">
        <v>-95.712890999999999</v>
      </c>
    </row>
    <row r="483" spans="1:28" hidden="1">
      <c r="A483">
        <v>466</v>
      </c>
      <c r="B483">
        <v>5500</v>
      </c>
      <c r="C483" t="s">
        <v>288</v>
      </c>
      <c r="D483" t="s">
        <v>1234</v>
      </c>
      <c r="E483">
        <v>80</v>
      </c>
      <c r="G483" t="s">
        <v>164</v>
      </c>
      <c r="H483" t="s">
        <v>1235</v>
      </c>
      <c r="I483" t="s">
        <v>1236</v>
      </c>
      <c r="J483" t="s">
        <v>288</v>
      </c>
      <c r="K483" t="s">
        <v>164</v>
      </c>
      <c r="M483" t="b">
        <v>1</v>
      </c>
      <c r="N483" t="s">
        <v>32</v>
      </c>
      <c r="O483" t="s">
        <v>33</v>
      </c>
      <c r="Q483">
        <v>110.62</v>
      </c>
      <c r="R483">
        <v>0.6</v>
      </c>
      <c r="S483" t="s">
        <v>539</v>
      </c>
      <c r="T483">
        <v>61.9</v>
      </c>
      <c r="V483">
        <v>101.9</v>
      </c>
      <c r="W483">
        <v>82.9</v>
      </c>
      <c r="X483">
        <v>24.3</v>
      </c>
      <c r="Y483">
        <v>59.1</v>
      </c>
      <c r="Z483">
        <v>60297396</v>
      </c>
      <c r="AA483">
        <v>41.871940000000002</v>
      </c>
      <c r="AB483">
        <v>12.56738</v>
      </c>
    </row>
    <row r="484" spans="1:28" hidden="1">
      <c r="A484">
        <v>466</v>
      </c>
      <c r="B484">
        <v>5500</v>
      </c>
      <c r="C484" t="s">
        <v>63</v>
      </c>
      <c r="D484" t="s">
        <v>1237</v>
      </c>
      <c r="E484">
        <v>80</v>
      </c>
      <c r="G484" t="s">
        <v>38</v>
      </c>
      <c r="H484" t="s">
        <v>1238</v>
      </c>
      <c r="I484" t="s">
        <v>740</v>
      </c>
      <c r="J484" t="s">
        <v>63</v>
      </c>
      <c r="K484" t="s">
        <v>38</v>
      </c>
      <c r="M484" t="b">
        <v>0</v>
      </c>
      <c r="N484" t="s">
        <v>32</v>
      </c>
      <c r="O484" t="s">
        <v>88</v>
      </c>
      <c r="Q484">
        <v>117.24</v>
      </c>
      <c r="R484">
        <v>7.5</v>
      </c>
      <c r="S484" t="s">
        <v>44</v>
      </c>
      <c r="T484">
        <v>88.2</v>
      </c>
      <c r="V484">
        <v>101.8</v>
      </c>
      <c r="W484">
        <v>78.5</v>
      </c>
      <c r="X484">
        <v>9.6</v>
      </c>
      <c r="Y484">
        <v>36.6</v>
      </c>
      <c r="Z484">
        <v>328239523</v>
      </c>
      <c r="AA484">
        <v>37.090240000000001</v>
      </c>
      <c r="AB484">
        <v>-95.712890999999999</v>
      </c>
    </row>
    <row r="485" spans="1:28" hidden="1">
      <c r="A485">
        <v>466</v>
      </c>
      <c r="B485">
        <v>5500</v>
      </c>
      <c r="C485" t="s">
        <v>45</v>
      </c>
      <c r="D485" t="s">
        <v>1239</v>
      </c>
      <c r="E485">
        <v>68</v>
      </c>
      <c r="G485" t="s">
        <v>238</v>
      </c>
      <c r="H485" t="s">
        <v>492</v>
      </c>
      <c r="I485" t="s">
        <v>572</v>
      </c>
      <c r="J485" t="s">
        <v>45</v>
      </c>
      <c r="K485" t="s">
        <v>238</v>
      </c>
      <c r="M485" t="b">
        <v>1</v>
      </c>
      <c r="N485" t="s">
        <v>32</v>
      </c>
      <c r="O485" t="s">
        <v>33</v>
      </c>
      <c r="Q485">
        <v>119.8</v>
      </c>
      <c r="R485">
        <v>1.6</v>
      </c>
      <c r="S485" t="s">
        <v>243</v>
      </c>
      <c r="T485">
        <v>113.1</v>
      </c>
      <c r="V485">
        <v>100.3</v>
      </c>
      <c r="W485">
        <v>82.7</v>
      </c>
      <c r="X485">
        <v>23</v>
      </c>
      <c r="Y485">
        <v>47.4</v>
      </c>
      <c r="Z485">
        <v>25766605</v>
      </c>
      <c r="AA485">
        <v>-25.274398000000001</v>
      </c>
      <c r="AB485">
        <v>133.775136</v>
      </c>
    </row>
    <row r="486" spans="1:28" hidden="1">
      <c r="A486">
        <v>466</v>
      </c>
      <c r="B486">
        <v>5500</v>
      </c>
      <c r="C486" t="s">
        <v>75</v>
      </c>
      <c r="D486" t="s">
        <v>1240</v>
      </c>
      <c r="E486">
        <v>56</v>
      </c>
      <c r="G486" t="s">
        <v>103</v>
      </c>
      <c r="H486" t="s">
        <v>143</v>
      </c>
      <c r="I486" t="s">
        <v>1198</v>
      </c>
      <c r="J486" t="s">
        <v>75</v>
      </c>
      <c r="K486" t="s">
        <v>103</v>
      </c>
      <c r="M486" t="b">
        <v>1</v>
      </c>
      <c r="N486" t="s">
        <v>42</v>
      </c>
      <c r="O486" t="s">
        <v>88</v>
      </c>
      <c r="Q486">
        <v>125.08</v>
      </c>
      <c r="R486">
        <v>2.9</v>
      </c>
      <c r="S486" t="s">
        <v>106</v>
      </c>
      <c r="T486">
        <v>50.6</v>
      </c>
      <c r="V486">
        <v>100.2</v>
      </c>
      <c r="W486">
        <v>77</v>
      </c>
      <c r="X486">
        <v>9.4</v>
      </c>
      <c r="Y486">
        <v>59.2</v>
      </c>
      <c r="Z486">
        <v>1397715000</v>
      </c>
      <c r="AA486">
        <v>35.861660000000001</v>
      </c>
      <c r="AB486">
        <v>104.195397</v>
      </c>
    </row>
    <row r="487" spans="1:28" hidden="1">
      <c r="A487">
        <v>486</v>
      </c>
      <c r="B487">
        <v>5400</v>
      </c>
      <c r="C487" t="s">
        <v>26</v>
      </c>
      <c r="D487" t="s">
        <v>1241</v>
      </c>
      <c r="E487">
        <v>77</v>
      </c>
      <c r="G487" t="s">
        <v>164</v>
      </c>
      <c r="H487" t="s">
        <v>538</v>
      </c>
      <c r="I487" t="s">
        <v>153</v>
      </c>
      <c r="J487" t="s">
        <v>26</v>
      </c>
      <c r="K487" t="s">
        <v>164</v>
      </c>
      <c r="M487" t="b">
        <v>1</v>
      </c>
      <c r="N487" t="s">
        <v>32</v>
      </c>
      <c r="O487" t="s">
        <v>33</v>
      </c>
      <c r="Q487">
        <v>110.62</v>
      </c>
      <c r="R487">
        <v>0.6</v>
      </c>
      <c r="S487" t="s">
        <v>539</v>
      </c>
      <c r="T487">
        <v>61.9</v>
      </c>
      <c r="V487">
        <v>101.9</v>
      </c>
      <c r="W487">
        <v>82.9</v>
      </c>
      <c r="X487">
        <v>24.3</v>
      </c>
      <c r="Y487">
        <v>59.1</v>
      </c>
      <c r="Z487">
        <v>60297396</v>
      </c>
      <c r="AA487">
        <v>41.871940000000002</v>
      </c>
      <c r="AB487">
        <v>12.56738</v>
      </c>
    </row>
    <row r="488" spans="1:28" hidden="1">
      <c r="A488">
        <v>486</v>
      </c>
      <c r="B488">
        <v>5400</v>
      </c>
      <c r="C488" t="s">
        <v>217</v>
      </c>
      <c r="D488" t="s">
        <v>1242</v>
      </c>
      <c r="E488">
        <v>81</v>
      </c>
      <c r="G488" t="s">
        <v>77</v>
      </c>
      <c r="H488" t="s">
        <v>78</v>
      </c>
      <c r="I488" t="s">
        <v>450</v>
      </c>
      <c r="J488" t="s">
        <v>217</v>
      </c>
      <c r="K488" t="s">
        <v>77</v>
      </c>
      <c r="M488" t="b">
        <v>0</v>
      </c>
      <c r="N488" t="s">
        <v>42</v>
      </c>
      <c r="O488" t="s">
        <v>33</v>
      </c>
      <c r="Q488">
        <v>180.44</v>
      </c>
      <c r="R488">
        <v>7.7</v>
      </c>
      <c r="S488" t="s">
        <v>81</v>
      </c>
      <c r="T488">
        <v>28.1</v>
      </c>
      <c r="V488">
        <v>113</v>
      </c>
      <c r="W488">
        <v>69.400000000000006</v>
      </c>
      <c r="X488">
        <v>11.2</v>
      </c>
      <c r="Y488">
        <v>49.7</v>
      </c>
      <c r="Z488">
        <v>1366417754</v>
      </c>
      <c r="AA488">
        <v>20.593684</v>
      </c>
      <c r="AB488">
        <v>78.962879999999998</v>
      </c>
    </row>
    <row r="489" spans="1:28" hidden="1">
      <c r="A489">
        <v>486</v>
      </c>
      <c r="B489">
        <v>5400</v>
      </c>
      <c r="C489" t="s">
        <v>54</v>
      </c>
      <c r="D489" t="s">
        <v>1243</v>
      </c>
      <c r="E489">
        <v>43</v>
      </c>
      <c r="G489" t="s">
        <v>38</v>
      </c>
      <c r="H489" t="s">
        <v>1244</v>
      </c>
      <c r="I489" t="s">
        <v>1245</v>
      </c>
      <c r="J489" t="s">
        <v>54</v>
      </c>
      <c r="K489" t="s">
        <v>38</v>
      </c>
      <c r="M489" t="b">
        <v>0</v>
      </c>
      <c r="N489" t="s">
        <v>32</v>
      </c>
      <c r="O489" t="s">
        <v>33</v>
      </c>
      <c r="Q489">
        <v>117.24</v>
      </c>
      <c r="R489">
        <v>7.5</v>
      </c>
      <c r="S489" t="s">
        <v>44</v>
      </c>
      <c r="T489">
        <v>88.2</v>
      </c>
      <c r="V489">
        <v>101.8</v>
      </c>
      <c r="W489">
        <v>78.5</v>
      </c>
      <c r="X489">
        <v>9.6</v>
      </c>
      <c r="Y489">
        <v>36.6</v>
      </c>
      <c r="Z489">
        <v>328239523</v>
      </c>
      <c r="AA489">
        <v>37.090240000000001</v>
      </c>
      <c r="AB489">
        <v>-95.712890999999999</v>
      </c>
    </row>
    <row r="490" spans="1:28" hidden="1">
      <c r="A490">
        <v>486</v>
      </c>
      <c r="B490">
        <v>5400</v>
      </c>
      <c r="C490" t="s">
        <v>45</v>
      </c>
      <c r="D490" t="s">
        <v>1246</v>
      </c>
      <c r="E490">
        <v>68</v>
      </c>
      <c r="G490" t="s">
        <v>395</v>
      </c>
      <c r="H490" t="s">
        <v>395</v>
      </c>
      <c r="I490" t="s">
        <v>1143</v>
      </c>
      <c r="J490" t="s">
        <v>45</v>
      </c>
      <c r="K490" t="s">
        <v>38</v>
      </c>
      <c r="M490" t="b">
        <v>1</v>
      </c>
      <c r="N490" t="s">
        <v>42</v>
      </c>
      <c r="O490" t="s">
        <v>33</v>
      </c>
      <c r="Q490">
        <v>114.41</v>
      </c>
      <c r="R490">
        <v>0.6</v>
      </c>
      <c r="S490" t="s">
        <v>451</v>
      </c>
      <c r="T490">
        <v>84.8</v>
      </c>
      <c r="V490">
        <v>100.6</v>
      </c>
      <c r="W490">
        <v>83.1</v>
      </c>
      <c r="X490">
        <v>13.1</v>
      </c>
      <c r="Y490">
        <v>21</v>
      </c>
      <c r="Z490">
        <v>5703569</v>
      </c>
      <c r="AA490">
        <v>1.3520829999999999</v>
      </c>
      <c r="AB490">
        <v>103.819836</v>
      </c>
    </row>
    <row r="491" spans="1:28" hidden="1">
      <c r="A491">
        <v>486</v>
      </c>
      <c r="B491">
        <v>5400</v>
      </c>
      <c r="C491" t="s">
        <v>75</v>
      </c>
      <c r="D491" t="s">
        <v>1247</v>
      </c>
      <c r="E491">
        <v>58</v>
      </c>
      <c r="G491" t="s">
        <v>103</v>
      </c>
      <c r="H491" t="s">
        <v>1248</v>
      </c>
      <c r="I491" t="s">
        <v>1249</v>
      </c>
      <c r="J491" t="s">
        <v>75</v>
      </c>
      <c r="K491" t="s">
        <v>103</v>
      </c>
      <c r="M491" t="b">
        <v>1</v>
      </c>
      <c r="N491" t="s">
        <v>42</v>
      </c>
      <c r="O491" t="s">
        <v>33</v>
      </c>
      <c r="Q491">
        <v>125.08</v>
      </c>
      <c r="R491">
        <v>2.9</v>
      </c>
      <c r="S491" t="s">
        <v>106</v>
      </c>
      <c r="T491">
        <v>50.6</v>
      </c>
      <c r="V491">
        <v>100.2</v>
      </c>
      <c r="W491">
        <v>77</v>
      </c>
      <c r="X491">
        <v>9.4</v>
      </c>
      <c r="Y491">
        <v>59.2</v>
      </c>
      <c r="Z491">
        <v>1397715000</v>
      </c>
      <c r="AA491">
        <v>35.861660000000001</v>
      </c>
      <c r="AB491">
        <v>104.195397</v>
      </c>
    </row>
    <row r="492" spans="1:28">
      <c r="A492">
        <v>486</v>
      </c>
      <c r="B492">
        <v>5400</v>
      </c>
      <c r="C492" t="s">
        <v>217</v>
      </c>
      <c r="D492" t="s">
        <v>1250</v>
      </c>
      <c r="E492">
        <v>77</v>
      </c>
      <c r="F492" t="str">
        <f>IF(E492&gt;=90,"90-100",IF(E492&gt;=80,"80-90",IF(E492&gt;=70,"70-80",IF(E492&gt;=60,"60-70",IF(E492&gt;=50,"50-60",IF(E492&gt;=40,"40-50",IF(E492&gt;=30,"30-40","20-30")))))))</f>
        <v>70-80</v>
      </c>
      <c r="G492" t="s">
        <v>156</v>
      </c>
      <c r="H492" t="s">
        <v>1251</v>
      </c>
      <c r="I492" t="s">
        <v>1252</v>
      </c>
      <c r="J492" t="s">
        <v>217</v>
      </c>
      <c r="K492" t="s">
        <v>156</v>
      </c>
      <c r="L492" t="s">
        <v>1253</v>
      </c>
      <c r="M492" t="b">
        <v>1</v>
      </c>
      <c r="N492" t="s">
        <v>32</v>
      </c>
      <c r="O492" t="s">
        <v>4867</v>
      </c>
      <c r="P492" t="s">
        <v>1254</v>
      </c>
      <c r="Q492">
        <v>99.55</v>
      </c>
      <c r="R492">
        <v>0.4</v>
      </c>
      <c r="S492" t="s">
        <v>159</v>
      </c>
      <c r="T492">
        <v>59.6</v>
      </c>
      <c r="U492" t="str">
        <f t="shared" ref="U492:U493" si="30">IF(T492&gt;=100,"above 100",IF(T492&gt;=80,"80-100",IF(T492&gt;=60,"60-80",IF(T492&gt;=40,"40-60",IF(T492&gt;=20,"20-60","0-20")))))</f>
        <v>40-60</v>
      </c>
      <c r="V492">
        <v>105.2</v>
      </c>
      <c r="W492">
        <v>83.6</v>
      </c>
      <c r="X492">
        <v>10.1</v>
      </c>
      <c r="Y492">
        <v>28.8</v>
      </c>
      <c r="Z492">
        <v>8574832</v>
      </c>
      <c r="AA492">
        <v>46.818187999999999</v>
      </c>
      <c r="AB492">
        <v>8.2275120000000008</v>
      </c>
    </row>
    <row r="493" spans="1:28">
      <c r="A493">
        <v>486</v>
      </c>
      <c r="B493">
        <v>5400</v>
      </c>
      <c r="C493" t="s">
        <v>26</v>
      </c>
      <c r="D493" t="s">
        <v>1255</v>
      </c>
      <c r="E493">
        <v>73</v>
      </c>
      <c r="F493" t="str">
        <f>IF(E493&gt;=90,"90-100",IF(E493&gt;=80,"80-90",IF(E493&gt;=70,"70-80",IF(E493&gt;=60,"60-70",IF(E493&gt;=50,"50-60",IF(E493&gt;=40,"40-50",IF(E493&gt;=30,"30-40","20-30")))))))</f>
        <v>70-80</v>
      </c>
      <c r="G493" t="s">
        <v>164</v>
      </c>
      <c r="H493" t="s">
        <v>538</v>
      </c>
      <c r="I493" t="s">
        <v>153</v>
      </c>
      <c r="J493" t="s">
        <v>26</v>
      </c>
      <c r="K493" t="s">
        <v>164</v>
      </c>
      <c r="L493" t="s">
        <v>1256</v>
      </c>
      <c r="M493" t="b">
        <v>0</v>
      </c>
      <c r="N493" t="s">
        <v>32</v>
      </c>
      <c r="O493" t="s">
        <v>4866</v>
      </c>
      <c r="P493" t="s">
        <v>1257</v>
      </c>
      <c r="Q493">
        <v>110.62</v>
      </c>
      <c r="R493">
        <v>0.6</v>
      </c>
      <c r="S493" t="s">
        <v>539</v>
      </c>
      <c r="T493">
        <v>61.9</v>
      </c>
      <c r="U493" t="str">
        <f t="shared" si="30"/>
        <v>60-80</v>
      </c>
      <c r="V493">
        <v>101.9</v>
      </c>
      <c r="W493">
        <v>82.9</v>
      </c>
      <c r="X493">
        <v>24.3</v>
      </c>
      <c r="Y493">
        <v>59.1</v>
      </c>
      <c r="Z493">
        <v>60297396</v>
      </c>
      <c r="AA493">
        <v>41.871940000000002</v>
      </c>
      <c r="AB493">
        <v>12.56738</v>
      </c>
    </row>
    <row r="494" spans="1:28" hidden="1">
      <c r="A494">
        <v>486</v>
      </c>
      <c r="B494">
        <v>5400</v>
      </c>
      <c r="C494" t="s">
        <v>26</v>
      </c>
      <c r="D494" t="s">
        <v>1258</v>
      </c>
      <c r="E494">
        <v>70</v>
      </c>
      <c r="G494" t="s">
        <v>148</v>
      </c>
      <c r="H494" t="s">
        <v>1259</v>
      </c>
      <c r="I494" t="s">
        <v>1260</v>
      </c>
      <c r="J494" t="s">
        <v>26</v>
      </c>
      <c r="K494" t="s">
        <v>148</v>
      </c>
      <c r="M494" t="b">
        <v>0</v>
      </c>
      <c r="N494" t="s">
        <v>42</v>
      </c>
      <c r="O494" t="s">
        <v>33</v>
      </c>
      <c r="Q494">
        <v>112.85</v>
      </c>
      <c r="R494">
        <v>1.4</v>
      </c>
      <c r="S494" t="s">
        <v>151</v>
      </c>
      <c r="T494">
        <v>70.2</v>
      </c>
      <c r="V494">
        <v>104</v>
      </c>
      <c r="W494">
        <v>80.900000000000006</v>
      </c>
      <c r="X494">
        <v>11.5</v>
      </c>
      <c r="Y494">
        <v>48.8</v>
      </c>
      <c r="Z494">
        <v>83132799</v>
      </c>
      <c r="AA494">
        <v>51.165691000000002</v>
      </c>
      <c r="AB494">
        <v>10.451525999999999</v>
      </c>
    </row>
    <row r="495" spans="1:28" hidden="1">
      <c r="A495">
        <v>486</v>
      </c>
      <c r="B495">
        <v>5400</v>
      </c>
      <c r="C495" t="s">
        <v>26</v>
      </c>
      <c r="D495" t="s">
        <v>1261</v>
      </c>
      <c r="E495">
        <v>58</v>
      </c>
      <c r="G495" t="s">
        <v>148</v>
      </c>
      <c r="H495" t="s">
        <v>1051</v>
      </c>
      <c r="I495" t="s">
        <v>1260</v>
      </c>
      <c r="J495" t="s">
        <v>26</v>
      </c>
      <c r="K495" t="s">
        <v>148</v>
      </c>
      <c r="M495" t="b">
        <v>0</v>
      </c>
      <c r="N495" t="s">
        <v>42</v>
      </c>
      <c r="O495" t="s">
        <v>33</v>
      </c>
      <c r="Q495">
        <v>112.85</v>
      </c>
      <c r="R495">
        <v>1.4</v>
      </c>
      <c r="S495" t="s">
        <v>151</v>
      </c>
      <c r="T495">
        <v>70.2</v>
      </c>
      <c r="V495">
        <v>104</v>
      </c>
      <c r="W495">
        <v>80.900000000000006</v>
      </c>
      <c r="X495">
        <v>11.5</v>
      </c>
      <c r="Y495">
        <v>48.8</v>
      </c>
      <c r="Z495">
        <v>83132799</v>
      </c>
      <c r="AA495">
        <v>51.165691000000002</v>
      </c>
      <c r="AB495">
        <v>10.451525999999999</v>
      </c>
    </row>
    <row r="496" spans="1:28" hidden="1">
      <c r="A496">
        <v>486</v>
      </c>
      <c r="B496">
        <v>5400</v>
      </c>
      <c r="C496" t="s">
        <v>26</v>
      </c>
      <c r="D496" t="s">
        <v>1262</v>
      </c>
      <c r="E496">
        <v>59</v>
      </c>
      <c r="G496" t="s">
        <v>189</v>
      </c>
      <c r="H496" t="s">
        <v>803</v>
      </c>
      <c r="I496" t="s">
        <v>1260</v>
      </c>
      <c r="J496" t="s">
        <v>26</v>
      </c>
      <c r="K496" t="s">
        <v>148</v>
      </c>
      <c r="M496" t="b">
        <v>0</v>
      </c>
      <c r="N496" t="s">
        <v>42</v>
      </c>
      <c r="O496" t="s">
        <v>33</v>
      </c>
      <c r="Q496">
        <v>118.06</v>
      </c>
      <c r="R496">
        <v>1.5</v>
      </c>
      <c r="S496" t="s">
        <v>193</v>
      </c>
      <c r="T496">
        <v>85.1</v>
      </c>
      <c r="V496">
        <v>103.1</v>
      </c>
      <c r="W496">
        <v>81.599999999999994</v>
      </c>
      <c r="X496">
        <v>25.4</v>
      </c>
      <c r="Y496">
        <v>51.4</v>
      </c>
      <c r="Z496">
        <v>8877067</v>
      </c>
      <c r="AA496">
        <v>47.516230999999998</v>
      </c>
      <c r="AB496">
        <v>14.550072</v>
      </c>
    </row>
    <row r="497" spans="1:28" hidden="1">
      <c r="A497">
        <v>486</v>
      </c>
      <c r="B497">
        <v>5400</v>
      </c>
      <c r="C497" t="s">
        <v>26</v>
      </c>
      <c r="D497" t="s">
        <v>1263</v>
      </c>
      <c r="E497">
        <v>71</v>
      </c>
      <c r="G497" t="s">
        <v>189</v>
      </c>
      <c r="H497" t="s">
        <v>803</v>
      </c>
      <c r="I497" t="s">
        <v>1260</v>
      </c>
      <c r="J497" t="s">
        <v>26</v>
      </c>
      <c r="K497" t="s">
        <v>148</v>
      </c>
      <c r="M497" t="b">
        <v>0</v>
      </c>
      <c r="N497" t="s">
        <v>42</v>
      </c>
      <c r="O497" t="s">
        <v>88</v>
      </c>
      <c r="Q497">
        <v>118.06</v>
      </c>
      <c r="R497">
        <v>1.5</v>
      </c>
      <c r="S497" t="s">
        <v>193</v>
      </c>
      <c r="T497">
        <v>85.1</v>
      </c>
      <c r="V497">
        <v>103.1</v>
      </c>
      <c r="W497">
        <v>81.599999999999994</v>
      </c>
      <c r="X497">
        <v>25.4</v>
      </c>
      <c r="Y497">
        <v>51.4</v>
      </c>
      <c r="Z497">
        <v>8877067</v>
      </c>
      <c r="AA497">
        <v>47.516230999999998</v>
      </c>
      <c r="AB497">
        <v>14.550072</v>
      </c>
    </row>
    <row r="498" spans="1:28" hidden="1">
      <c r="A498">
        <v>497</v>
      </c>
      <c r="B498">
        <v>5300</v>
      </c>
      <c r="C498" t="s">
        <v>54</v>
      </c>
      <c r="D498" t="s">
        <v>1264</v>
      </c>
      <c r="E498">
        <v>49</v>
      </c>
      <c r="G498" t="s">
        <v>38</v>
      </c>
      <c r="H498" t="s">
        <v>1149</v>
      </c>
      <c r="I498" t="s">
        <v>1152</v>
      </c>
      <c r="J498" t="s">
        <v>54</v>
      </c>
      <c r="K498" t="s">
        <v>38</v>
      </c>
      <c r="M498" t="b">
        <v>1</v>
      </c>
      <c r="N498" t="s">
        <v>32</v>
      </c>
      <c r="O498" t="s">
        <v>33</v>
      </c>
      <c r="Q498">
        <v>117.24</v>
      </c>
      <c r="R498">
        <v>7.5</v>
      </c>
      <c r="S498" t="s">
        <v>44</v>
      </c>
      <c r="T498">
        <v>88.2</v>
      </c>
      <c r="V498">
        <v>101.8</v>
      </c>
      <c r="W498">
        <v>78.5</v>
      </c>
      <c r="X498">
        <v>9.6</v>
      </c>
      <c r="Y498">
        <v>36.6</v>
      </c>
      <c r="Z498">
        <v>328239523</v>
      </c>
      <c r="AA498">
        <v>37.090240000000001</v>
      </c>
      <c r="AB498">
        <v>-95.712890999999999</v>
      </c>
    </row>
    <row r="499" spans="1:28" hidden="1">
      <c r="A499">
        <v>497</v>
      </c>
      <c r="B499">
        <v>5300</v>
      </c>
      <c r="C499" t="s">
        <v>221</v>
      </c>
      <c r="D499" t="s">
        <v>1265</v>
      </c>
      <c r="E499">
        <v>64</v>
      </c>
      <c r="G499" t="s">
        <v>38</v>
      </c>
      <c r="H499" t="s">
        <v>635</v>
      </c>
      <c r="I499" t="s">
        <v>223</v>
      </c>
      <c r="J499" t="s">
        <v>221</v>
      </c>
      <c r="K499" t="s">
        <v>38</v>
      </c>
      <c r="M499" t="b">
        <v>1</v>
      </c>
      <c r="N499" t="s">
        <v>32</v>
      </c>
      <c r="O499" t="s">
        <v>33</v>
      </c>
      <c r="Q499">
        <v>117.24</v>
      </c>
      <c r="R499">
        <v>7.5</v>
      </c>
      <c r="S499" t="s">
        <v>44</v>
      </c>
      <c r="T499">
        <v>88.2</v>
      </c>
      <c r="V499">
        <v>101.8</v>
      </c>
      <c r="W499">
        <v>78.5</v>
      </c>
      <c r="X499">
        <v>9.6</v>
      </c>
      <c r="Y499">
        <v>36.6</v>
      </c>
      <c r="Z499">
        <v>328239523</v>
      </c>
      <c r="AA499">
        <v>37.090240000000001</v>
      </c>
      <c r="AB499">
        <v>-95.712890999999999</v>
      </c>
    </row>
    <row r="500" spans="1:28" hidden="1">
      <c r="A500">
        <v>497</v>
      </c>
      <c r="B500">
        <v>5300</v>
      </c>
      <c r="C500" t="s">
        <v>217</v>
      </c>
      <c r="D500" t="s">
        <v>1266</v>
      </c>
      <c r="E500">
        <v>60</v>
      </c>
      <c r="G500" t="s">
        <v>1267</v>
      </c>
      <c r="H500" t="s">
        <v>1268</v>
      </c>
      <c r="I500" t="s">
        <v>1269</v>
      </c>
      <c r="J500" t="s">
        <v>217</v>
      </c>
      <c r="K500" t="s">
        <v>1267</v>
      </c>
      <c r="M500" t="b">
        <v>1</v>
      </c>
      <c r="N500" t="s">
        <v>32</v>
      </c>
      <c r="O500" t="s">
        <v>33</v>
      </c>
      <c r="Q500">
        <v>234.44</v>
      </c>
      <c r="R500">
        <v>15.2</v>
      </c>
      <c r="S500" t="s">
        <v>1270</v>
      </c>
      <c r="T500">
        <v>23.9</v>
      </c>
      <c r="V500">
        <v>93.2</v>
      </c>
      <c r="W500">
        <v>77.400000000000006</v>
      </c>
      <c r="X500">
        <v>17.899999999999999</v>
      </c>
      <c r="Y500">
        <v>42.3</v>
      </c>
      <c r="Z500">
        <v>83429615</v>
      </c>
      <c r="AA500">
        <v>38.963745000000003</v>
      </c>
      <c r="AB500">
        <v>35.243321999999999</v>
      </c>
    </row>
    <row r="501" spans="1:28" hidden="1">
      <c r="A501">
        <v>497</v>
      </c>
      <c r="B501">
        <v>5300</v>
      </c>
      <c r="C501" t="s">
        <v>54</v>
      </c>
      <c r="D501" t="s">
        <v>1271</v>
      </c>
      <c r="E501">
        <v>59</v>
      </c>
      <c r="G501" t="s">
        <v>38</v>
      </c>
      <c r="H501" t="s">
        <v>980</v>
      </c>
      <c r="I501" t="s">
        <v>302</v>
      </c>
      <c r="J501" t="s">
        <v>54</v>
      </c>
      <c r="K501" t="s">
        <v>38</v>
      </c>
      <c r="M501" t="b">
        <v>0</v>
      </c>
      <c r="N501" t="s">
        <v>32</v>
      </c>
      <c r="O501" t="s">
        <v>88</v>
      </c>
      <c r="Q501">
        <v>117.24</v>
      </c>
      <c r="R501">
        <v>7.5</v>
      </c>
      <c r="S501" t="s">
        <v>44</v>
      </c>
      <c r="T501">
        <v>88.2</v>
      </c>
      <c r="V501">
        <v>101.8</v>
      </c>
      <c r="W501">
        <v>78.5</v>
      </c>
      <c r="X501">
        <v>9.6</v>
      </c>
      <c r="Y501">
        <v>36.6</v>
      </c>
      <c r="Z501">
        <v>328239523</v>
      </c>
      <c r="AA501">
        <v>37.090240000000001</v>
      </c>
      <c r="AB501">
        <v>-95.712890999999999</v>
      </c>
    </row>
    <row r="502" spans="1:28">
      <c r="A502">
        <v>497</v>
      </c>
      <c r="B502">
        <v>5300</v>
      </c>
      <c r="C502" t="s">
        <v>54</v>
      </c>
      <c r="D502" t="s">
        <v>1272</v>
      </c>
      <c r="E502">
        <v>65</v>
      </c>
      <c r="F502" t="str">
        <f>IF(E502&gt;=90,"90-100",IF(E502&gt;=80,"80-90",IF(E502&gt;=70,"70-80",IF(E502&gt;=60,"60-70",IF(E502&gt;=50,"50-60",IF(E502&gt;=40,"40-50",IF(E502&gt;=30,"30-40","20-30")))))))</f>
        <v>60-70</v>
      </c>
      <c r="G502" t="s">
        <v>38</v>
      </c>
      <c r="H502" t="s">
        <v>403</v>
      </c>
      <c r="I502" t="s">
        <v>699</v>
      </c>
      <c r="J502" t="s">
        <v>54</v>
      </c>
      <c r="K502" t="s">
        <v>38</v>
      </c>
      <c r="L502" t="s">
        <v>1273</v>
      </c>
      <c r="M502" t="b">
        <v>1</v>
      </c>
      <c r="N502" t="s">
        <v>42</v>
      </c>
      <c r="O502" t="s">
        <v>4867</v>
      </c>
      <c r="P502" t="s">
        <v>1274</v>
      </c>
      <c r="Q502">
        <v>117.24</v>
      </c>
      <c r="R502">
        <v>7.5</v>
      </c>
      <c r="S502" t="s">
        <v>44</v>
      </c>
      <c r="T502">
        <v>88.2</v>
      </c>
      <c r="U502" t="str">
        <f>IF(T502&gt;=100,"above 100",IF(T502&gt;=80,"80-100",IF(T502&gt;=60,"60-80",IF(T502&gt;=40,"40-60",IF(T502&gt;=20,"20-60","0-20")))))</f>
        <v>80-100</v>
      </c>
      <c r="V502">
        <v>101.8</v>
      </c>
      <c r="W502">
        <v>78.5</v>
      </c>
      <c r="X502">
        <v>9.6</v>
      </c>
      <c r="Y502">
        <v>36.6</v>
      </c>
      <c r="Z502">
        <v>328239523</v>
      </c>
      <c r="AA502">
        <v>37.090240000000001</v>
      </c>
      <c r="AB502">
        <v>-95.712890999999999</v>
      </c>
    </row>
    <row r="503" spans="1:28" hidden="1">
      <c r="A503">
        <v>497</v>
      </c>
      <c r="B503">
        <v>5300</v>
      </c>
      <c r="C503" t="s">
        <v>75</v>
      </c>
      <c r="D503" t="s">
        <v>1275</v>
      </c>
      <c r="E503">
        <v>78</v>
      </c>
      <c r="G503" t="s">
        <v>252</v>
      </c>
      <c r="H503" t="s">
        <v>253</v>
      </c>
      <c r="I503" t="s">
        <v>808</v>
      </c>
      <c r="J503" t="s">
        <v>75</v>
      </c>
      <c r="K503" t="s">
        <v>252</v>
      </c>
      <c r="M503" t="b">
        <v>0</v>
      </c>
      <c r="N503" t="s">
        <v>42</v>
      </c>
      <c r="O503" t="s">
        <v>33</v>
      </c>
      <c r="Q503">
        <v>151.18</v>
      </c>
      <c r="R503">
        <v>3</v>
      </c>
      <c r="S503" t="s">
        <v>255</v>
      </c>
      <c r="T503">
        <v>36.299999999999997</v>
      </c>
      <c r="V503">
        <v>106.4</v>
      </c>
      <c r="W503">
        <v>71.5</v>
      </c>
      <c r="X503">
        <v>10.199999999999999</v>
      </c>
      <c r="Y503">
        <v>30.1</v>
      </c>
      <c r="Z503">
        <v>270203917</v>
      </c>
      <c r="AA503">
        <v>-0.78927499999999995</v>
      </c>
      <c r="AB503">
        <v>113.92132700000001</v>
      </c>
    </row>
    <row r="504" spans="1:28">
      <c r="A504">
        <v>497</v>
      </c>
      <c r="B504">
        <v>5300</v>
      </c>
      <c r="C504" t="s">
        <v>54</v>
      </c>
      <c r="D504" t="s">
        <v>1276</v>
      </c>
      <c r="E504">
        <v>72</v>
      </c>
      <c r="F504" t="str">
        <f>IF(E504&gt;=90,"90-100",IF(E504&gt;=80,"80-90",IF(E504&gt;=70,"70-80",IF(E504&gt;=60,"60-70",IF(E504&gt;=50,"50-60",IF(E504&gt;=40,"40-50",IF(E504&gt;=30,"30-40","20-30")))))))</f>
        <v>70-80</v>
      </c>
      <c r="G504" t="s">
        <v>38</v>
      </c>
      <c r="H504" t="s">
        <v>307</v>
      </c>
      <c r="I504" t="s">
        <v>1193</v>
      </c>
      <c r="J504" t="s">
        <v>54</v>
      </c>
      <c r="K504" t="s">
        <v>38</v>
      </c>
      <c r="L504" t="s">
        <v>1277</v>
      </c>
      <c r="M504" t="b">
        <v>0</v>
      </c>
      <c r="N504" t="s">
        <v>32</v>
      </c>
      <c r="O504" t="s">
        <v>4867</v>
      </c>
      <c r="P504" t="s">
        <v>242</v>
      </c>
      <c r="Q504">
        <v>117.24</v>
      </c>
      <c r="R504">
        <v>7.5</v>
      </c>
      <c r="S504" t="s">
        <v>44</v>
      </c>
      <c r="T504">
        <v>88.2</v>
      </c>
      <c r="U504" t="str">
        <f>IF(T504&gt;=100,"above 100",IF(T504&gt;=80,"80-100",IF(T504&gt;=60,"60-80",IF(T504&gt;=40,"40-60",IF(T504&gt;=20,"20-60","0-20")))))</f>
        <v>80-100</v>
      </c>
      <c r="V504">
        <v>101.8</v>
      </c>
      <c r="W504">
        <v>78.5</v>
      </c>
      <c r="X504">
        <v>9.6</v>
      </c>
      <c r="Y504">
        <v>36.6</v>
      </c>
      <c r="Z504">
        <v>328239523</v>
      </c>
      <c r="AA504">
        <v>37.090240000000001</v>
      </c>
      <c r="AB504">
        <v>-95.712890999999999</v>
      </c>
    </row>
    <row r="505" spans="1:28" hidden="1">
      <c r="A505">
        <v>497</v>
      </c>
      <c r="B505">
        <v>5300</v>
      </c>
      <c r="C505" t="s">
        <v>101</v>
      </c>
      <c r="D505" t="s">
        <v>1278</v>
      </c>
      <c r="E505">
        <v>80</v>
      </c>
      <c r="G505" t="s">
        <v>38</v>
      </c>
      <c r="H505" t="s">
        <v>675</v>
      </c>
      <c r="I505" t="s">
        <v>880</v>
      </c>
      <c r="J505" t="s">
        <v>101</v>
      </c>
      <c r="K505" t="s">
        <v>38</v>
      </c>
      <c r="M505" t="b">
        <v>1</v>
      </c>
      <c r="N505" t="s">
        <v>212</v>
      </c>
      <c r="O505" t="s">
        <v>88</v>
      </c>
      <c r="Q505">
        <v>117.24</v>
      </c>
      <c r="R505">
        <v>7.5</v>
      </c>
      <c r="S505" t="s">
        <v>44</v>
      </c>
      <c r="T505">
        <v>88.2</v>
      </c>
      <c r="V505">
        <v>101.8</v>
      </c>
      <c r="W505">
        <v>78.5</v>
      </c>
      <c r="X505">
        <v>9.6</v>
      </c>
      <c r="Y505">
        <v>36.6</v>
      </c>
      <c r="Z505">
        <v>328239523</v>
      </c>
      <c r="AA505">
        <v>37.090240000000001</v>
      </c>
      <c r="AB505">
        <v>-95.712890999999999</v>
      </c>
    </row>
    <row r="506" spans="1:28" hidden="1">
      <c r="A506">
        <v>497</v>
      </c>
      <c r="B506">
        <v>5300</v>
      </c>
      <c r="C506" t="s">
        <v>101</v>
      </c>
      <c r="D506" t="s">
        <v>1279</v>
      </c>
      <c r="E506">
        <v>86</v>
      </c>
      <c r="G506" t="s">
        <v>38</v>
      </c>
      <c r="H506" t="s">
        <v>675</v>
      </c>
      <c r="I506" t="s">
        <v>880</v>
      </c>
      <c r="J506" t="s">
        <v>101</v>
      </c>
      <c r="K506" t="s">
        <v>38</v>
      </c>
      <c r="M506" t="b">
        <v>1</v>
      </c>
      <c r="N506" t="s">
        <v>212</v>
      </c>
      <c r="O506" t="s">
        <v>33</v>
      </c>
      <c r="Q506">
        <v>117.24</v>
      </c>
      <c r="R506">
        <v>7.5</v>
      </c>
      <c r="S506" t="s">
        <v>44</v>
      </c>
      <c r="T506">
        <v>88.2</v>
      </c>
      <c r="V506">
        <v>101.8</v>
      </c>
      <c r="W506">
        <v>78.5</v>
      </c>
      <c r="X506">
        <v>9.6</v>
      </c>
      <c r="Y506">
        <v>36.6</v>
      </c>
      <c r="Z506">
        <v>328239523</v>
      </c>
      <c r="AA506">
        <v>37.090240000000001</v>
      </c>
      <c r="AB506">
        <v>-95.712890999999999</v>
      </c>
    </row>
    <row r="507" spans="1:28" hidden="1">
      <c r="A507">
        <v>497</v>
      </c>
      <c r="B507">
        <v>5300</v>
      </c>
      <c r="C507" t="s">
        <v>308</v>
      </c>
      <c r="D507" t="s">
        <v>1280</v>
      </c>
      <c r="E507">
        <v>78</v>
      </c>
      <c r="G507" t="s">
        <v>38</v>
      </c>
      <c r="H507" t="s">
        <v>739</v>
      </c>
      <c r="I507" t="s">
        <v>1281</v>
      </c>
      <c r="J507" t="s">
        <v>308</v>
      </c>
      <c r="K507" t="s">
        <v>38</v>
      </c>
      <c r="M507" t="b">
        <v>0</v>
      </c>
      <c r="N507" t="s">
        <v>419</v>
      </c>
      <c r="O507" t="s">
        <v>33</v>
      </c>
      <c r="Q507">
        <v>117.24</v>
      </c>
      <c r="R507">
        <v>7.5</v>
      </c>
      <c r="S507" t="s">
        <v>44</v>
      </c>
      <c r="T507">
        <v>88.2</v>
      </c>
      <c r="V507">
        <v>101.8</v>
      </c>
      <c r="W507">
        <v>78.5</v>
      </c>
      <c r="X507">
        <v>9.6</v>
      </c>
      <c r="Y507">
        <v>36.6</v>
      </c>
      <c r="Z507">
        <v>328239523</v>
      </c>
      <c r="AA507">
        <v>37.090240000000001</v>
      </c>
      <c r="AB507">
        <v>-95.712890999999999</v>
      </c>
    </row>
    <row r="508" spans="1:28">
      <c r="A508">
        <v>497</v>
      </c>
      <c r="B508">
        <v>5300</v>
      </c>
      <c r="C508" t="s">
        <v>54</v>
      </c>
      <c r="D508" t="s">
        <v>1282</v>
      </c>
      <c r="E508">
        <v>62</v>
      </c>
      <c r="F508" t="str">
        <f>IF(E508&gt;=90,"90-100",IF(E508&gt;=80,"80-90",IF(E508&gt;=70,"70-80",IF(E508&gt;=60,"60-70",IF(E508&gt;=50,"50-60",IF(E508&gt;=40,"40-50",IF(E508&gt;=30,"30-40","20-30")))))))</f>
        <v>60-70</v>
      </c>
      <c r="G508" t="s">
        <v>38</v>
      </c>
      <c r="H508" t="s">
        <v>307</v>
      </c>
      <c r="I508" t="s">
        <v>1283</v>
      </c>
      <c r="J508" t="s">
        <v>54</v>
      </c>
      <c r="K508" t="s">
        <v>38</v>
      </c>
      <c r="L508" t="s">
        <v>1284</v>
      </c>
      <c r="M508" t="b">
        <v>1</v>
      </c>
      <c r="N508" t="s">
        <v>32</v>
      </c>
      <c r="O508" t="s">
        <v>4867</v>
      </c>
      <c r="P508" t="s">
        <v>43</v>
      </c>
      <c r="Q508">
        <v>117.24</v>
      </c>
      <c r="R508">
        <v>7.5</v>
      </c>
      <c r="S508" t="s">
        <v>44</v>
      </c>
      <c r="T508">
        <v>88.2</v>
      </c>
      <c r="U508" t="str">
        <f>IF(T508&gt;=100,"above 100",IF(T508&gt;=80,"80-100",IF(T508&gt;=60,"60-80",IF(T508&gt;=40,"40-60",IF(T508&gt;=20,"20-60","0-20")))))</f>
        <v>80-100</v>
      </c>
      <c r="V508">
        <v>101.8</v>
      </c>
      <c r="W508">
        <v>78.5</v>
      </c>
      <c r="X508">
        <v>9.6</v>
      </c>
      <c r="Y508">
        <v>36.6</v>
      </c>
      <c r="Z508">
        <v>328239523</v>
      </c>
      <c r="AA508">
        <v>37.090240000000001</v>
      </c>
      <c r="AB508">
        <v>-95.712890999999999</v>
      </c>
    </row>
    <row r="509" spans="1:28" hidden="1">
      <c r="A509">
        <v>497</v>
      </c>
      <c r="B509">
        <v>5300</v>
      </c>
      <c r="C509" t="s">
        <v>217</v>
      </c>
      <c r="D509" t="s">
        <v>1285</v>
      </c>
      <c r="E509">
        <v>81</v>
      </c>
      <c r="G509" t="s">
        <v>38</v>
      </c>
      <c r="H509" t="s">
        <v>1286</v>
      </c>
      <c r="I509" t="s">
        <v>815</v>
      </c>
      <c r="J509" t="s">
        <v>217</v>
      </c>
      <c r="K509" t="s">
        <v>38</v>
      </c>
      <c r="M509" t="b">
        <v>1</v>
      </c>
      <c r="N509" t="s">
        <v>42</v>
      </c>
      <c r="O509" t="s">
        <v>33</v>
      </c>
      <c r="Q509">
        <v>117.24</v>
      </c>
      <c r="R509">
        <v>7.5</v>
      </c>
      <c r="S509" t="s">
        <v>44</v>
      </c>
      <c r="T509">
        <v>88.2</v>
      </c>
      <c r="V509">
        <v>101.8</v>
      </c>
      <c r="W509">
        <v>78.5</v>
      </c>
      <c r="X509">
        <v>9.6</v>
      </c>
      <c r="Y509">
        <v>36.6</v>
      </c>
      <c r="Z509">
        <v>328239523</v>
      </c>
      <c r="AA509">
        <v>37.090240000000001</v>
      </c>
      <c r="AB509">
        <v>-95.712890999999999</v>
      </c>
    </row>
    <row r="510" spans="1:28" hidden="1">
      <c r="A510">
        <v>497</v>
      </c>
      <c r="B510">
        <v>5300</v>
      </c>
      <c r="C510" t="s">
        <v>101</v>
      </c>
      <c r="D510" t="s">
        <v>1287</v>
      </c>
      <c r="E510">
        <v>77</v>
      </c>
      <c r="G510" t="s">
        <v>148</v>
      </c>
      <c r="H510" t="s">
        <v>1288</v>
      </c>
      <c r="I510" t="s">
        <v>1289</v>
      </c>
      <c r="J510" t="s">
        <v>101</v>
      </c>
      <c r="K510" t="s">
        <v>148</v>
      </c>
      <c r="M510" t="b">
        <v>1</v>
      </c>
      <c r="N510" t="s">
        <v>42</v>
      </c>
      <c r="O510" t="s">
        <v>33</v>
      </c>
      <c r="Q510">
        <v>112.85</v>
      </c>
      <c r="R510">
        <v>1.4</v>
      </c>
      <c r="S510" t="s">
        <v>151</v>
      </c>
      <c r="T510">
        <v>70.2</v>
      </c>
      <c r="V510">
        <v>104</v>
      </c>
      <c r="W510">
        <v>80.900000000000006</v>
      </c>
      <c r="X510">
        <v>11.5</v>
      </c>
      <c r="Y510">
        <v>48.8</v>
      </c>
      <c r="Z510">
        <v>83132799</v>
      </c>
      <c r="AA510">
        <v>51.165691000000002</v>
      </c>
      <c r="AB510">
        <v>10.451525999999999</v>
      </c>
    </row>
    <row r="511" spans="1:28" hidden="1">
      <c r="A511">
        <v>497</v>
      </c>
      <c r="B511">
        <v>5300</v>
      </c>
      <c r="C511" t="s">
        <v>26</v>
      </c>
      <c r="D511" t="s">
        <v>1290</v>
      </c>
      <c r="E511">
        <v>67</v>
      </c>
      <c r="G511" t="s">
        <v>260</v>
      </c>
      <c r="H511" t="s">
        <v>1291</v>
      </c>
      <c r="I511" t="s">
        <v>150</v>
      </c>
      <c r="J511" t="s">
        <v>26</v>
      </c>
      <c r="K511" t="s">
        <v>77</v>
      </c>
      <c r="M511" t="b">
        <v>1</v>
      </c>
      <c r="N511" t="s">
        <v>42</v>
      </c>
      <c r="O511" t="s">
        <v>33</v>
      </c>
      <c r="Q511">
        <v>114.52</v>
      </c>
      <c r="R511">
        <v>-1.9</v>
      </c>
      <c r="S511" t="s">
        <v>264</v>
      </c>
      <c r="T511">
        <v>36.799999999999997</v>
      </c>
      <c r="V511">
        <v>108.4</v>
      </c>
      <c r="W511">
        <v>77.8</v>
      </c>
      <c r="X511">
        <v>0.1</v>
      </c>
      <c r="Y511">
        <v>15.9</v>
      </c>
      <c r="Z511">
        <v>9770529</v>
      </c>
      <c r="AA511">
        <v>23.424075999999999</v>
      </c>
      <c r="AB511">
        <v>53.847817999999997</v>
      </c>
    </row>
    <row r="512" spans="1:28" hidden="1">
      <c r="A512">
        <v>511</v>
      </c>
      <c r="B512">
        <v>5200</v>
      </c>
      <c r="C512" t="s">
        <v>54</v>
      </c>
      <c r="D512" t="s">
        <v>1292</v>
      </c>
      <c r="E512">
        <v>56</v>
      </c>
      <c r="G512" t="s">
        <v>38</v>
      </c>
      <c r="H512" t="s">
        <v>331</v>
      </c>
      <c r="I512" t="s">
        <v>231</v>
      </c>
      <c r="J512" t="s">
        <v>54</v>
      </c>
      <c r="K512" t="s">
        <v>384</v>
      </c>
      <c r="M512" t="b">
        <v>1</v>
      </c>
      <c r="N512" t="s">
        <v>32</v>
      </c>
      <c r="O512" t="s">
        <v>33</v>
      </c>
      <c r="Q512">
        <v>117.24</v>
      </c>
      <c r="R512">
        <v>7.5</v>
      </c>
      <c r="S512" t="s">
        <v>44</v>
      </c>
      <c r="T512">
        <v>88.2</v>
      </c>
      <c r="V512">
        <v>101.8</v>
      </c>
      <c r="W512">
        <v>78.5</v>
      </c>
      <c r="X512">
        <v>9.6</v>
      </c>
      <c r="Y512">
        <v>36.6</v>
      </c>
      <c r="Z512">
        <v>328239523</v>
      </c>
      <c r="AA512">
        <v>37.090240000000001</v>
      </c>
      <c r="AB512">
        <v>-95.712890999999999</v>
      </c>
    </row>
    <row r="513" spans="1:28" hidden="1">
      <c r="A513">
        <v>511</v>
      </c>
      <c r="B513">
        <v>5200</v>
      </c>
      <c r="C513" t="s">
        <v>101</v>
      </c>
      <c r="D513" t="s">
        <v>1293</v>
      </c>
      <c r="E513">
        <v>53</v>
      </c>
      <c r="G513" t="s">
        <v>103</v>
      </c>
      <c r="H513" t="s">
        <v>279</v>
      </c>
      <c r="I513" t="s">
        <v>408</v>
      </c>
      <c r="J513" t="s">
        <v>101</v>
      </c>
      <c r="K513" t="s">
        <v>103</v>
      </c>
      <c r="M513" t="b">
        <v>1</v>
      </c>
      <c r="N513" t="s">
        <v>42</v>
      </c>
      <c r="O513" t="s">
        <v>88</v>
      </c>
      <c r="Q513">
        <v>125.08</v>
      </c>
      <c r="R513">
        <v>2.9</v>
      </c>
      <c r="S513" t="s">
        <v>106</v>
      </c>
      <c r="T513">
        <v>50.6</v>
      </c>
      <c r="V513">
        <v>100.2</v>
      </c>
      <c r="W513">
        <v>77</v>
      </c>
      <c r="X513">
        <v>9.4</v>
      </c>
      <c r="Y513">
        <v>59.2</v>
      </c>
      <c r="Z513">
        <v>1397715000</v>
      </c>
      <c r="AA513">
        <v>35.861660000000001</v>
      </c>
      <c r="AB513">
        <v>104.195397</v>
      </c>
    </row>
    <row r="514" spans="1:28" hidden="1">
      <c r="A514">
        <v>511</v>
      </c>
      <c r="B514">
        <v>5200</v>
      </c>
      <c r="C514" t="s">
        <v>221</v>
      </c>
      <c r="D514" t="s">
        <v>1294</v>
      </c>
      <c r="E514">
        <v>59</v>
      </c>
      <c r="G514" t="s">
        <v>38</v>
      </c>
      <c r="H514" t="s">
        <v>1295</v>
      </c>
      <c r="I514" t="s">
        <v>1296</v>
      </c>
      <c r="J514" t="s">
        <v>221</v>
      </c>
      <c r="K514" t="s">
        <v>38</v>
      </c>
      <c r="M514" t="b">
        <v>1</v>
      </c>
      <c r="N514" t="s">
        <v>192</v>
      </c>
      <c r="O514" t="s">
        <v>33</v>
      </c>
      <c r="Q514">
        <v>117.24</v>
      </c>
      <c r="R514">
        <v>7.5</v>
      </c>
      <c r="S514" t="s">
        <v>44</v>
      </c>
      <c r="T514">
        <v>88.2</v>
      </c>
      <c r="V514">
        <v>101.8</v>
      </c>
      <c r="W514">
        <v>78.5</v>
      </c>
      <c r="X514">
        <v>9.6</v>
      </c>
      <c r="Y514">
        <v>36.6</v>
      </c>
      <c r="Z514">
        <v>328239523</v>
      </c>
      <c r="AA514">
        <v>37.090240000000001</v>
      </c>
      <c r="AB514">
        <v>-95.712890999999999</v>
      </c>
    </row>
    <row r="515" spans="1:28" hidden="1">
      <c r="A515">
        <v>511</v>
      </c>
      <c r="B515">
        <v>5200</v>
      </c>
      <c r="C515" t="s">
        <v>26</v>
      </c>
      <c r="D515" t="s">
        <v>1297</v>
      </c>
      <c r="E515">
        <v>71</v>
      </c>
      <c r="G515" t="s">
        <v>103</v>
      </c>
      <c r="H515" t="s">
        <v>1298</v>
      </c>
      <c r="I515" t="s">
        <v>940</v>
      </c>
      <c r="J515" t="s">
        <v>26</v>
      </c>
      <c r="K515" t="s">
        <v>103</v>
      </c>
      <c r="M515" t="b">
        <v>1</v>
      </c>
      <c r="N515" t="s">
        <v>32</v>
      </c>
      <c r="O515" t="s">
        <v>33</v>
      </c>
      <c r="Q515">
        <v>125.08</v>
      </c>
      <c r="R515">
        <v>2.9</v>
      </c>
      <c r="S515" t="s">
        <v>106</v>
      </c>
      <c r="T515">
        <v>50.6</v>
      </c>
      <c r="V515">
        <v>100.2</v>
      </c>
      <c r="W515">
        <v>77</v>
      </c>
      <c r="X515">
        <v>9.4</v>
      </c>
      <c r="Y515">
        <v>59.2</v>
      </c>
      <c r="Z515">
        <v>1397715000</v>
      </c>
      <c r="AA515">
        <v>35.861660000000001</v>
      </c>
      <c r="AB515">
        <v>104.195397</v>
      </c>
    </row>
    <row r="516" spans="1:28" hidden="1">
      <c r="A516">
        <v>511</v>
      </c>
      <c r="B516">
        <v>5200</v>
      </c>
      <c r="C516" t="s">
        <v>26</v>
      </c>
      <c r="D516" t="s">
        <v>1299</v>
      </c>
      <c r="E516">
        <v>71</v>
      </c>
      <c r="G516" t="s">
        <v>260</v>
      </c>
      <c r="H516" t="s">
        <v>515</v>
      </c>
      <c r="I516" t="s">
        <v>150</v>
      </c>
      <c r="J516" t="s">
        <v>26</v>
      </c>
      <c r="K516" t="s">
        <v>77</v>
      </c>
      <c r="M516" t="b">
        <v>0</v>
      </c>
      <c r="N516" t="s">
        <v>32</v>
      </c>
      <c r="O516" t="s">
        <v>33</v>
      </c>
      <c r="Q516">
        <v>114.52</v>
      </c>
      <c r="R516">
        <v>-1.9</v>
      </c>
      <c r="S516" t="s">
        <v>264</v>
      </c>
      <c r="T516">
        <v>36.799999999999997</v>
      </c>
      <c r="V516">
        <v>108.4</v>
      </c>
      <c r="W516">
        <v>77.8</v>
      </c>
      <c r="X516">
        <v>0.1</v>
      </c>
      <c r="Y516">
        <v>15.9</v>
      </c>
      <c r="Z516">
        <v>9770529</v>
      </c>
      <c r="AA516">
        <v>23.424075999999999</v>
      </c>
      <c r="AB516">
        <v>53.847817999999997</v>
      </c>
    </row>
    <row r="517" spans="1:28" hidden="1">
      <c r="A517">
        <v>511</v>
      </c>
      <c r="B517">
        <v>5200</v>
      </c>
      <c r="C517" t="s">
        <v>68</v>
      </c>
      <c r="D517" t="s">
        <v>1300</v>
      </c>
      <c r="E517">
        <v>85</v>
      </c>
      <c r="G517" t="s">
        <v>512</v>
      </c>
      <c r="H517" t="s">
        <v>590</v>
      </c>
      <c r="I517" t="s">
        <v>1301</v>
      </c>
      <c r="J517" t="s">
        <v>68</v>
      </c>
      <c r="K517" t="s">
        <v>512</v>
      </c>
      <c r="M517" t="b">
        <v>1</v>
      </c>
      <c r="N517" t="s">
        <v>42</v>
      </c>
      <c r="O517" t="s">
        <v>33</v>
      </c>
      <c r="Q517">
        <v>121.46</v>
      </c>
      <c r="R517">
        <v>0.7</v>
      </c>
      <c r="S517" t="s">
        <v>592</v>
      </c>
      <c r="T517">
        <v>45.1</v>
      </c>
      <c r="V517">
        <v>105.3</v>
      </c>
      <c r="W517">
        <v>76</v>
      </c>
      <c r="X517">
        <v>12</v>
      </c>
      <c r="Y517">
        <v>38.700000000000003</v>
      </c>
      <c r="Z517">
        <v>32447385</v>
      </c>
      <c r="AA517">
        <v>4.2104840000000001</v>
      </c>
      <c r="AB517">
        <v>101.97576599999999</v>
      </c>
    </row>
    <row r="518" spans="1:28" hidden="1">
      <c r="A518">
        <v>511</v>
      </c>
      <c r="B518">
        <v>5200</v>
      </c>
      <c r="C518" t="s">
        <v>45</v>
      </c>
      <c r="D518" t="s">
        <v>1302</v>
      </c>
      <c r="E518">
        <v>73</v>
      </c>
      <c r="G518" t="s">
        <v>810</v>
      </c>
      <c r="H518" t="s">
        <v>811</v>
      </c>
      <c r="I518" t="s">
        <v>897</v>
      </c>
      <c r="J518" t="s">
        <v>45</v>
      </c>
      <c r="K518" t="s">
        <v>810</v>
      </c>
      <c r="M518" t="b">
        <v>1</v>
      </c>
      <c r="N518" t="s">
        <v>42</v>
      </c>
      <c r="O518" t="s">
        <v>33</v>
      </c>
    </row>
    <row r="519" spans="1:28" hidden="1">
      <c r="A519">
        <v>511</v>
      </c>
      <c r="B519">
        <v>5200</v>
      </c>
      <c r="C519" t="s">
        <v>101</v>
      </c>
      <c r="D519" t="s">
        <v>1303</v>
      </c>
      <c r="E519">
        <v>82</v>
      </c>
      <c r="G519" t="s">
        <v>38</v>
      </c>
      <c r="H519" t="s">
        <v>1304</v>
      </c>
      <c r="I519" t="s">
        <v>1305</v>
      </c>
      <c r="J519" t="s">
        <v>101</v>
      </c>
      <c r="K519" t="s">
        <v>38</v>
      </c>
      <c r="M519" t="b">
        <v>0</v>
      </c>
      <c r="N519" t="s">
        <v>32</v>
      </c>
      <c r="O519" t="s">
        <v>33</v>
      </c>
      <c r="Q519">
        <v>117.24</v>
      </c>
      <c r="R519">
        <v>7.5</v>
      </c>
      <c r="S519" t="s">
        <v>44</v>
      </c>
      <c r="T519">
        <v>88.2</v>
      </c>
      <c r="V519">
        <v>101.8</v>
      </c>
      <c r="W519">
        <v>78.5</v>
      </c>
      <c r="X519">
        <v>9.6</v>
      </c>
      <c r="Y519">
        <v>36.6</v>
      </c>
      <c r="Z519">
        <v>328239523</v>
      </c>
      <c r="AA519">
        <v>37.090240000000001</v>
      </c>
      <c r="AB519">
        <v>-95.712890999999999</v>
      </c>
    </row>
    <row r="520" spans="1:28" hidden="1">
      <c r="A520">
        <v>511</v>
      </c>
      <c r="B520">
        <v>5200</v>
      </c>
      <c r="C520" t="s">
        <v>179</v>
      </c>
      <c r="D520" t="s">
        <v>1306</v>
      </c>
      <c r="E520">
        <v>49</v>
      </c>
      <c r="G520" t="s">
        <v>203</v>
      </c>
      <c r="H520" t="s">
        <v>1307</v>
      </c>
      <c r="I520" t="s">
        <v>976</v>
      </c>
      <c r="J520" t="s">
        <v>179</v>
      </c>
      <c r="K520" t="s">
        <v>127</v>
      </c>
      <c r="M520" t="b">
        <v>1</v>
      </c>
      <c r="N520" t="s">
        <v>42</v>
      </c>
      <c r="O520" t="s">
        <v>33</v>
      </c>
      <c r="Q520">
        <v>119.62</v>
      </c>
      <c r="R520">
        <v>1.7</v>
      </c>
      <c r="S520" t="s">
        <v>206</v>
      </c>
      <c r="T520">
        <v>60</v>
      </c>
      <c r="V520">
        <v>101.2</v>
      </c>
      <c r="W520">
        <v>81.3</v>
      </c>
      <c r="X520">
        <v>25.5</v>
      </c>
      <c r="Y520">
        <v>30.6</v>
      </c>
      <c r="Z520">
        <v>66834405</v>
      </c>
      <c r="AA520">
        <v>55.378050999999999</v>
      </c>
      <c r="AB520">
        <v>-3.4359730000000002</v>
      </c>
    </row>
    <row r="521" spans="1:28" hidden="1">
      <c r="A521">
        <v>511</v>
      </c>
      <c r="B521">
        <v>5200</v>
      </c>
      <c r="C521" t="s">
        <v>45</v>
      </c>
      <c r="D521" t="s">
        <v>1308</v>
      </c>
      <c r="E521">
        <v>74</v>
      </c>
      <c r="G521" t="s">
        <v>38</v>
      </c>
      <c r="H521" t="s">
        <v>47</v>
      </c>
      <c r="I521" t="s">
        <v>60</v>
      </c>
      <c r="J521" t="s">
        <v>45</v>
      </c>
      <c r="K521" t="s">
        <v>38</v>
      </c>
      <c r="M521" t="b">
        <v>1</v>
      </c>
      <c r="N521" t="s">
        <v>42</v>
      </c>
      <c r="O521" t="s">
        <v>33</v>
      </c>
      <c r="Q521">
        <v>117.24</v>
      </c>
      <c r="R521">
        <v>7.5</v>
      </c>
      <c r="S521" t="s">
        <v>44</v>
      </c>
      <c r="T521">
        <v>88.2</v>
      </c>
      <c r="V521">
        <v>101.8</v>
      </c>
      <c r="W521">
        <v>78.5</v>
      </c>
      <c r="X521">
        <v>9.6</v>
      </c>
      <c r="Y521">
        <v>36.6</v>
      </c>
      <c r="Z521">
        <v>328239523</v>
      </c>
      <c r="AA521">
        <v>37.090240000000001</v>
      </c>
      <c r="AB521">
        <v>-95.712890999999999</v>
      </c>
    </row>
    <row r="522" spans="1:28" hidden="1">
      <c r="A522">
        <v>511</v>
      </c>
      <c r="B522">
        <v>5200</v>
      </c>
      <c r="C522" t="s">
        <v>221</v>
      </c>
      <c r="D522" t="s">
        <v>1309</v>
      </c>
      <c r="E522">
        <v>78</v>
      </c>
      <c r="G522" t="s">
        <v>38</v>
      </c>
      <c r="H522" t="s">
        <v>1310</v>
      </c>
      <c r="I522" t="s">
        <v>1311</v>
      </c>
      <c r="J522" t="s">
        <v>221</v>
      </c>
      <c r="K522" t="s">
        <v>38</v>
      </c>
      <c r="M522" t="b">
        <v>1</v>
      </c>
      <c r="N522" t="s">
        <v>32</v>
      </c>
      <c r="O522" t="s">
        <v>33</v>
      </c>
      <c r="Q522">
        <v>117.24</v>
      </c>
      <c r="R522">
        <v>7.5</v>
      </c>
      <c r="S522" t="s">
        <v>44</v>
      </c>
      <c r="T522">
        <v>88.2</v>
      </c>
      <c r="V522">
        <v>101.8</v>
      </c>
      <c r="W522">
        <v>78.5</v>
      </c>
      <c r="X522">
        <v>9.6</v>
      </c>
      <c r="Y522">
        <v>36.6</v>
      </c>
      <c r="Z522">
        <v>328239523</v>
      </c>
      <c r="AA522">
        <v>37.090240000000001</v>
      </c>
      <c r="AB522">
        <v>-95.712890999999999</v>
      </c>
    </row>
    <row r="523" spans="1:28" hidden="1">
      <c r="A523">
        <v>511</v>
      </c>
      <c r="B523">
        <v>5200</v>
      </c>
      <c r="C523" t="s">
        <v>221</v>
      </c>
      <c r="D523" t="s">
        <v>1312</v>
      </c>
      <c r="E523">
        <v>81</v>
      </c>
      <c r="G523" t="s">
        <v>38</v>
      </c>
      <c r="H523" t="s">
        <v>307</v>
      </c>
      <c r="I523" t="s">
        <v>1313</v>
      </c>
      <c r="J523" t="s">
        <v>221</v>
      </c>
      <c r="K523" t="s">
        <v>38</v>
      </c>
      <c r="M523" t="b">
        <v>1</v>
      </c>
      <c r="N523" t="s">
        <v>42</v>
      </c>
      <c r="O523" t="s">
        <v>33</v>
      </c>
      <c r="Q523">
        <v>117.24</v>
      </c>
      <c r="R523">
        <v>7.5</v>
      </c>
      <c r="S523" t="s">
        <v>44</v>
      </c>
      <c r="T523">
        <v>88.2</v>
      </c>
      <c r="V523">
        <v>101.8</v>
      </c>
      <c r="W523">
        <v>78.5</v>
      </c>
      <c r="X523">
        <v>9.6</v>
      </c>
      <c r="Y523">
        <v>36.6</v>
      </c>
      <c r="Z523">
        <v>328239523</v>
      </c>
      <c r="AA523">
        <v>37.090240000000001</v>
      </c>
      <c r="AB523">
        <v>-95.712890999999999</v>
      </c>
    </row>
    <row r="524" spans="1:28" hidden="1">
      <c r="A524">
        <v>523</v>
      </c>
      <c r="B524">
        <v>5100</v>
      </c>
      <c r="C524" t="s">
        <v>217</v>
      </c>
      <c r="D524" t="s">
        <v>1314</v>
      </c>
      <c r="E524">
        <v>49</v>
      </c>
      <c r="G524" t="s">
        <v>103</v>
      </c>
      <c r="H524" t="s">
        <v>143</v>
      </c>
      <c r="I524" t="s">
        <v>362</v>
      </c>
      <c r="J524" t="s">
        <v>217</v>
      </c>
      <c r="K524" t="s">
        <v>103</v>
      </c>
      <c r="M524" t="b">
        <v>1</v>
      </c>
      <c r="N524" t="s">
        <v>32</v>
      </c>
      <c r="O524" t="s">
        <v>33</v>
      </c>
      <c r="Q524">
        <v>125.08</v>
      </c>
      <c r="R524">
        <v>2.9</v>
      </c>
      <c r="S524" t="s">
        <v>106</v>
      </c>
      <c r="T524">
        <v>50.6</v>
      </c>
      <c r="V524">
        <v>100.2</v>
      </c>
      <c r="W524">
        <v>77</v>
      </c>
      <c r="X524">
        <v>9.4</v>
      </c>
      <c r="Y524">
        <v>59.2</v>
      </c>
      <c r="Z524">
        <v>1397715000</v>
      </c>
      <c r="AA524">
        <v>35.861660000000001</v>
      </c>
      <c r="AB524">
        <v>104.195397</v>
      </c>
    </row>
    <row r="525" spans="1:28" hidden="1">
      <c r="A525">
        <v>523</v>
      </c>
      <c r="B525">
        <v>5100</v>
      </c>
      <c r="C525" t="s">
        <v>54</v>
      </c>
      <c r="D525" t="s">
        <v>1315</v>
      </c>
      <c r="E525">
        <v>59</v>
      </c>
      <c r="G525" t="s">
        <v>77</v>
      </c>
      <c r="H525" t="s">
        <v>78</v>
      </c>
      <c r="I525" t="s">
        <v>231</v>
      </c>
      <c r="J525" t="s">
        <v>54</v>
      </c>
      <c r="K525" t="s">
        <v>77</v>
      </c>
      <c r="M525" t="b">
        <v>0</v>
      </c>
      <c r="N525" t="s">
        <v>192</v>
      </c>
      <c r="O525" t="s">
        <v>88</v>
      </c>
      <c r="Q525">
        <v>180.44</v>
      </c>
      <c r="R525">
        <v>7.7</v>
      </c>
      <c r="S525" t="s">
        <v>81</v>
      </c>
      <c r="T525">
        <v>28.1</v>
      </c>
      <c r="V525">
        <v>113</v>
      </c>
      <c r="W525">
        <v>69.400000000000006</v>
      </c>
      <c r="X525">
        <v>11.2</v>
      </c>
      <c r="Y525">
        <v>49.7</v>
      </c>
      <c r="Z525">
        <v>1366417754</v>
      </c>
      <c r="AA525">
        <v>20.593684</v>
      </c>
      <c r="AB525">
        <v>78.962879999999998</v>
      </c>
    </row>
    <row r="526" spans="1:28">
      <c r="A526">
        <v>523</v>
      </c>
      <c r="B526">
        <v>5100</v>
      </c>
      <c r="C526" t="s">
        <v>54</v>
      </c>
      <c r="D526" t="s">
        <v>1316</v>
      </c>
      <c r="E526">
        <v>90</v>
      </c>
      <c r="F526" t="str">
        <f>IF(E526&gt;=90,"90-100",IF(E526&gt;=80,"80-90",IF(E526&gt;=70,"70-80",IF(E526&gt;=60,"60-70",IF(E526&gt;=50,"50-60",IF(E526&gt;=40,"40-50",IF(E526&gt;=30,"30-40","20-30")))))))</f>
        <v>90-100</v>
      </c>
      <c r="G526" t="s">
        <v>38</v>
      </c>
      <c r="H526" t="s">
        <v>257</v>
      </c>
      <c r="I526" t="s">
        <v>1317</v>
      </c>
      <c r="J526" t="s">
        <v>54</v>
      </c>
      <c r="K526" t="s">
        <v>38</v>
      </c>
      <c r="L526" t="s">
        <v>1318</v>
      </c>
      <c r="M526" t="b">
        <v>0</v>
      </c>
      <c r="N526" t="s">
        <v>419</v>
      </c>
      <c r="O526" t="s">
        <v>4867</v>
      </c>
      <c r="P526" t="s">
        <v>1319</v>
      </c>
      <c r="Q526">
        <v>117.24</v>
      </c>
      <c r="R526">
        <v>7.5</v>
      </c>
      <c r="S526" t="s">
        <v>44</v>
      </c>
      <c r="T526">
        <v>88.2</v>
      </c>
      <c r="U526" t="str">
        <f t="shared" ref="U526:U527" si="31">IF(T526&gt;=100,"above 100",IF(T526&gt;=80,"80-100",IF(T526&gt;=60,"60-80",IF(T526&gt;=40,"40-60",IF(T526&gt;=20,"20-60","0-20")))))</f>
        <v>80-100</v>
      </c>
      <c r="V526">
        <v>101.8</v>
      </c>
      <c r="W526">
        <v>78.5</v>
      </c>
      <c r="X526">
        <v>9.6</v>
      </c>
      <c r="Y526">
        <v>36.6</v>
      </c>
      <c r="Z526">
        <v>328239523</v>
      </c>
      <c r="AA526">
        <v>37.090240000000001</v>
      </c>
      <c r="AB526">
        <v>-95.712890999999999</v>
      </c>
    </row>
    <row r="527" spans="1:28">
      <c r="A527">
        <v>523</v>
      </c>
      <c r="B527">
        <v>5100</v>
      </c>
      <c r="C527" t="s">
        <v>63</v>
      </c>
      <c r="D527" t="s">
        <v>1320</v>
      </c>
      <c r="E527">
        <v>49</v>
      </c>
      <c r="F527" t="s">
        <v>4850</v>
      </c>
      <c r="G527" t="s">
        <v>611</v>
      </c>
      <c r="H527" t="s">
        <v>612</v>
      </c>
      <c r="I527" t="s">
        <v>245</v>
      </c>
      <c r="J527" t="s">
        <v>63</v>
      </c>
      <c r="K527" t="s">
        <v>611</v>
      </c>
      <c r="L527" t="s">
        <v>1321</v>
      </c>
      <c r="M527" t="b">
        <v>1</v>
      </c>
      <c r="N527" t="s">
        <v>42</v>
      </c>
      <c r="O527" t="s">
        <v>33</v>
      </c>
      <c r="Q527">
        <v>115.16</v>
      </c>
      <c r="R527">
        <v>0.4</v>
      </c>
      <c r="S527" t="s">
        <v>615</v>
      </c>
      <c r="T527">
        <v>94.3</v>
      </c>
      <c r="U527" t="str">
        <f t="shared" si="31"/>
        <v>80-100</v>
      </c>
      <c r="V527">
        <v>98.1</v>
      </c>
      <c r="W527">
        <v>82.6</v>
      </c>
      <c r="X527">
        <v>15.6</v>
      </c>
      <c r="Y527">
        <v>33.200000000000003</v>
      </c>
      <c r="Z527">
        <v>51709098</v>
      </c>
      <c r="AA527">
        <v>35.907756999999997</v>
      </c>
      <c r="AB527">
        <v>127.76692199999999</v>
      </c>
    </row>
    <row r="528" spans="1:28" hidden="1">
      <c r="A528">
        <v>523</v>
      </c>
      <c r="B528">
        <v>5100</v>
      </c>
      <c r="C528" t="s">
        <v>54</v>
      </c>
      <c r="D528" t="s">
        <v>1322</v>
      </c>
      <c r="E528">
        <v>61</v>
      </c>
      <c r="G528" t="s">
        <v>38</v>
      </c>
      <c r="H528" t="s">
        <v>789</v>
      </c>
      <c r="I528" t="s">
        <v>613</v>
      </c>
      <c r="J528" t="s">
        <v>54</v>
      </c>
      <c r="K528" t="s">
        <v>38</v>
      </c>
      <c r="M528" t="b">
        <v>1</v>
      </c>
      <c r="N528" t="s">
        <v>32</v>
      </c>
      <c r="O528" t="s">
        <v>33</v>
      </c>
      <c r="Q528">
        <v>117.24</v>
      </c>
      <c r="R528">
        <v>7.5</v>
      </c>
      <c r="S528" t="s">
        <v>44</v>
      </c>
      <c r="T528">
        <v>88.2</v>
      </c>
      <c r="V528">
        <v>101.8</v>
      </c>
      <c r="W528">
        <v>78.5</v>
      </c>
      <c r="X528">
        <v>9.6</v>
      </c>
      <c r="Y528">
        <v>36.6</v>
      </c>
      <c r="Z528">
        <v>328239523</v>
      </c>
      <c r="AA528">
        <v>37.090240000000001</v>
      </c>
      <c r="AB528">
        <v>-95.712890999999999</v>
      </c>
    </row>
    <row r="529" spans="1:28" hidden="1">
      <c r="A529">
        <v>523</v>
      </c>
      <c r="B529">
        <v>5100</v>
      </c>
      <c r="C529" t="s">
        <v>154</v>
      </c>
      <c r="D529" t="s">
        <v>1323</v>
      </c>
      <c r="E529">
        <v>64</v>
      </c>
      <c r="G529" t="s">
        <v>833</v>
      </c>
      <c r="H529" t="s">
        <v>1324</v>
      </c>
      <c r="I529" t="s">
        <v>1325</v>
      </c>
      <c r="J529" t="s">
        <v>154</v>
      </c>
      <c r="K529" t="s">
        <v>833</v>
      </c>
      <c r="M529" t="b">
        <v>1</v>
      </c>
      <c r="N529" t="s">
        <v>42</v>
      </c>
      <c r="O529" t="s">
        <v>33</v>
      </c>
      <c r="Q529">
        <v>120.27</v>
      </c>
      <c r="R529">
        <v>2.2000000000000002</v>
      </c>
      <c r="S529" t="s">
        <v>835</v>
      </c>
      <c r="T529">
        <v>82</v>
      </c>
      <c r="V529">
        <v>100.3</v>
      </c>
      <c r="W529">
        <v>82.8</v>
      </c>
      <c r="X529">
        <v>23.9</v>
      </c>
      <c r="Y529">
        <v>36.200000000000003</v>
      </c>
      <c r="Z529">
        <v>5347896</v>
      </c>
      <c r="AA529">
        <v>60.472023999999998</v>
      </c>
      <c r="AB529">
        <v>8.4689460000000008</v>
      </c>
    </row>
    <row r="530" spans="1:28" hidden="1">
      <c r="A530">
        <v>523</v>
      </c>
      <c r="B530">
        <v>5100</v>
      </c>
      <c r="C530" t="s">
        <v>54</v>
      </c>
      <c r="D530" t="s">
        <v>1326</v>
      </c>
      <c r="E530">
        <v>65</v>
      </c>
      <c r="G530" t="s">
        <v>38</v>
      </c>
      <c r="H530" t="s">
        <v>65</v>
      </c>
      <c r="I530" t="s">
        <v>613</v>
      </c>
      <c r="J530" t="s">
        <v>54</v>
      </c>
      <c r="K530" t="s">
        <v>38</v>
      </c>
      <c r="M530" t="b">
        <v>1</v>
      </c>
      <c r="N530" t="s">
        <v>32</v>
      </c>
      <c r="O530" t="s">
        <v>33</v>
      </c>
      <c r="Q530">
        <v>117.24</v>
      </c>
      <c r="R530">
        <v>7.5</v>
      </c>
      <c r="S530" t="s">
        <v>44</v>
      </c>
      <c r="T530">
        <v>88.2</v>
      </c>
      <c r="V530">
        <v>101.8</v>
      </c>
      <c r="W530">
        <v>78.5</v>
      </c>
      <c r="X530">
        <v>9.6</v>
      </c>
      <c r="Y530">
        <v>36.6</v>
      </c>
      <c r="Z530">
        <v>328239523</v>
      </c>
      <c r="AA530">
        <v>37.090240000000001</v>
      </c>
      <c r="AB530">
        <v>-95.712890999999999</v>
      </c>
    </row>
    <row r="531" spans="1:28" hidden="1">
      <c r="A531">
        <v>523</v>
      </c>
      <c r="B531">
        <v>5100</v>
      </c>
      <c r="C531" t="s">
        <v>288</v>
      </c>
      <c r="D531" t="s">
        <v>1327</v>
      </c>
      <c r="E531">
        <v>71</v>
      </c>
      <c r="G531" t="s">
        <v>172</v>
      </c>
      <c r="H531" t="s">
        <v>172</v>
      </c>
      <c r="I531" t="s">
        <v>418</v>
      </c>
      <c r="J531" t="s">
        <v>288</v>
      </c>
      <c r="K531" t="s">
        <v>103</v>
      </c>
      <c r="M531" t="b">
        <v>1</v>
      </c>
      <c r="N531" t="s">
        <v>42</v>
      </c>
      <c r="O531" t="s">
        <v>33</v>
      </c>
    </row>
    <row r="532" spans="1:28">
      <c r="A532">
        <v>523</v>
      </c>
      <c r="B532">
        <v>5100</v>
      </c>
      <c r="C532" t="s">
        <v>45</v>
      </c>
      <c r="D532" t="s">
        <v>1328</v>
      </c>
      <c r="E532">
        <v>75</v>
      </c>
      <c r="F532" t="str">
        <f>IF(E532&gt;=90,"90-100",IF(E532&gt;=80,"80-90",IF(E532&gt;=70,"70-80",IF(E532&gt;=60,"60-70",IF(E532&gt;=50,"50-60",IF(E532&gt;=40,"40-50",IF(E532&gt;=30,"30-40","20-30")))))))</f>
        <v>70-80</v>
      </c>
      <c r="G532" t="s">
        <v>38</v>
      </c>
      <c r="H532" t="s">
        <v>90</v>
      </c>
      <c r="I532" t="s">
        <v>572</v>
      </c>
      <c r="J532" t="s">
        <v>45</v>
      </c>
      <c r="K532" t="s">
        <v>38</v>
      </c>
      <c r="L532" t="s">
        <v>1329</v>
      </c>
      <c r="M532" t="b">
        <v>1</v>
      </c>
      <c r="N532" t="s">
        <v>32</v>
      </c>
      <c r="O532" t="s">
        <v>4867</v>
      </c>
      <c r="P532" t="s">
        <v>80</v>
      </c>
      <c r="Q532">
        <v>117.24</v>
      </c>
      <c r="R532">
        <v>7.5</v>
      </c>
      <c r="S532" t="s">
        <v>44</v>
      </c>
      <c r="T532">
        <v>88.2</v>
      </c>
      <c r="U532" t="str">
        <f>IF(T532&gt;=100,"above 100",IF(T532&gt;=80,"80-100",IF(T532&gt;=60,"60-80",IF(T532&gt;=40,"40-60",IF(T532&gt;=20,"20-60","0-20")))))</f>
        <v>80-100</v>
      </c>
      <c r="V532">
        <v>101.8</v>
      </c>
      <c r="W532">
        <v>78.5</v>
      </c>
      <c r="X532">
        <v>9.6</v>
      </c>
      <c r="Y532">
        <v>36.6</v>
      </c>
      <c r="Z532">
        <v>328239523</v>
      </c>
      <c r="AA532">
        <v>37.090240000000001</v>
      </c>
      <c r="AB532">
        <v>-95.712890999999999</v>
      </c>
    </row>
    <row r="533" spans="1:28" hidden="1">
      <c r="A533">
        <v>523</v>
      </c>
      <c r="B533">
        <v>5100</v>
      </c>
      <c r="C533" t="s">
        <v>288</v>
      </c>
      <c r="D533" t="s">
        <v>1330</v>
      </c>
      <c r="E533">
        <v>88</v>
      </c>
      <c r="G533" t="s">
        <v>38</v>
      </c>
      <c r="H533" t="s">
        <v>1331</v>
      </c>
      <c r="I533" t="s">
        <v>440</v>
      </c>
      <c r="J533" t="s">
        <v>288</v>
      </c>
      <c r="K533" t="s">
        <v>156</v>
      </c>
      <c r="M533" t="b">
        <v>1</v>
      </c>
      <c r="N533" t="s">
        <v>32</v>
      </c>
      <c r="O533" t="s">
        <v>33</v>
      </c>
      <c r="Q533">
        <v>117.24</v>
      </c>
      <c r="R533">
        <v>7.5</v>
      </c>
      <c r="S533" t="s">
        <v>44</v>
      </c>
      <c r="T533">
        <v>88.2</v>
      </c>
      <c r="V533">
        <v>101.8</v>
      </c>
      <c r="W533">
        <v>78.5</v>
      </c>
      <c r="X533">
        <v>9.6</v>
      </c>
      <c r="Y533">
        <v>36.6</v>
      </c>
      <c r="Z533">
        <v>328239523</v>
      </c>
      <c r="AA533">
        <v>37.090240000000001</v>
      </c>
      <c r="AB533">
        <v>-95.712890999999999</v>
      </c>
    </row>
    <row r="534" spans="1:28">
      <c r="A534">
        <v>523</v>
      </c>
      <c r="B534">
        <v>5100</v>
      </c>
      <c r="C534" t="s">
        <v>478</v>
      </c>
      <c r="D534" t="s">
        <v>1332</v>
      </c>
      <c r="E534">
        <v>72</v>
      </c>
      <c r="F534" t="str">
        <f>IF(E534&gt;=90,"90-100",IF(E534&gt;=80,"80-90",IF(E534&gt;=70,"70-80",IF(E534&gt;=60,"60-70",IF(E534&gt;=50,"50-60",IF(E534&gt;=40,"40-50",IF(E534&gt;=30,"30-40","20-30")))))))</f>
        <v>70-80</v>
      </c>
      <c r="G534" t="s">
        <v>38</v>
      </c>
      <c r="H534" t="s">
        <v>1333</v>
      </c>
      <c r="I534" t="s">
        <v>1334</v>
      </c>
      <c r="J534" t="s">
        <v>478</v>
      </c>
      <c r="K534" t="s">
        <v>38</v>
      </c>
      <c r="L534" t="s">
        <v>1334</v>
      </c>
      <c r="M534" t="b">
        <v>0</v>
      </c>
      <c r="N534" t="s">
        <v>32</v>
      </c>
      <c r="O534" t="s">
        <v>4866</v>
      </c>
      <c r="P534" t="s">
        <v>950</v>
      </c>
      <c r="Q534">
        <v>117.24</v>
      </c>
      <c r="R534">
        <v>7.5</v>
      </c>
      <c r="S534" t="s">
        <v>44</v>
      </c>
      <c r="T534">
        <v>88.2</v>
      </c>
      <c r="U534" t="str">
        <f>IF(T534&gt;=100,"above 100",IF(T534&gt;=80,"80-100",IF(T534&gt;=60,"60-80",IF(T534&gt;=40,"40-60",IF(T534&gt;=20,"20-60","0-20")))))</f>
        <v>80-100</v>
      </c>
      <c r="V534">
        <v>101.8</v>
      </c>
      <c r="W534">
        <v>78.5</v>
      </c>
      <c r="X534">
        <v>9.6</v>
      </c>
      <c r="Y534">
        <v>36.6</v>
      </c>
      <c r="Z534">
        <v>328239523</v>
      </c>
      <c r="AA534">
        <v>37.090240000000001</v>
      </c>
      <c r="AB534">
        <v>-95.712890999999999</v>
      </c>
    </row>
    <row r="535" spans="1:28" hidden="1">
      <c r="A535">
        <v>534</v>
      </c>
      <c r="B535">
        <v>5000</v>
      </c>
      <c r="C535" t="s">
        <v>54</v>
      </c>
      <c r="D535" t="s">
        <v>1335</v>
      </c>
      <c r="E535">
        <v>79</v>
      </c>
      <c r="G535" t="s">
        <v>38</v>
      </c>
      <c r="H535" t="s">
        <v>65</v>
      </c>
      <c r="I535" t="s">
        <v>1000</v>
      </c>
      <c r="J535" t="s">
        <v>54</v>
      </c>
      <c r="K535" t="s">
        <v>38</v>
      </c>
      <c r="M535" t="b">
        <v>1</v>
      </c>
      <c r="N535" t="s">
        <v>32</v>
      </c>
      <c r="O535" t="s">
        <v>33</v>
      </c>
      <c r="Q535">
        <v>117.24</v>
      </c>
      <c r="R535">
        <v>7.5</v>
      </c>
      <c r="S535" t="s">
        <v>44</v>
      </c>
      <c r="T535">
        <v>88.2</v>
      </c>
      <c r="V535">
        <v>101.8</v>
      </c>
      <c r="W535">
        <v>78.5</v>
      </c>
      <c r="X535">
        <v>9.6</v>
      </c>
      <c r="Y535">
        <v>36.6</v>
      </c>
      <c r="Z535">
        <v>328239523</v>
      </c>
      <c r="AA535">
        <v>37.090240000000001</v>
      </c>
      <c r="AB535">
        <v>-95.712890999999999</v>
      </c>
    </row>
    <row r="536" spans="1:28" hidden="1">
      <c r="A536">
        <v>534</v>
      </c>
      <c r="B536">
        <v>5000</v>
      </c>
      <c r="C536" t="s">
        <v>250</v>
      </c>
      <c r="D536" t="s">
        <v>1336</v>
      </c>
      <c r="E536">
        <v>75</v>
      </c>
      <c r="G536" t="s">
        <v>38</v>
      </c>
      <c r="H536" t="s">
        <v>123</v>
      </c>
      <c r="I536" t="s">
        <v>1337</v>
      </c>
      <c r="J536" t="s">
        <v>250</v>
      </c>
      <c r="K536" t="s">
        <v>38</v>
      </c>
      <c r="M536" t="b">
        <v>0</v>
      </c>
      <c r="N536" t="s">
        <v>42</v>
      </c>
      <c r="O536" t="s">
        <v>33</v>
      </c>
      <c r="Q536">
        <v>117.24</v>
      </c>
      <c r="R536">
        <v>7.5</v>
      </c>
      <c r="S536" t="s">
        <v>44</v>
      </c>
      <c r="T536">
        <v>88.2</v>
      </c>
      <c r="V536">
        <v>101.8</v>
      </c>
      <c r="W536">
        <v>78.5</v>
      </c>
      <c r="X536">
        <v>9.6</v>
      </c>
      <c r="Y536">
        <v>36.6</v>
      </c>
      <c r="Z536">
        <v>328239523</v>
      </c>
      <c r="AA536">
        <v>37.090240000000001</v>
      </c>
      <c r="AB536">
        <v>-95.712890999999999</v>
      </c>
    </row>
    <row r="537" spans="1:28" hidden="1">
      <c r="A537">
        <v>534</v>
      </c>
      <c r="B537">
        <v>5000</v>
      </c>
      <c r="C537" t="s">
        <v>288</v>
      </c>
      <c r="D537" t="s">
        <v>1338</v>
      </c>
      <c r="E537">
        <v>55</v>
      </c>
      <c r="G537" t="s">
        <v>156</v>
      </c>
      <c r="H537" t="s">
        <v>647</v>
      </c>
      <c r="I537" t="s">
        <v>1339</v>
      </c>
      <c r="J537" t="s">
        <v>288</v>
      </c>
      <c r="K537" t="s">
        <v>156</v>
      </c>
      <c r="M537" t="b">
        <v>0</v>
      </c>
      <c r="N537" t="s">
        <v>32</v>
      </c>
      <c r="O537" t="s">
        <v>88</v>
      </c>
      <c r="Q537">
        <v>99.55</v>
      </c>
      <c r="R537">
        <v>0.4</v>
      </c>
      <c r="S537" t="s">
        <v>159</v>
      </c>
      <c r="T537">
        <v>59.6</v>
      </c>
      <c r="V537">
        <v>105.2</v>
      </c>
      <c r="W537">
        <v>83.6</v>
      </c>
      <c r="X537">
        <v>10.1</v>
      </c>
      <c r="Y537">
        <v>28.8</v>
      </c>
      <c r="Z537">
        <v>8574832</v>
      </c>
      <c r="AA537">
        <v>46.818187999999999</v>
      </c>
      <c r="AB537">
        <v>8.2275120000000008</v>
      </c>
    </row>
    <row r="538" spans="1:28" hidden="1">
      <c r="A538">
        <v>534</v>
      </c>
      <c r="B538">
        <v>5000</v>
      </c>
      <c r="C538" t="s">
        <v>54</v>
      </c>
      <c r="D538" t="s">
        <v>1340</v>
      </c>
      <c r="E538">
        <v>43</v>
      </c>
      <c r="G538" t="s">
        <v>203</v>
      </c>
      <c r="H538" t="s">
        <v>204</v>
      </c>
      <c r="I538" t="s">
        <v>1341</v>
      </c>
      <c r="J538" t="s">
        <v>54</v>
      </c>
      <c r="K538" t="s">
        <v>203</v>
      </c>
      <c r="M538" t="b">
        <v>1</v>
      </c>
      <c r="N538" t="s">
        <v>192</v>
      </c>
      <c r="O538" t="s">
        <v>33</v>
      </c>
      <c r="Q538">
        <v>119.62</v>
      </c>
      <c r="R538">
        <v>1.7</v>
      </c>
      <c r="S538" t="s">
        <v>206</v>
      </c>
      <c r="T538">
        <v>60</v>
      </c>
      <c r="V538">
        <v>101.2</v>
      </c>
      <c r="W538">
        <v>81.3</v>
      </c>
      <c r="X538">
        <v>25.5</v>
      </c>
      <c r="Y538">
        <v>30.6</v>
      </c>
      <c r="Z538">
        <v>66834405</v>
      </c>
      <c r="AA538">
        <v>55.378050999999999</v>
      </c>
      <c r="AB538">
        <v>-3.4359730000000002</v>
      </c>
    </row>
    <row r="539" spans="1:28" hidden="1">
      <c r="A539">
        <v>534</v>
      </c>
      <c r="B539">
        <v>5000</v>
      </c>
      <c r="C539" t="s">
        <v>45</v>
      </c>
      <c r="D539" t="s">
        <v>1342</v>
      </c>
      <c r="E539">
        <v>69</v>
      </c>
      <c r="G539" t="s">
        <v>156</v>
      </c>
      <c r="H539" t="s">
        <v>413</v>
      </c>
      <c r="I539" t="s">
        <v>1343</v>
      </c>
      <c r="J539" t="s">
        <v>45</v>
      </c>
      <c r="K539" t="s">
        <v>156</v>
      </c>
      <c r="M539" t="b">
        <v>0</v>
      </c>
      <c r="N539" t="s">
        <v>32</v>
      </c>
      <c r="O539" t="s">
        <v>33</v>
      </c>
      <c r="Q539">
        <v>99.55</v>
      </c>
      <c r="R539">
        <v>0.4</v>
      </c>
      <c r="S539" t="s">
        <v>159</v>
      </c>
      <c r="T539">
        <v>59.6</v>
      </c>
      <c r="V539">
        <v>105.2</v>
      </c>
      <c r="W539">
        <v>83.6</v>
      </c>
      <c r="X539">
        <v>10.1</v>
      </c>
      <c r="Y539">
        <v>28.8</v>
      </c>
      <c r="Z539">
        <v>8574832</v>
      </c>
      <c r="AA539">
        <v>46.818187999999999</v>
      </c>
      <c r="AB539">
        <v>8.2275120000000008</v>
      </c>
    </row>
    <row r="540" spans="1:28" hidden="1">
      <c r="A540">
        <v>534</v>
      </c>
      <c r="B540">
        <v>5000</v>
      </c>
      <c r="C540" t="s">
        <v>68</v>
      </c>
      <c r="D540" t="s">
        <v>1344</v>
      </c>
      <c r="E540">
        <v>56</v>
      </c>
      <c r="G540" t="s">
        <v>38</v>
      </c>
      <c r="H540" t="s">
        <v>980</v>
      </c>
      <c r="I540" t="s">
        <v>68</v>
      </c>
      <c r="J540" t="s">
        <v>68</v>
      </c>
      <c r="K540" t="s">
        <v>38</v>
      </c>
      <c r="M540" t="b">
        <v>1</v>
      </c>
      <c r="N540" t="s">
        <v>32</v>
      </c>
      <c r="O540" t="s">
        <v>33</v>
      </c>
      <c r="Q540">
        <v>117.24</v>
      </c>
      <c r="R540">
        <v>7.5</v>
      </c>
      <c r="S540" t="s">
        <v>44</v>
      </c>
      <c r="T540">
        <v>88.2</v>
      </c>
      <c r="V540">
        <v>101.8</v>
      </c>
      <c r="W540">
        <v>78.5</v>
      </c>
      <c r="X540">
        <v>9.6</v>
      </c>
      <c r="Y540">
        <v>36.6</v>
      </c>
      <c r="Z540">
        <v>328239523</v>
      </c>
      <c r="AA540">
        <v>37.090240000000001</v>
      </c>
      <c r="AB540">
        <v>-95.712890999999999</v>
      </c>
    </row>
    <row r="541" spans="1:28" hidden="1">
      <c r="A541">
        <v>534</v>
      </c>
      <c r="B541">
        <v>5000</v>
      </c>
      <c r="C541" t="s">
        <v>288</v>
      </c>
      <c r="D541" t="s">
        <v>1345</v>
      </c>
      <c r="E541">
        <v>50</v>
      </c>
      <c r="G541" t="s">
        <v>263</v>
      </c>
      <c r="H541" t="s">
        <v>274</v>
      </c>
      <c r="I541" t="s">
        <v>418</v>
      </c>
      <c r="J541" t="s">
        <v>288</v>
      </c>
      <c r="K541" t="s">
        <v>263</v>
      </c>
      <c r="M541" t="b">
        <v>1</v>
      </c>
      <c r="N541" t="s">
        <v>32</v>
      </c>
      <c r="O541" t="s">
        <v>33</v>
      </c>
      <c r="Q541">
        <v>180.75</v>
      </c>
      <c r="R541">
        <v>4.5</v>
      </c>
      <c r="S541" t="s">
        <v>276</v>
      </c>
      <c r="T541">
        <v>81.900000000000006</v>
      </c>
      <c r="V541">
        <v>102.6</v>
      </c>
      <c r="W541">
        <v>72.7</v>
      </c>
      <c r="X541">
        <v>11.4</v>
      </c>
      <c r="Y541">
        <v>46.2</v>
      </c>
      <c r="Z541">
        <v>144373535</v>
      </c>
      <c r="AA541">
        <v>61.524009999999997</v>
      </c>
      <c r="AB541">
        <v>105.31875599999999</v>
      </c>
    </row>
    <row r="542" spans="1:28" hidden="1">
      <c r="A542">
        <v>534</v>
      </c>
      <c r="B542">
        <v>5000</v>
      </c>
      <c r="C542" t="s">
        <v>45</v>
      </c>
      <c r="D542" t="s">
        <v>1346</v>
      </c>
      <c r="E542">
        <v>57</v>
      </c>
      <c r="G542" t="s">
        <v>611</v>
      </c>
      <c r="H542" t="s">
        <v>612</v>
      </c>
      <c r="I542" t="s">
        <v>1347</v>
      </c>
      <c r="J542" t="s">
        <v>45</v>
      </c>
      <c r="K542" t="s">
        <v>611</v>
      </c>
      <c r="M542" t="b">
        <v>1</v>
      </c>
      <c r="N542" t="s">
        <v>42</v>
      </c>
      <c r="O542" t="s">
        <v>33</v>
      </c>
      <c r="Q542">
        <v>115.16</v>
      </c>
      <c r="R542">
        <v>0.4</v>
      </c>
      <c r="S542" t="s">
        <v>615</v>
      </c>
      <c r="T542">
        <v>94.3</v>
      </c>
      <c r="V542">
        <v>98.1</v>
      </c>
      <c r="W542">
        <v>82.6</v>
      </c>
      <c r="X542">
        <v>15.6</v>
      </c>
      <c r="Y542">
        <v>33.200000000000003</v>
      </c>
      <c r="Z542">
        <v>51709098</v>
      </c>
      <c r="AA542">
        <v>35.907756999999997</v>
      </c>
      <c r="AB542">
        <v>127.76692199999999</v>
      </c>
    </row>
    <row r="543" spans="1:28" hidden="1">
      <c r="A543">
        <v>534</v>
      </c>
      <c r="B543">
        <v>5000</v>
      </c>
      <c r="C543" t="s">
        <v>26</v>
      </c>
      <c r="D543" t="s">
        <v>1348</v>
      </c>
      <c r="E543">
        <v>50</v>
      </c>
      <c r="G543" t="s">
        <v>38</v>
      </c>
      <c r="H543" t="s">
        <v>65</v>
      </c>
      <c r="I543" t="s">
        <v>1349</v>
      </c>
      <c r="J543" t="s">
        <v>26</v>
      </c>
      <c r="K543" t="s">
        <v>38</v>
      </c>
      <c r="M543" t="b">
        <v>0</v>
      </c>
      <c r="N543" t="s">
        <v>42</v>
      </c>
      <c r="O543" t="s">
        <v>88</v>
      </c>
      <c r="Q543">
        <v>117.24</v>
      </c>
      <c r="R543">
        <v>7.5</v>
      </c>
      <c r="S543" t="s">
        <v>44</v>
      </c>
      <c r="T543">
        <v>88.2</v>
      </c>
      <c r="V543">
        <v>101.8</v>
      </c>
      <c r="W543">
        <v>78.5</v>
      </c>
      <c r="X543">
        <v>9.6</v>
      </c>
      <c r="Y543">
        <v>36.6</v>
      </c>
      <c r="Z543">
        <v>328239523</v>
      </c>
      <c r="AA543">
        <v>37.090240000000001</v>
      </c>
      <c r="AB543">
        <v>-95.712890999999999</v>
      </c>
    </row>
    <row r="544" spans="1:28" hidden="1">
      <c r="A544">
        <v>534</v>
      </c>
      <c r="B544">
        <v>5000</v>
      </c>
      <c r="C544" t="s">
        <v>26</v>
      </c>
      <c r="D544" t="s">
        <v>1350</v>
      </c>
      <c r="E544">
        <v>83</v>
      </c>
      <c r="G544" t="s">
        <v>28</v>
      </c>
      <c r="H544" t="s">
        <v>1351</v>
      </c>
      <c r="I544" t="s">
        <v>1352</v>
      </c>
      <c r="J544" t="s">
        <v>26</v>
      </c>
      <c r="K544" t="s">
        <v>28</v>
      </c>
      <c r="M544" t="b">
        <v>0</v>
      </c>
      <c r="N544" t="s">
        <v>32</v>
      </c>
      <c r="O544" t="s">
        <v>33</v>
      </c>
      <c r="Q544">
        <v>110.05</v>
      </c>
      <c r="R544">
        <v>1.1000000000000001</v>
      </c>
      <c r="S544" t="s">
        <v>35</v>
      </c>
      <c r="T544">
        <v>65.599999999999994</v>
      </c>
      <c r="V544">
        <v>102.5</v>
      </c>
      <c r="W544">
        <v>82.5</v>
      </c>
      <c r="X544">
        <v>24.2</v>
      </c>
      <c r="Y544">
        <v>60.7</v>
      </c>
      <c r="Z544">
        <v>67059887</v>
      </c>
      <c r="AA544">
        <v>46.227637999999999</v>
      </c>
      <c r="AB544">
        <v>2.213749</v>
      </c>
    </row>
    <row r="545" spans="1:28" hidden="1">
      <c r="A545">
        <v>534</v>
      </c>
      <c r="B545">
        <v>5000</v>
      </c>
      <c r="C545" t="s">
        <v>63</v>
      </c>
      <c r="D545" t="s">
        <v>1353</v>
      </c>
      <c r="E545">
        <v>78</v>
      </c>
      <c r="G545" t="s">
        <v>38</v>
      </c>
      <c r="H545" t="s">
        <v>1354</v>
      </c>
      <c r="I545" t="s">
        <v>1355</v>
      </c>
      <c r="J545" t="s">
        <v>63</v>
      </c>
      <c r="K545" t="s">
        <v>38</v>
      </c>
      <c r="M545" t="b">
        <v>1</v>
      </c>
      <c r="N545" t="s">
        <v>42</v>
      </c>
      <c r="O545" t="s">
        <v>33</v>
      </c>
      <c r="Q545">
        <v>117.24</v>
      </c>
      <c r="R545">
        <v>7.5</v>
      </c>
      <c r="S545" t="s">
        <v>44</v>
      </c>
      <c r="T545">
        <v>88.2</v>
      </c>
      <c r="V545">
        <v>101.8</v>
      </c>
      <c r="W545">
        <v>78.5</v>
      </c>
      <c r="X545">
        <v>9.6</v>
      </c>
      <c r="Y545">
        <v>36.6</v>
      </c>
      <c r="Z545">
        <v>328239523</v>
      </c>
      <c r="AA545">
        <v>37.090240000000001</v>
      </c>
      <c r="AB545">
        <v>-95.712890999999999</v>
      </c>
    </row>
    <row r="546" spans="1:28" hidden="1">
      <c r="A546">
        <v>534</v>
      </c>
      <c r="B546">
        <v>5000</v>
      </c>
      <c r="C546" t="s">
        <v>478</v>
      </c>
      <c r="D546" t="s">
        <v>1356</v>
      </c>
      <c r="E546">
        <v>86</v>
      </c>
      <c r="G546" t="s">
        <v>38</v>
      </c>
      <c r="H546" t="s">
        <v>581</v>
      </c>
      <c r="I546" t="s">
        <v>1357</v>
      </c>
      <c r="J546" t="s">
        <v>478</v>
      </c>
      <c r="K546" t="s">
        <v>38</v>
      </c>
      <c r="M546" t="b">
        <v>0</v>
      </c>
      <c r="N546" t="s">
        <v>32</v>
      </c>
      <c r="O546" t="s">
        <v>88</v>
      </c>
      <c r="Q546">
        <v>117.24</v>
      </c>
      <c r="R546">
        <v>7.5</v>
      </c>
      <c r="S546" t="s">
        <v>44</v>
      </c>
      <c r="T546">
        <v>88.2</v>
      </c>
      <c r="V546">
        <v>101.8</v>
      </c>
      <c r="W546">
        <v>78.5</v>
      </c>
      <c r="X546">
        <v>9.6</v>
      </c>
      <c r="Y546">
        <v>36.6</v>
      </c>
      <c r="Z546">
        <v>328239523</v>
      </c>
      <c r="AA546">
        <v>37.090240000000001</v>
      </c>
      <c r="AB546">
        <v>-95.712890999999999</v>
      </c>
    </row>
    <row r="547" spans="1:28" hidden="1">
      <c r="A547">
        <v>534</v>
      </c>
      <c r="B547">
        <v>5000</v>
      </c>
      <c r="C547" t="s">
        <v>288</v>
      </c>
      <c r="D547" t="s">
        <v>1358</v>
      </c>
      <c r="E547">
        <v>57</v>
      </c>
      <c r="G547" t="s">
        <v>148</v>
      </c>
      <c r="H547" t="s">
        <v>1359</v>
      </c>
      <c r="I547" t="s">
        <v>1360</v>
      </c>
      <c r="J547" t="s">
        <v>288</v>
      </c>
      <c r="K547" t="s">
        <v>148</v>
      </c>
      <c r="M547" t="b">
        <v>1</v>
      </c>
      <c r="N547" t="s">
        <v>42</v>
      </c>
      <c r="O547" t="s">
        <v>33</v>
      </c>
      <c r="Q547">
        <v>112.85</v>
      </c>
      <c r="R547">
        <v>1.4</v>
      </c>
      <c r="S547" t="s">
        <v>151</v>
      </c>
      <c r="T547">
        <v>70.2</v>
      </c>
      <c r="V547">
        <v>104</v>
      </c>
      <c r="W547">
        <v>80.900000000000006</v>
      </c>
      <c r="X547">
        <v>11.5</v>
      </c>
      <c r="Y547">
        <v>48.8</v>
      </c>
      <c r="Z547">
        <v>83132799</v>
      </c>
      <c r="AA547">
        <v>51.165691000000002</v>
      </c>
      <c r="AB547">
        <v>10.451525999999999</v>
      </c>
    </row>
    <row r="548" spans="1:28" hidden="1">
      <c r="A548">
        <v>534</v>
      </c>
      <c r="B548">
        <v>5000</v>
      </c>
      <c r="C548" t="s">
        <v>221</v>
      </c>
      <c r="D548" t="s">
        <v>1361</v>
      </c>
      <c r="E548">
        <v>64</v>
      </c>
      <c r="G548" t="s">
        <v>148</v>
      </c>
      <c r="H548" t="s">
        <v>1051</v>
      </c>
      <c r="I548" t="s">
        <v>223</v>
      </c>
      <c r="J548" t="s">
        <v>221</v>
      </c>
      <c r="K548" t="s">
        <v>148</v>
      </c>
      <c r="M548" t="b">
        <v>0</v>
      </c>
      <c r="N548" t="s">
        <v>32</v>
      </c>
      <c r="O548" t="s">
        <v>88</v>
      </c>
      <c r="Q548">
        <v>112.85</v>
      </c>
      <c r="R548">
        <v>1.4</v>
      </c>
      <c r="S548" t="s">
        <v>151</v>
      </c>
      <c r="T548">
        <v>70.2</v>
      </c>
      <c r="V548">
        <v>104</v>
      </c>
      <c r="W548">
        <v>80.900000000000006</v>
      </c>
      <c r="X548">
        <v>11.5</v>
      </c>
      <c r="Y548">
        <v>48.8</v>
      </c>
      <c r="Z548">
        <v>83132799</v>
      </c>
      <c r="AA548">
        <v>51.165691000000002</v>
      </c>
      <c r="AB548">
        <v>10.451525999999999</v>
      </c>
    </row>
    <row r="549" spans="1:28" hidden="1">
      <c r="A549">
        <v>534</v>
      </c>
      <c r="B549">
        <v>5000</v>
      </c>
      <c r="C549" t="s">
        <v>288</v>
      </c>
      <c r="D549" t="s">
        <v>1362</v>
      </c>
      <c r="E549">
        <v>59</v>
      </c>
      <c r="G549" t="s">
        <v>156</v>
      </c>
      <c r="H549" t="s">
        <v>1363</v>
      </c>
      <c r="I549" t="s">
        <v>1364</v>
      </c>
      <c r="J549" t="s">
        <v>288</v>
      </c>
      <c r="K549" t="s">
        <v>156</v>
      </c>
      <c r="M549" t="b">
        <v>0</v>
      </c>
      <c r="N549" t="s">
        <v>42</v>
      </c>
      <c r="O549" t="s">
        <v>33</v>
      </c>
      <c r="Q549">
        <v>99.55</v>
      </c>
      <c r="R549">
        <v>0.4</v>
      </c>
      <c r="S549" t="s">
        <v>159</v>
      </c>
      <c r="T549">
        <v>59.6</v>
      </c>
      <c r="V549">
        <v>105.2</v>
      </c>
      <c r="W549">
        <v>83.6</v>
      </c>
      <c r="X549">
        <v>10.1</v>
      </c>
      <c r="Y549">
        <v>28.8</v>
      </c>
      <c r="Z549">
        <v>8574832</v>
      </c>
      <c r="AA549">
        <v>46.818187999999999</v>
      </c>
      <c r="AB549">
        <v>8.2275120000000008</v>
      </c>
    </row>
    <row r="550" spans="1:28" hidden="1">
      <c r="A550">
        <v>534</v>
      </c>
      <c r="B550">
        <v>5000</v>
      </c>
      <c r="C550" t="s">
        <v>101</v>
      </c>
      <c r="D550" t="s">
        <v>1365</v>
      </c>
      <c r="E550">
        <v>64</v>
      </c>
      <c r="G550" t="s">
        <v>1267</v>
      </c>
      <c r="H550" t="s">
        <v>1268</v>
      </c>
      <c r="I550" t="s">
        <v>1366</v>
      </c>
      <c r="J550" t="s">
        <v>101</v>
      </c>
      <c r="K550" t="s">
        <v>1267</v>
      </c>
      <c r="M550" t="b">
        <v>0</v>
      </c>
      <c r="N550" t="s">
        <v>32</v>
      </c>
      <c r="O550" t="s">
        <v>33</v>
      </c>
      <c r="Q550">
        <v>234.44</v>
      </c>
      <c r="R550">
        <v>15.2</v>
      </c>
      <c r="S550" t="s">
        <v>1270</v>
      </c>
      <c r="T550">
        <v>23.9</v>
      </c>
      <c r="V550">
        <v>93.2</v>
      </c>
      <c r="W550">
        <v>77.400000000000006</v>
      </c>
      <c r="X550">
        <v>17.899999999999999</v>
      </c>
      <c r="Y550">
        <v>42.3</v>
      </c>
      <c r="Z550">
        <v>83429615</v>
      </c>
      <c r="AA550">
        <v>38.963745000000003</v>
      </c>
      <c r="AB550">
        <v>35.243321999999999</v>
      </c>
    </row>
    <row r="551" spans="1:28">
      <c r="A551">
        <v>534</v>
      </c>
      <c r="B551">
        <v>5000</v>
      </c>
      <c r="C551" t="s">
        <v>26</v>
      </c>
      <c r="D551" t="s">
        <v>1367</v>
      </c>
      <c r="E551">
        <v>66</v>
      </c>
      <c r="F551" t="str">
        <f>IF(E551&gt;=90,"90-100",IF(E551&gt;=80,"80-90",IF(E551&gt;=70,"70-80",IF(E551&gt;=60,"60-70",IF(E551&gt;=50,"50-60",IF(E551&gt;=40,"40-50",IF(E551&gt;=30,"30-40","20-30")))))))</f>
        <v>60-70</v>
      </c>
      <c r="G551" t="s">
        <v>127</v>
      </c>
      <c r="H551" t="s">
        <v>643</v>
      </c>
      <c r="I551" t="s">
        <v>1368</v>
      </c>
      <c r="J551" t="s">
        <v>26</v>
      </c>
      <c r="K551" t="s">
        <v>127</v>
      </c>
      <c r="L551" t="s">
        <v>1368</v>
      </c>
      <c r="M551" t="b">
        <v>1</v>
      </c>
      <c r="N551" t="s">
        <v>42</v>
      </c>
      <c r="O551" t="s">
        <v>4867</v>
      </c>
      <c r="P551" t="s">
        <v>131</v>
      </c>
      <c r="Q551">
        <v>116.76</v>
      </c>
      <c r="R551">
        <v>1.9</v>
      </c>
      <c r="S551" t="s">
        <v>132</v>
      </c>
      <c r="T551">
        <v>68.900000000000006</v>
      </c>
      <c r="U551" t="str">
        <f>IF(T551&gt;=100,"above 100",IF(T551&gt;=80,"80-100",IF(T551&gt;=60,"60-80",IF(T551&gt;=40,"40-60",IF(T551&gt;=20,"20-60","0-20")))))</f>
        <v>60-80</v>
      </c>
      <c r="V551">
        <v>100.9</v>
      </c>
      <c r="W551">
        <v>81.900000000000006</v>
      </c>
      <c r="X551">
        <v>12.8</v>
      </c>
      <c r="Y551">
        <v>24.5</v>
      </c>
      <c r="Z551">
        <v>36991981</v>
      </c>
      <c r="AA551">
        <v>56.130366000000002</v>
      </c>
      <c r="AB551">
        <v>-106.346771</v>
      </c>
    </row>
    <row r="552" spans="1:28" hidden="1">
      <c r="A552">
        <v>534</v>
      </c>
      <c r="B552">
        <v>5000</v>
      </c>
      <c r="C552" t="s">
        <v>221</v>
      </c>
      <c r="D552" t="s">
        <v>1369</v>
      </c>
      <c r="G552" t="s">
        <v>103</v>
      </c>
      <c r="H552" t="s">
        <v>143</v>
      </c>
      <c r="I552" t="s">
        <v>223</v>
      </c>
      <c r="J552" t="s">
        <v>221</v>
      </c>
      <c r="K552" t="s">
        <v>103</v>
      </c>
      <c r="M552" t="b">
        <v>0</v>
      </c>
      <c r="N552" t="s">
        <v>32</v>
      </c>
      <c r="O552" t="s">
        <v>88</v>
      </c>
      <c r="Q552">
        <v>125.08</v>
      </c>
      <c r="R552">
        <v>2.9</v>
      </c>
      <c r="S552" t="s">
        <v>106</v>
      </c>
      <c r="T552">
        <v>50.6</v>
      </c>
      <c r="V552">
        <v>100.2</v>
      </c>
      <c r="W552">
        <v>77</v>
      </c>
      <c r="X552">
        <v>9.4</v>
      </c>
      <c r="Y552">
        <v>59.2</v>
      </c>
      <c r="Z552">
        <v>1397715000</v>
      </c>
      <c r="AA552">
        <v>35.861660000000001</v>
      </c>
      <c r="AB552">
        <v>104.195397</v>
      </c>
    </row>
    <row r="553" spans="1:28">
      <c r="A553">
        <v>552</v>
      </c>
      <c r="B553">
        <v>4900</v>
      </c>
      <c r="C553" t="s">
        <v>217</v>
      </c>
      <c r="D553" t="s">
        <v>1370</v>
      </c>
      <c r="E553">
        <v>79</v>
      </c>
      <c r="F553" t="str">
        <f>IF(E553&gt;=90,"90-100",IF(E553&gt;=80,"80-90",IF(E553&gt;=70,"70-80",IF(E553&gt;=60,"60-70",IF(E553&gt;=50,"50-60",IF(E553&gt;=40,"40-50",IF(E553&gt;=30,"30-40","20-30")))))))</f>
        <v>70-80</v>
      </c>
      <c r="G553" t="s">
        <v>38</v>
      </c>
      <c r="H553" t="s">
        <v>1371</v>
      </c>
      <c r="I553" t="s">
        <v>1372</v>
      </c>
      <c r="J553" t="s">
        <v>217</v>
      </c>
      <c r="K553" t="s">
        <v>38</v>
      </c>
      <c r="L553" t="s">
        <v>1372</v>
      </c>
      <c r="M553" t="b">
        <v>1</v>
      </c>
      <c r="N553" t="s">
        <v>42</v>
      </c>
      <c r="O553" t="s">
        <v>4867</v>
      </c>
      <c r="P553" t="s">
        <v>131</v>
      </c>
      <c r="Q553">
        <v>117.24</v>
      </c>
      <c r="R553">
        <v>7.5</v>
      </c>
      <c r="S553" t="s">
        <v>44</v>
      </c>
      <c r="T553">
        <v>88.2</v>
      </c>
      <c r="U553" t="str">
        <f>IF(T553&gt;=100,"above 100",IF(T553&gt;=80,"80-100",IF(T553&gt;=60,"60-80",IF(T553&gt;=40,"40-60",IF(T553&gt;=20,"20-60","0-20")))))</f>
        <v>80-100</v>
      </c>
      <c r="V553">
        <v>101.8</v>
      </c>
      <c r="W553">
        <v>78.5</v>
      </c>
      <c r="X553">
        <v>9.6</v>
      </c>
      <c r="Y553">
        <v>36.6</v>
      </c>
      <c r="Z553">
        <v>328239523</v>
      </c>
      <c r="AA553">
        <v>37.090240000000001</v>
      </c>
      <c r="AB553">
        <v>-95.712890999999999</v>
      </c>
    </row>
    <row r="554" spans="1:28" hidden="1">
      <c r="A554">
        <v>552</v>
      </c>
      <c r="B554">
        <v>4900</v>
      </c>
      <c r="C554" t="s">
        <v>288</v>
      </c>
      <c r="D554" t="s">
        <v>1373</v>
      </c>
      <c r="E554">
        <v>72</v>
      </c>
      <c r="G554" t="s">
        <v>77</v>
      </c>
      <c r="H554" t="s">
        <v>1374</v>
      </c>
      <c r="I554" t="s">
        <v>418</v>
      </c>
      <c r="J554" t="s">
        <v>288</v>
      </c>
      <c r="K554" t="s">
        <v>77</v>
      </c>
      <c r="M554" t="b">
        <v>1</v>
      </c>
      <c r="N554" t="s">
        <v>42</v>
      </c>
      <c r="O554" t="s">
        <v>33</v>
      </c>
      <c r="Q554">
        <v>180.44</v>
      </c>
      <c r="R554">
        <v>7.7</v>
      </c>
      <c r="S554" t="s">
        <v>81</v>
      </c>
      <c r="T554">
        <v>28.1</v>
      </c>
      <c r="V554">
        <v>113</v>
      </c>
      <c r="W554">
        <v>69.400000000000006</v>
      </c>
      <c r="X554">
        <v>11.2</v>
      </c>
      <c r="Y554">
        <v>49.7</v>
      </c>
      <c r="Z554">
        <v>1366417754</v>
      </c>
      <c r="AA554">
        <v>20.593684</v>
      </c>
      <c r="AB554">
        <v>78.962879999999998</v>
      </c>
    </row>
    <row r="555" spans="1:28" hidden="1">
      <c r="A555">
        <v>552</v>
      </c>
      <c r="B555">
        <v>4900</v>
      </c>
      <c r="C555" t="s">
        <v>45</v>
      </c>
      <c r="D555" t="s">
        <v>1375</v>
      </c>
      <c r="E555">
        <v>81</v>
      </c>
      <c r="G555" t="s">
        <v>38</v>
      </c>
      <c r="H555" t="s">
        <v>652</v>
      </c>
      <c r="I555" t="s">
        <v>1376</v>
      </c>
      <c r="J555" t="s">
        <v>45</v>
      </c>
      <c r="K555" t="s">
        <v>38</v>
      </c>
      <c r="M555" t="b">
        <v>0</v>
      </c>
      <c r="N555" t="s">
        <v>32</v>
      </c>
      <c r="O555" t="s">
        <v>88</v>
      </c>
      <c r="Q555">
        <v>117.24</v>
      </c>
      <c r="R555">
        <v>7.5</v>
      </c>
      <c r="S555" t="s">
        <v>44</v>
      </c>
      <c r="T555">
        <v>88.2</v>
      </c>
      <c r="V555">
        <v>101.8</v>
      </c>
      <c r="W555">
        <v>78.5</v>
      </c>
      <c r="X555">
        <v>9.6</v>
      </c>
      <c r="Y555">
        <v>36.6</v>
      </c>
      <c r="Z555">
        <v>328239523</v>
      </c>
      <c r="AA555">
        <v>37.090240000000001</v>
      </c>
      <c r="AB555">
        <v>-95.712890999999999</v>
      </c>
    </row>
    <row r="556" spans="1:28" hidden="1">
      <c r="A556">
        <v>552</v>
      </c>
      <c r="B556">
        <v>4900</v>
      </c>
      <c r="C556" t="s">
        <v>45</v>
      </c>
      <c r="D556" t="s">
        <v>1377</v>
      </c>
      <c r="G556" t="s">
        <v>1378</v>
      </c>
      <c r="H556" t="s">
        <v>1379</v>
      </c>
      <c r="I556" t="s">
        <v>216</v>
      </c>
      <c r="J556" t="s">
        <v>45</v>
      </c>
      <c r="K556" t="s">
        <v>1378</v>
      </c>
      <c r="M556" t="b">
        <v>1</v>
      </c>
      <c r="N556" t="s">
        <v>32</v>
      </c>
      <c r="O556" t="s">
        <v>33</v>
      </c>
      <c r="Q556">
        <v>232.75</v>
      </c>
      <c r="R556">
        <v>53.5</v>
      </c>
      <c r="S556" t="s">
        <v>1380</v>
      </c>
      <c r="T556">
        <v>90</v>
      </c>
      <c r="V556">
        <v>109.7</v>
      </c>
      <c r="W556">
        <v>76.5</v>
      </c>
      <c r="X556">
        <v>10.1</v>
      </c>
      <c r="Y556">
        <v>106.3</v>
      </c>
      <c r="Z556">
        <v>44938712</v>
      </c>
      <c r="AA556">
        <v>-38.416097000000001</v>
      </c>
      <c r="AB556">
        <v>-63.616672000000001</v>
      </c>
    </row>
    <row r="557" spans="1:28" hidden="1">
      <c r="A557">
        <v>552</v>
      </c>
      <c r="B557">
        <v>4900</v>
      </c>
      <c r="C557" t="s">
        <v>308</v>
      </c>
      <c r="D557" t="s">
        <v>1381</v>
      </c>
      <c r="E557">
        <v>81</v>
      </c>
      <c r="G557" t="s">
        <v>38</v>
      </c>
      <c r="H557" t="s">
        <v>505</v>
      </c>
      <c r="I557" t="s">
        <v>1382</v>
      </c>
      <c r="J557" t="s">
        <v>308</v>
      </c>
      <c r="K557" t="s">
        <v>38</v>
      </c>
      <c r="M557" t="b">
        <v>1</v>
      </c>
      <c r="N557" t="s">
        <v>42</v>
      </c>
      <c r="O557" t="s">
        <v>33</v>
      </c>
      <c r="Q557">
        <v>117.24</v>
      </c>
      <c r="R557">
        <v>7.5</v>
      </c>
      <c r="S557" t="s">
        <v>44</v>
      </c>
      <c r="T557">
        <v>88.2</v>
      </c>
      <c r="V557">
        <v>101.8</v>
      </c>
      <c r="W557">
        <v>78.5</v>
      </c>
      <c r="X557">
        <v>9.6</v>
      </c>
      <c r="Y557">
        <v>36.6</v>
      </c>
      <c r="Z557">
        <v>328239523</v>
      </c>
      <c r="AA557">
        <v>37.090240000000001</v>
      </c>
      <c r="AB557">
        <v>-95.712890999999999</v>
      </c>
    </row>
    <row r="558" spans="1:28" hidden="1">
      <c r="A558">
        <v>552</v>
      </c>
      <c r="B558">
        <v>4900</v>
      </c>
      <c r="C558" t="s">
        <v>54</v>
      </c>
      <c r="D558" t="s">
        <v>1383</v>
      </c>
      <c r="E558">
        <v>53</v>
      </c>
      <c r="G558" t="s">
        <v>38</v>
      </c>
      <c r="H558" t="s">
        <v>65</v>
      </c>
      <c r="I558" t="s">
        <v>231</v>
      </c>
      <c r="J558" t="s">
        <v>54</v>
      </c>
      <c r="K558" t="s">
        <v>38</v>
      </c>
      <c r="M558" t="b">
        <v>1</v>
      </c>
      <c r="N558" t="s">
        <v>42</v>
      </c>
      <c r="O558" t="s">
        <v>33</v>
      </c>
      <c r="Q558">
        <v>117.24</v>
      </c>
      <c r="R558">
        <v>7.5</v>
      </c>
      <c r="S558" t="s">
        <v>44</v>
      </c>
      <c r="T558">
        <v>88.2</v>
      </c>
      <c r="V558">
        <v>101.8</v>
      </c>
      <c r="W558">
        <v>78.5</v>
      </c>
      <c r="X558">
        <v>9.6</v>
      </c>
      <c r="Y558">
        <v>36.6</v>
      </c>
      <c r="Z558">
        <v>328239523</v>
      </c>
      <c r="AA558">
        <v>37.090240000000001</v>
      </c>
      <c r="AB558">
        <v>-95.712890999999999</v>
      </c>
    </row>
    <row r="559" spans="1:28" hidden="1">
      <c r="A559">
        <v>552</v>
      </c>
      <c r="B559">
        <v>4900</v>
      </c>
      <c r="C559" t="s">
        <v>54</v>
      </c>
      <c r="D559" t="s">
        <v>1384</v>
      </c>
      <c r="E559">
        <v>67</v>
      </c>
      <c r="G559" t="s">
        <v>742</v>
      </c>
      <c r="H559" t="s">
        <v>1385</v>
      </c>
      <c r="I559" t="s">
        <v>231</v>
      </c>
      <c r="J559" t="s">
        <v>54</v>
      </c>
      <c r="K559" t="s">
        <v>742</v>
      </c>
      <c r="M559" t="b">
        <v>1</v>
      </c>
      <c r="N559" t="s">
        <v>32</v>
      </c>
      <c r="O559" t="s">
        <v>33</v>
      </c>
      <c r="Q559">
        <v>133.61000000000001</v>
      </c>
      <c r="R559">
        <v>4.9000000000000004</v>
      </c>
      <c r="S559" t="s">
        <v>1386</v>
      </c>
      <c r="T559">
        <v>63.9</v>
      </c>
      <c r="V559">
        <v>98.6</v>
      </c>
      <c r="W559">
        <v>73.599999999999994</v>
      </c>
      <c r="X559">
        <v>21.7</v>
      </c>
      <c r="Y559">
        <v>9.9</v>
      </c>
      <c r="Z559">
        <v>3720382</v>
      </c>
      <c r="AA559">
        <v>42.315407</v>
      </c>
      <c r="AB559">
        <v>43.356892000000002</v>
      </c>
    </row>
    <row r="560" spans="1:28" hidden="1">
      <c r="A560">
        <v>552</v>
      </c>
      <c r="B560">
        <v>4900</v>
      </c>
      <c r="C560" t="s">
        <v>236</v>
      </c>
      <c r="D560" t="s">
        <v>1387</v>
      </c>
      <c r="E560">
        <v>94</v>
      </c>
      <c r="G560" t="s">
        <v>252</v>
      </c>
      <c r="H560" t="s">
        <v>253</v>
      </c>
      <c r="I560" t="s">
        <v>1388</v>
      </c>
      <c r="J560" t="s">
        <v>236</v>
      </c>
      <c r="K560" t="s">
        <v>252</v>
      </c>
      <c r="M560" t="b">
        <v>1</v>
      </c>
      <c r="N560" t="s">
        <v>32</v>
      </c>
      <c r="O560" t="s">
        <v>33</v>
      </c>
      <c r="Q560">
        <v>151.18</v>
      </c>
      <c r="R560">
        <v>3</v>
      </c>
      <c r="S560" t="s">
        <v>255</v>
      </c>
      <c r="T560">
        <v>36.299999999999997</v>
      </c>
      <c r="V560">
        <v>106.4</v>
      </c>
      <c r="W560">
        <v>71.5</v>
      </c>
      <c r="X560">
        <v>10.199999999999999</v>
      </c>
      <c r="Y560">
        <v>30.1</v>
      </c>
      <c r="Z560">
        <v>270203917</v>
      </c>
      <c r="AA560">
        <v>-0.78927499999999995</v>
      </c>
      <c r="AB560">
        <v>113.92132700000001</v>
      </c>
    </row>
    <row r="561" spans="1:28" hidden="1">
      <c r="A561">
        <v>552</v>
      </c>
      <c r="B561">
        <v>4900</v>
      </c>
      <c r="C561" t="s">
        <v>288</v>
      </c>
      <c r="D561" t="s">
        <v>1389</v>
      </c>
      <c r="E561">
        <v>77</v>
      </c>
      <c r="G561" t="s">
        <v>156</v>
      </c>
      <c r="H561" t="s">
        <v>1390</v>
      </c>
      <c r="I561" t="s">
        <v>440</v>
      </c>
      <c r="J561" t="s">
        <v>288</v>
      </c>
      <c r="K561" t="s">
        <v>156</v>
      </c>
      <c r="M561" t="b">
        <v>1</v>
      </c>
      <c r="N561" t="s">
        <v>42</v>
      </c>
      <c r="O561" t="s">
        <v>33</v>
      </c>
      <c r="Q561">
        <v>99.55</v>
      </c>
      <c r="R561">
        <v>0.4</v>
      </c>
      <c r="S561" t="s">
        <v>159</v>
      </c>
      <c r="T561">
        <v>59.6</v>
      </c>
      <c r="V561">
        <v>105.2</v>
      </c>
      <c r="W561">
        <v>83.6</v>
      </c>
      <c r="X561">
        <v>10.1</v>
      </c>
      <c r="Y561">
        <v>28.8</v>
      </c>
      <c r="Z561">
        <v>8574832</v>
      </c>
      <c r="AA561">
        <v>46.818187999999999</v>
      </c>
      <c r="AB561">
        <v>8.2275120000000008</v>
      </c>
    </row>
    <row r="562" spans="1:28">
      <c r="A562">
        <v>552</v>
      </c>
      <c r="B562">
        <v>4900</v>
      </c>
      <c r="C562" t="s">
        <v>101</v>
      </c>
      <c r="D562" t="s">
        <v>1391</v>
      </c>
      <c r="E562">
        <v>86</v>
      </c>
      <c r="F562" t="str">
        <f>IF(E562&gt;=90,"90-100",IF(E562&gt;=80,"80-90",IF(E562&gt;=70,"70-80",IF(E562&gt;=60,"60-70",IF(E562&gt;=50,"50-60",IF(E562&gt;=40,"40-50",IF(E562&gt;=30,"30-40","20-30")))))))</f>
        <v>80-90</v>
      </c>
      <c r="G562" t="s">
        <v>127</v>
      </c>
      <c r="H562" t="s">
        <v>1129</v>
      </c>
      <c r="I562" t="s">
        <v>299</v>
      </c>
      <c r="J562" t="s">
        <v>101</v>
      </c>
      <c r="K562" t="s">
        <v>127</v>
      </c>
      <c r="L562" t="s">
        <v>1392</v>
      </c>
      <c r="M562" t="b">
        <v>0</v>
      </c>
      <c r="N562" t="s">
        <v>32</v>
      </c>
      <c r="O562" t="s">
        <v>4867</v>
      </c>
      <c r="P562" t="s">
        <v>131</v>
      </c>
      <c r="Q562">
        <v>116.76</v>
      </c>
      <c r="R562">
        <v>1.9</v>
      </c>
      <c r="S562" t="s">
        <v>132</v>
      </c>
      <c r="T562">
        <v>68.900000000000006</v>
      </c>
      <c r="U562" t="str">
        <f>IF(T562&gt;=100,"above 100",IF(T562&gt;=80,"80-100",IF(T562&gt;=60,"60-80",IF(T562&gt;=40,"40-60",IF(T562&gt;=20,"20-60","0-20")))))</f>
        <v>60-80</v>
      </c>
      <c r="V562">
        <v>100.9</v>
      </c>
      <c r="W562">
        <v>81.900000000000006</v>
      </c>
      <c r="X562">
        <v>12.8</v>
      </c>
      <c r="Y562">
        <v>24.5</v>
      </c>
      <c r="Z562">
        <v>36991981</v>
      </c>
      <c r="AA562">
        <v>56.130366000000002</v>
      </c>
      <c r="AB562">
        <v>-106.346771</v>
      </c>
    </row>
    <row r="563" spans="1:28" hidden="1">
      <c r="A563">
        <v>552</v>
      </c>
      <c r="B563">
        <v>4900</v>
      </c>
      <c r="C563" t="s">
        <v>36</v>
      </c>
      <c r="D563" t="s">
        <v>1393</v>
      </c>
      <c r="E563">
        <v>72</v>
      </c>
      <c r="G563" t="s">
        <v>38</v>
      </c>
      <c r="H563" t="s">
        <v>1394</v>
      </c>
      <c r="I563" t="s">
        <v>1395</v>
      </c>
      <c r="J563" t="s">
        <v>36</v>
      </c>
      <c r="K563" t="s">
        <v>38</v>
      </c>
      <c r="M563" t="b">
        <v>0</v>
      </c>
      <c r="N563" t="s">
        <v>32</v>
      </c>
      <c r="O563" t="s">
        <v>33</v>
      </c>
      <c r="Q563">
        <v>117.24</v>
      </c>
      <c r="R563">
        <v>7.5</v>
      </c>
      <c r="S563" t="s">
        <v>44</v>
      </c>
      <c r="T563">
        <v>88.2</v>
      </c>
      <c r="V563">
        <v>101.8</v>
      </c>
      <c r="W563">
        <v>78.5</v>
      </c>
      <c r="X563">
        <v>9.6</v>
      </c>
      <c r="Y563">
        <v>36.6</v>
      </c>
      <c r="Z563">
        <v>328239523</v>
      </c>
      <c r="AA563">
        <v>37.090240000000001</v>
      </c>
      <c r="AB563">
        <v>-95.712890999999999</v>
      </c>
    </row>
    <row r="564" spans="1:28" hidden="1">
      <c r="A564">
        <v>552</v>
      </c>
      <c r="B564">
        <v>4900</v>
      </c>
      <c r="C564" t="s">
        <v>478</v>
      </c>
      <c r="D564" t="s">
        <v>1396</v>
      </c>
      <c r="E564">
        <v>58</v>
      </c>
      <c r="G564" t="s">
        <v>38</v>
      </c>
      <c r="H564" t="s">
        <v>1228</v>
      </c>
      <c r="I564" t="s">
        <v>1397</v>
      </c>
      <c r="J564" t="s">
        <v>478</v>
      </c>
      <c r="K564" t="s">
        <v>38</v>
      </c>
      <c r="M564" t="b">
        <v>1</v>
      </c>
      <c r="N564" t="s">
        <v>32</v>
      </c>
      <c r="O564" t="s">
        <v>33</v>
      </c>
      <c r="Q564">
        <v>117.24</v>
      </c>
      <c r="R564">
        <v>7.5</v>
      </c>
      <c r="S564" t="s">
        <v>44</v>
      </c>
      <c r="T564">
        <v>88.2</v>
      </c>
      <c r="V564">
        <v>101.8</v>
      </c>
      <c r="W564">
        <v>78.5</v>
      </c>
      <c r="X564">
        <v>9.6</v>
      </c>
      <c r="Y564">
        <v>36.6</v>
      </c>
      <c r="Z564">
        <v>328239523</v>
      </c>
      <c r="AA564">
        <v>37.090240000000001</v>
      </c>
      <c r="AB564">
        <v>-95.712890999999999</v>
      </c>
    </row>
    <row r="565" spans="1:28" hidden="1">
      <c r="A565">
        <v>552</v>
      </c>
      <c r="B565">
        <v>4900</v>
      </c>
      <c r="C565" t="s">
        <v>75</v>
      </c>
      <c r="D565" t="s">
        <v>1398</v>
      </c>
      <c r="E565">
        <v>60</v>
      </c>
      <c r="G565" t="s">
        <v>252</v>
      </c>
      <c r="H565" t="s">
        <v>253</v>
      </c>
      <c r="I565" t="s">
        <v>75</v>
      </c>
      <c r="J565" t="s">
        <v>75</v>
      </c>
      <c r="K565" t="s">
        <v>252</v>
      </c>
      <c r="M565" t="b">
        <v>1</v>
      </c>
      <c r="N565" t="s">
        <v>42</v>
      </c>
      <c r="O565" t="s">
        <v>33</v>
      </c>
      <c r="Q565">
        <v>151.18</v>
      </c>
      <c r="R565">
        <v>3</v>
      </c>
      <c r="S565" t="s">
        <v>255</v>
      </c>
      <c r="T565">
        <v>36.299999999999997</v>
      </c>
      <c r="V565">
        <v>106.4</v>
      </c>
      <c r="W565">
        <v>71.5</v>
      </c>
      <c r="X565">
        <v>10.199999999999999</v>
      </c>
      <c r="Y565">
        <v>30.1</v>
      </c>
      <c r="Z565">
        <v>270203917</v>
      </c>
      <c r="AA565">
        <v>-0.78927499999999995</v>
      </c>
      <c r="AB565">
        <v>113.92132700000001</v>
      </c>
    </row>
    <row r="566" spans="1:28" hidden="1">
      <c r="A566">
        <v>552</v>
      </c>
      <c r="B566">
        <v>4900</v>
      </c>
      <c r="C566" t="s">
        <v>250</v>
      </c>
      <c r="D566" t="s">
        <v>1399</v>
      </c>
      <c r="E566">
        <v>67</v>
      </c>
      <c r="G566" t="s">
        <v>38</v>
      </c>
      <c r="H566" t="s">
        <v>480</v>
      </c>
      <c r="I566" t="s">
        <v>906</v>
      </c>
      <c r="J566" t="s">
        <v>250</v>
      </c>
      <c r="K566" t="s">
        <v>38</v>
      </c>
      <c r="M566" t="b">
        <v>1</v>
      </c>
      <c r="N566" t="s">
        <v>32</v>
      </c>
      <c r="O566" t="s">
        <v>33</v>
      </c>
      <c r="Q566">
        <v>117.24</v>
      </c>
      <c r="R566">
        <v>7.5</v>
      </c>
      <c r="S566" t="s">
        <v>44</v>
      </c>
      <c r="T566">
        <v>88.2</v>
      </c>
      <c r="V566">
        <v>101.8</v>
      </c>
      <c r="W566">
        <v>78.5</v>
      </c>
      <c r="X566">
        <v>9.6</v>
      </c>
      <c r="Y566">
        <v>36.6</v>
      </c>
      <c r="Z566">
        <v>328239523</v>
      </c>
      <c r="AA566">
        <v>37.090240000000001</v>
      </c>
      <c r="AB566">
        <v>-95.712890999999999</v>
      </c>
    </row>
    <row r="567" spans="1:28" hidden="1">
      <c r="A567">
        <v>552</v>
      </c>
      <c r="B567">
        <v>4900</v>
      </c>
      <c r="C567" t="s">
        <v>26</v>
      </c>
      <c r="D567" t="s">
        <v>1400</v>
      </c>
      <c r="E567">
        <v>50</v>
      </c>
      <c r="G567" t="s">
        <v>103</v>
      </c>
      <c r="H567" t="s">
        <v>143</v>
      </c>
      <c r="I567" t="s">
        <v>216</v>
      </c>
      <c r="J567" t="s">
        <v>26</v>
      </c>
      <c r="K567" t="s">
        <v>103</v>
      </c>
      <c r="M567" t="b">
        <v>1</v>
      </c>
      <c r="N567" t="s">
        <v>42</v>
      </c>
      <c r="O567" t="s">
        <v>33</v>
      </c>
      <c r="Q567">
        <v>125.08</v>
      </c>
      <c r="R567">
        <v>2.9</v>
      </c>
      <c r="S567" t="s">
        <v>106</v>
      </c>
      <c r="T567">
        <v>50.6</v>
      </c>
      <c r="V567">
        <v>100.2</v>
      </c>
      <c r="W567">
        <v>77</v>
      </c>
      <c r="X567">
        <v>9.4</v>
      </c>
      <c r="Y567">
        <v>59.2</v>
      </c>
      <c r="Z567">
        <v>1397715000</v>
      </c>
      <c r="AA567">
        <v>35.861660000000001</v>
      </c>
      <c r="AB567">
        <v>104.195397</v>
      </c>
    </row>
    <row r="568" spans="1:28" hidden="1">
      <c r="A568">
        <v>567</v>
      </c>
      <c r="B568">
        <v>4800</v>
      </c>
      <c r="C568" t="s">
        <v>26</v>
      </c>
      <c r="D568" t="s">
        <v>1401</v>
      </c>
      <c r="E568">
        <v>58</v>
      </c>
      <c r="G568" t="s">
        <v>203</v>
      </c>
      <c r="H568" t="s">
        <v>1402</v>
      </c>
      <c r="I568" t="s">
        <v>1403</v>
      </c>
      <c r="J568" t="s">
        <v>26</v>
      </c>
      <c r="K568" t="s">
        <v>203</v>
      </c>
      <c r="M568" t="b">
        <v>1</v>
      </c>
      <c r="N568" t="s">
        <v>32</v>
      </c>
      <c r="O568" t="s">
        <v>33</v>
      </c>
      <c r="Q568">
        <v>119.62</v>
      </c>
      <c r="R568">
        <v>1.7</v>
      </c>
      <c r="S568" t="s">
        <v>206</v>
      </c>
      <c r="T568">
        <v>60</v>
      </c>
      <c r="V568">
        <v>101.2</v>
      </c>
      <c r="W568">
        <v>81.3</v>
      </c>
      <c r="X568">
        <v>25.5</v>
      </c>
      <c r="Y568">
        <v>30.6</v>
      </c>
      <c r="Z568">
        <v>66834405</v>
      </c>
      <c r="AA568">
        <v>55.378050999999999</v>
      </c>
      <c r="AB568">
        <v>-3.4359730000000002</v>
      </c>
    </row>
    <row r="569" spans="1:28" hidden="1">
      <c r="A569">
        <v>567</v>
      </c>
      <c r="B569">
        <v>4800</v>
      </c>
      <c r="C569" t="s">
        <v>26</v>
      </c>
      <c r="D569" t="s">
        <v>1404</v>
      </c>
      <c r="E569">
        <v>50</v>
      </c>
      <c r="G569" t="s">
        <v>1108</v>
      </c>
      <c r="H569" t="s">
        <v>1405</v>
      </c>
      <c r="I569" t="s">
        <v>410</v>
      </c>
      <c r="J569" t="s">
        <v>26</v>
      </c>
      <c r="K569" t="s">
        <v>1108</v>
      </c>
      <c r="M569" t="b">
        <v>1</v>
      </c>
      <c r="N569" t="s">
        <v>32</v>
      </c>
      <c r="O569" t="s">
        <v>33</v>
      </c>
      <c r="Q569">
        <v>114.11</v>
      </c>
      <c r="R569">
        <v>2.2000000000000002</v>
      </c>
      <c r="S569" t="s">
        <v>1110</v>
      </c>
      <c r="T569">
        <v>67.8</v>
      </c>
      <c r="V569">
        <v>100</v>
      </c>
      <c r="W569">
        <v>77.599999999999994</v>
      </c>
      <c r="X569">
        <v>17.399999999999999</v>
      </c>
      <c r="Y569">
        <v>40.799999999999997</v>
      </c>
      <c r="Z569">
        <v>37970874</v>
      </c>
      <c r="AA569">
        <v>51.919438</v>
      </c>
      <c r="AB569">
        <v>19.145136000000001</v>
      </c>
    </row>
    <row r="570" spans="1:28" hidden="1">
      <c r="A570">
        <v>567</v>
      </c>
      <c r="B570">
        <v>4800</v>
      </c>
      <c r="C570" t="s">
        <v>288</v>
      </c>
      <c r="D570" t="s">
        <v>1406</v>
      </c>
      <c r="E570">
        <v>79</v>
      </c>
      <c r="G570" t="s">
        <v>148</v>
      </c>
      <c r="H570" t="s">
        <v>1407</v>
      </c>
      <c r="I570" t="s">
        <v>328</v>
      </c>
      <c r="J570" t="s">
        <v>288</v>
      </c>
      <c r="K570" t="s">
        <v>148</v>
      </c>
      <c r="M570" t="b">
        <v>1</v>
      </c>
      <c r="N570" t="s">
        <v>32</v>
      </c>
      <c r="O570" t="s">
        <v>33</v>
      </c>
      <c r="Q570">
        <v>112.85</v>
      </c>
      <c r="R570">
        <v>1.4</v>
      </c>
      <c r="S570" t="s">
        <v>151</v>
      </c>
      <c r="T570">
        <v>70.2</v>
      </c>
      <c r="V570">
        <v>104</v>
      </c>
      <c r="W570">
        <v>80.900000000000006</v>
      </c>
      <c r="X570">
        <v>11.5</v>
      </c>
      <c r="Y570">
        <v>48.8</v>
      </c>
      <c r="Z570">
        <v>83132799</v>
      </c>
      <c r="AA570">
        <v>51.165691000000002</v>
      </c>
      <c r="AB570">
        <v>10.451525999999999</v>
      </c>
    </row>
    <row r="571" spans="1:28">
      <c r="A571">
        <v>567</v>
      </c>
      <c r="B571">
        <v>4800</v>
      </c>
      <c r="C571" t="s">
        <v>26</v>
      </c>
      <c r="D571" t="s">
        <v>1408</v>
      </c>
      <c r="E571">
        <v>69</v>
      </c>
      <c r="F571" t="str">
        <f>IF(E571&gt;=90,"90-100",IF(E571&gt;=80,"80-90",IF(E571&gt;=70,"70-80",IF(E571&gt;=60,"60-70",IF(E571&gt;=50,"50-60",IF(E571&gt;=40,"40-50",IF(E571&gt;=30,"30-40","20-30")))))))</f>
        <v>60-70</v>
      </c>
      <c r="G571" t="s">
        <v>38</v>
      </c>
      <c r="H571" t="s">
        <v>1409</v>
      </c>
      <c r="I571" t="s">
        <v>1410</v>
      </c>
      <c r="J571" t="s">
        <v>26</v>
      </c>
      <c r="K571" t="s">
        <v>38</v>
      </c>
      <c r="L571" t="s">
        <v>1411</v>
      </c>
      <c r="M571" t="b">
        <v>0</v>
      </c>
      <c r="N571" t="s">
        <v>32</v>
      </c>
      <c r="O571" t="s">
        <v>4867</v>
      </c>
      <c r="P571" t="s">
        <v>43</v>
      </c>
      <c r="Q571">
        <v>117.24</v>
      </c>
      <c r="R571">
        <v>7.5</v>
      </c>
      <c r="S571" t="s">
        <v>44</v>
      </c>
      <c r="T571">
        <v>88.2</v>
      </c>
      <c r="U571" t="str">
        <f>IF(T571&gt;=100,"above 100",IF(T571&gt;=80,"80-100",IF(T571&gt;=60,"60-80",IF(T571&gt;=40,"40-60",IF(T571&gt;=20,"20-60","0-20")))))</f>
        <v>80-100</v>
      </c>
      <c r="V571">
        <v>101.8</v>
      </c>
      <c r="W571">
        <v>78.5</v>
      </c>
      <c r="X571">
        <v>9.6</v>
      </c>
      <c r="Y571">
        <v>36.6</v>
      </c>
      <c r="Z571">
        <v>328239523</v>
      </c>
      <c r="AA571">
        <v>37.090240000000001</v>
      </c>
      <c r="AB571">
        <v>-95.712890999999999</v>
      </c>
    </row>
    <row r="572" spans="1:28" hidden="1">
      <c r="A572">
        <v>567</v>
      </c>
      <c r="B572">
        <v>4800</v>
      </c>
      <c r="C572" t="s">
        <v>217</v>
      </c>
      <c r="D572" t="s">
        <v>1412</v>
      </c>
      <c r="E572">
        <v>64</v>
      </c>
      <c r="G572" t="s">
        <v>38</v>
      </c>
      <c r="H572" t="s">
        <v>1413</v>
      </c>
      <c r="I572" t="s">
        <v>1414</v>
      </c>
      <c r="J572" t="s">
        <v>217</v>
      </c>
      <c r="K572" t="s">
        <v>38</v>
      </c>
      <c r="M572" t="b">
        <v>0</v>
      </c>
      <c r="N572" t="s">
        <v>32</v>
      </c>
      <c r="O572" t="s">
        <v>33</v>
      </c>
      <c r="Q572">
        <v>117.24</v>
      </c>
      <c r="R572">
        <v>7.5</v>
      </c>
      <c r="S572" t="s">
        <v>44</v>
      </c>
      <c r="T572">
        <v>88.2</v>
      </c>
      <c r="V572">
        <v>101.8</v>
      </c>
      <c r="W572">
        <v>78.5</v>
      </c>
      <c r="X572">
        <v>9.6</v>
      </c>
      <c r="Y572">
        <v>36.6</v>
      </c>
      <c r="Z572">
        <v>328239523</v>
      </c>
      <c r="AA572">
        <v>37.090240000000001</v>
      </c>
      <c r="AB572">
        <v>-95.712890999999999</v>
      </c>
    </row>
    <row r="573" spans="1:28" hidden="1">
      <c r="A573">
        <v>567</v>
      </c>
      <c r="B573">
        <v>4800</v>
      </c>
      <c r="C573" t="s">
        <v>217</v>
      </c>
      <c r="D573" t="s">
        <v>1415</v>
      </c>
      <c r="E573">
        <v>67</v>
      </c>
      <c r="G573" t="s">
        <v>38</v>
      </c>
      <c r="H573" t="s">
        <v>1413</v>
      </c>
      <c r="I573" t="s">
        <v>1414</v>
      </c>
      <c r="J573" t="s">
        <v>217</v>
      </c>
      <c r="K573" t="s">
        <v>38</v>
      </c>
      <c r="M573" t="b">
        <v>0</v>
      </c>
      <c r="N573" t="s">
        <v>32</v>
      </c>
      <c r="O573" t="s">
        <v>33</v>
      </c>
      <c r="Q573">
        <v>117.24</v>
      </c>
      <c r="R573">
        <v>7.5</v>
      </c>
      <c r="S573" t="s">
        <v>44</v>
      </c>
      <c r="T573">
        <v>88.2</v>
      </c>
      <c r="V573">
        <v>101.8</v>
      </c>
      <c r="W573">
        <v>78.5</v>
      </c>
      <c r="X573">
        <v>9.6</v>
      </c>
      <c r="Y573">
        <v>36.6</v>
      </c>
      <c r="Z573">
        <v>328239523</v>
      </c>
      <c r="AA573">
        <v>37.090240000000001</v>
      </c>
      <c r="AB573">
        <v>-95.712890999999999</v>
      </c>
    </row>
    <row r="574" spans="1:28" hidden="1">
      <c r="A574">
        <v>567</v>
      </c>
      <c r="B574">
        <v>4800</v>
      </c>
      <c r="C574" t="s">
        <v>217</v>
      </c>
      <c r="D574" t="s">
        <v>1416</v>
      </c>
      <c r="E574">
        <v>66</v>
      </c>
      <c r="G574" t="s">
        <v>38</v>
      </c>
      <c r="H574" t="s">
        <v>1413</v>
      </c>
      <c r="I574" t="s">
        <v>1414</v>
      </c>
      <c r="J574" t="s">
        <v>217</v>
      </c>
      <c r="K574" t="s">
        <v>38</v>
      </c>
      <c r="M574" t="b">
        <v>0</v>
      </c>
      <c r="N574" t="s">
        <v>32</v>
      </c>
      <c r="O574" t="s">
        <v>88</v>
      </c>
      <c r="Q574">
        <v>117.24</v>
      </c>
      <c r="R574">
        <v>7.5</v>
      </c>
      <c r="S574" t="s">
        <v>44</v>
      </c>
      <c r="T574">
        <v>88.2</v>
      </c>
      <c r="V574">
        <v>101.8</v>
      </c>
      <c r="W574">
        <v>78.5</v>
      </c>
      <c r="X574">
        <v>9.6</v>
      </c>
      <c r="Y574">
        <v>36.6</v>
      </c>
      <c r="Z574">
        <v>328239523</v>
      </c>
      <c r="AA574">
        <v>37.090240000000001</v>
      </c>
      <c r="AB574">
        <v>-95.712890999999999</v>
      </c>
    </row>
    <row r="575" spans="1:28">
      <c r="A575">
        <v>567</v>
      </c>
      <c r="B575">
        <v>4800</v>
      </c>
      <c r="C575" t="s">
        <v>45</v>
      </c>
      <c r="D575" t="s">
        <v>1417</v>
      </c>
      <c r="E575">
        <v>68</v>
      </c>
      <c r="F575" t="str">
        <f>IF(E575&gt;=90,"90-100",IF(E575&gt;=80,"80-90",IF(E575&gt;=70,"70-80",IF(E575&gt;=60,"60-70",IF(E575&gt;=50,"50-60",IF(E575&gt;=40,"40-50",IF(E575&gt;=30,"30-40","20-30")))))))</f>
        <v>60-70</v>
      </c>
      <c r="G575" t="s">
        <v>38</v>
      </c>
      <c r="H575" t="s">
        <v>1418</v>
      </c>
      <c r="I575" t="s">
        <v>699</v>
      </c>
      <c r="J575" t="s">
        <v>45</v>
      </c>
      <c r="K575" t="s">
        <v>38</v>
      </c>
      <c r="L575" t="s">
        <v>1419</v>
      </c>
      <c r="M575" t="b">
        <v>1</v>
      </c>
      <c r="N575" t="s">
        <v>42</v>
      </c>
      <c r="O575" t="s">
        <v>4867</v>
      </c>
      <c r="P575" t="s">
        <v>468</v>
      </c>
      <c r="Q575">
        <v>117.24</v>
      </c>
      <c r="R575">
        <v>7.5</v>
      </c>
      <c r="S575" t="s">
        <v>44</v>
      </c>
      <c r="T575">
        <v>88.2</v>
      </c>
      <c r="U575" t="str">
        <f>IF(T575&gt;=100,"above 100",IF(T575&gt;=80,"80-100",IF(T575&gt;=60,"60-80",IF(T575&gt;=40,"40-60",IF(T575&gt;=20,"20-60","0-20")))))</f>
        <v>80-100</v>
      </c>
      <c r="V575">
        <v>101.8</v>
      </c>
      <c r="W575">
        <v>78.5</v>
      </c>
      <c r="X575">
        <v>9.6</v>
      </c>
      <c r="Y575">
        <v>36.6</v>
      </c>
      <c r="Z575">
        <v>328239523</v>
      </c>
      <c r="AA575">
        <v>37.090240000000001</v>
      </c>
      <c r="AB575">
        <v>-95.712890999999999</v>
      </c>
    </row>
    <row r="576" spans="1:28" hidden="1">
      <c r="A576">
        <v>567</v>
      </c>
      <c r="B576">
        <v>4800</v>
      </c>
      <c r="C576" t="s">
        <v>45</v>
      </c>
      <c r="D576" t="s">
        <v>1420</v>
      </c>
      <c r="E576">
        <v>64</v>
      </c>
      <c r="G576" t="s">
        <v>38</v>
      </c>
      <c r="H576" t="s">
        <v>39</v>
      </c>
      <c r="I576" t="s">
        <v>1143</v>
      </c>
      <c r="J576" t="s">
        <v>45</v>
      </c>
      <c r="K576" t="s">
        <v>38</v>
      </c>
      <c r="M576" t="b">
        <v>1</v>
      </c>
      <c r="N576" t="s">
        <v>32</v>
      </c>
      <c r="O576" t="s">
        <v>88</v>
      </c>
      <c r="Q576">
        <v>117.24</v>
      </c>
      <c r="R576">
        <v>7.5</v>
      </c>
      <c r="S576" t="s">
        <v>44</v>
      </c>
      <c r="T576">
        <v>88.2</v>
      </c>
      <c r="V576">
        <v>101.8</v>
      </c>
      <c r="W576">
        <v>78.5</v>
      </c>
      <c r="X576">
        <v>9.6</v>
      </c>
      <c r="Y576">
        <v>36.6</v>
      </c>
      <c r="Z576">
        <v>328239523</v>
      </c>
      <c r="AA576">
        <v>37.090240000000001</v>
      </c>
      <c r="AB576">
        <v>-95.712890999999999</v>
      </c>
    </row>
    <row r="577" spans="1:28" hidden="1">
      <c r="A577">
        <v>567</v>
      </c>
      <c r="B577">
        <v>4800</v>
      </c>
      <c r="C577" t="s">
        <v>217</v>
      </c>
      <c r="D577" t="s">
        <v>1421</v>
      </c>
      <c r="E577">
        <v>63</v>
      </c>
      <c r="G577" t="s">
        <v>38</v>
      </c>
      <c r="H577" t="s">
        <v>1422</v>
      </c>
      <c r="I577" t="s">
        <v>1414</v>
      </c>
      <c r="J577" t="s">
        <v>217</v>
      </c>
      <c r="K577" t="s">
        <v>38</v>
      </c>
      <c r="M577" t="b">
        <v>0</v>
      </c>
      <c r="N577" t="s">
        <v>32</v>
      </c>
      <c r="O577" t="s">
        <v>88</v>
      </c>
      <c r="Q577">
        <v>117.24</v>
      </c>
      <c r="R577">
        <v>7.5</v>
      </c>
      <c r="S577" t="s">
        <v>44</v>
      </c>
      <c r="T577">
        <v>88.2</v>
      </c>
      <c r="V577">
        <v>101.8</v>
      </c>
      <c r="W577">
        <v>78.5</v>
      </c>
      <c r="X577">
        <v>9.6</v>
      </c>
      <c r="Y577">
        <v>36.6</v>
      </c>
      <c r="Z577">
        <v>328239523</v>
      </c>
      <c r="AA577">
        <v>37.090240000000001</v>
      </c>
      <c r="AB577">
        <v>-95.712890999999999</v>
      </c>
    </row>
    <row r="578" spans="1:28" hidden="1">
      <c r="A578">
        <v>567</v>
      </c>
      <c r="B578">
        <v>4800</v>
      </c>
      <c r="C578" t="s">
        <v>288</v>
      </c>
      <c r="D578" t="s">
        <v>1423</v>
      </c>
      <c r="E578">
        <v>70</v>
      </c>
      <c r="G578" t="s">
        <v>77</v>
      </c>
      <c r="H578" t="s">
        <v>137</v>
      </c>
      <c r="I578" t="s">
        <v>418</v>
      </c>
      <c r="J578" t="s">
        <v>288</v>
      </c>
      <c r="K578" t="s">
        <v>77</v>
      </c>
      <c r="M578" t="b">
        <v>0</v>
      </c>
      <c r="N578" t="s">
        <v>32</v>
      </c>
      <c r="O578" t="s">
        <v>33</v>
      </c>
      <c r="Q578">
        <v>180.44</v>
      </c>
      <c r="R578">
        <v>7.7</v>
      </c>
      <c r="S578" t="s">
        <v>81</v>
      </c>
      <c r="T578">
        <v>28.1</v>
      </c>
      <c r="V578">
        <v>113</v>
      </c>
      <c r="W578">
        <v>69.400000000000006</v>
      </c>
      <c r="X578">
        <v>11.2</v>
      </c>
      <c r="Y578">
        <v>49.7</v>
      </c>
      <c r="Z578">
        <v>1366417754</v>
      </c>
      <c r="AA578">
        <v>20.593684</v>
      </c>
      <c r="AB578">
        <v>78.962879999999998</v>
      </c>
    </row>
    <row r="579" spans="1:28" hidden="1">
      <c r="A579">
        <v>567</v>
      </c>
      <c r="B579">
        <v>4800</v>
      </c>
      <c r="C579" t="s">
        <v>217</v>
      </c>
      <c r="D579" t="s">
        <v>1424</v>
      </c>
      <c r="E579">
        <v>78</v>
      </c>
      <c r="G579" t="s">
        <v>172</v>
      </c>
      <c r="H579" t="s">
        <v>172</v>
      </c>
      <c r="I579" t="s">
        <v>217</v>
      </c>
      <c r="J579" t="s">
        <v>217</v>
      </c>
      <c r="K579" t="s">
        <v>148</v>
      </c>
      <c r="M579" t="b">
        <v>1</v>
      </c>
      <c r="N579" t="s">
        <v>42</v>
      </c>
      <c r="O579" t="s">
        <v>33</v>
      </c>
    </row>
    <row r="580" spans="1:28" hidden="1">
      <c r="A580">
        <v>567</v>
      </c>
      <c r="B580">
        <v>4800</v>
      </c>
      <c r="C580" t="s">
        <v>54</v>
      </c>
      <c r="D580" t="s">
        <v>1425</v>
      </c>
      <c r="E580">
        <v>62</v>
      </c>
      <c r="G580" t="s">
        <v>103</v>
      </c>
      <c r="H580" t="s">
        <v>215</v>
      </c>
      <c r="I580" t="s">
        <v>240</v>
      </c>
      <c r="J580" t="s">
        <v>54</v>
      </c>
      <c r="K580" t="s">
        <v>103</v>
      </c>
      <c r="M580" t="b">
        <v>1</v>
      </c>
      <c r="N580" t="s">
        <v>32</v>
      </c>
      <c r="O580" t="s">
        <v>33</v>
      </c>
      <c r="Q580">
        <v>125.08</v>
      </c>
      <c r="R580">
        <v>2.9</v>
      </c>
      <c r="S580" t="s">
        <v>106</v>
      </c>
      <c r="T580">
        <v>50.6</v>
      </c>
      <c r="V580">
        <v>100.2</v>
      </c>
      <c r="W580">
        <v>77</v>
      </c>
      <c r="X580">
        <v>9.4</v>
      </c>
      <c r="Y580">
        <v>59.2</v>
      </c>
      <c r="Z580">
        <v>1397715000</v>
      </c>
      <c r="AA580">
        <v>35.861660000000001</v>
      </c>
      <c r="AB580">
        <v>104.195397</v>
      </c>
    </row>
    <row r="581" spans="1:28" hidden="1">
      <c r="A581">
        <v>580</v>
      </c>
      <c r="B581">
        <v>4700</v>
      </c>
      <c r="C581" t="s">
        <v>75</v>
      </c>
      <c r="D581" t="s">
        <v>1426</v>
      </c>
      <c r="E581">
        <v>88</v>
      </c>
      <c r="G581" t="s">
        <v>1427</v>
      </c>
      <c r="H581" t="s">
        <v>1428</v>
      </c>
      <c r="I581" t="s">
        <v>662</v>
      </c>
      <c r="J581" t="s">
        <v>75</v>
      </c>
      <c r="K581" t="s">
        <v>1427</v>
      </c>
      <c r="M581" t="b">
        <v>0</v>
      </c>
      <c r="N581" t="s">
        <v>419</v>
      </c>
      <c r="O581" t="s">
        <v>88</v>
      </c>
      <c r="Q581">
        <v>110.62</v>
      </c>
      <c r="R581">
        <v>0.3</v>
      </c>
      <c r="S581" t="s">
        <v>1429</v>
      </c>
      <c r="T581">
        <v>63.9</v>
      </c>
      <c r="V581">
        <v>106.2</v>
      </c>
      <c r="W581">
        <v>81.3</v>
      </c>
      <c r="X581">
        <v>22.8</v>
      </c>
      <c r="Y581">
        <v>39.799999999999997</v>
      </c>
      <c r="Z581">
        <v>10269417</v>
      </c>
      <c r="AA581">
        <v>39.399872000000002</v>
      </c>
      <c r="AB581">
        <v>-8.2244539999999997</v>
      </c>
    </row>
    <row r="582" spans="1:28" hidden="1">
      <c r="A582">
        <v>580</v>
      </c>
      <c r="B582">
        <v>4700</v>
      </c>
      <c r="C582" t="s">
        <v>478</v>
      </c>
      <c r="D582" t="s">
        <v>1430</v>
      </c>
      <c r="E582">
        <v>76</v>
      </c>
      <c r="G582" t="s">
        <v>38</v>
      </c>
      <c r="H582" t="s">
        <v>1431</v>
      </c>
      <c r="I582" t="s">
        <v>1432</v>
      </c>
      <c r="J582" t="s">
        <v>478</v>
      </c>
      <c r="K582" t="s">
        <v>38</v>
      </c>
      <c r="M582" t="b">
        <v>0</v>
      </c>
      <c r="N582" t="s">
        <v>32</v>
      </c>
      <c r="O582" t="s">
        <v>88</v>
      </c>
      <c r="Q582">
        <v>117.24</v>
      </c>
      <c r="R582">
        <v>7.5</v>
      </c>
      <c r="S582" t="s">
        <v>44</v>
      </c>
      <c r="T582">
        <v>88.2</v>
      </c>
      <c r="V582">
        <v>101.8</v>
      </c>
      <c r="W582">
        <v>78.5</v>
      </c>
      <c r="X582">
        <v>9.6</v>
      </c>
      <c r="Y582">
        <v>36.6</v>
      </c>
      <c r="Z582">
        <v>328239523</v>
      </c>
      <c r="AA582">
        <v>37.090240000000001</v>
      </c>
      <c r="AB582">
        <v>-95.712890999999999</v>
      </c>
    </row>
    <row r="583" spans="1:28" hidden="1">
      <c r="A583">
        <v>580</v>
      </c>
      <c r="B583">
        <v>4700</v>
      </c>
      <c r="C583" t="s">
        <v>45</v>
      </c>
      <c r="D583" t="s">
        <v>1433</v>
      </c>
      <c r="E583">
        <v>78</v>
      </c>
      <c r="G583" t="s">
        <v>810</v>
      </c>
      <c r="H583" t="s">
        <v>811</v>
      </c>
      <c r="I583" t="s">
        <v>897</v>
      </c>
      <c r="J583" t="s">
        <v>45</v>
      </c>
      <c r="K583" t="s">
        <v>395</v>
      </c>
      <c r="M583" t="b">
        <v>1</v>
      </c>
      <c r="N583" t="s">
        <v>32</v>
      </c>
      <c r="O583" t="s">
        <v>33</v>
      </c>
    </row>
    <row r="584" spans="1:28" hidden="1">
      <c r="A584">
        <v>580</v>
      </c>
      <c r="B584">
        <v>4700</v>
      </c>
      <c r="C584" t="s">
        <v>217</v>
      </c>
      <c r="D584" t="s">
        <v>1434</v>
      </c>
      <c r="E584">
        <v>63</v>
      </c>
      <c r="G584" t="s">
        <v>1267</v>
      </c>
      <c r="H584" t="s">
        <v>1268</v>
      </c>
      <c r="I584" t="s">
        <v>1269</v>
      </c>
      <c r="J584" t="s">
        <v>217</v>
      </c>
      <c r="K584" t="s">
        <v>1267</v>
      </c>
      <c r="M584" t="b">
        <v>1</v>
      </c>
      <c r="N584" t="s">
        <v>32</v>
      </c>
      <c r="O584" t="s">
        <v>33</v>
      </c>
      <c r="Q584">
        <v>234.44</v>
      </c>
      <c r="R584">
        <v>15.2</v>
      </c>
      <c r="S584" t="s">
        <v>1270</v>
      </c>
      <c r="T584">
        <v>23.9</v>
      </c>
      <c r="V584">
        <v>93.2</v>
      </c>
      <c r="W584">
        <v>77.400000000000006</v>
      </c>
      <c r="X584">
        <v>17.899999999999999</v>
      </c>
      <c r="Y584">
        <v>42.3</v>
      </c>
      <c r="Z584">
        <v>83429615</v>
      </c>
      <c r="AA584">
        <v>38.963745000000003</v>
      </c>
      <c r="AB584">
        <v>35.243321999999999</v>
      </c>
    </row>
    <row r="585" spans="1:28" hidden="1">
      <c r="A585">
        <v>580</v>
      </c>
      <c r="B585">
        <v>4700</v>
      </c>
      <c r="C585" t="s">
        <v>54</v>
      </c>
      <c r="D585" t="s">
        <v>1435</v>
      </c>
      <c r="E585">
        <v>54</v>
      </c>
      <c r="G585" t="s">
        <v>384</v>
      </c>
      <c r="H585" t="s">
        <v>1436</v>
      </c>
      <c r="I585" t="s">
        <v>383</v>
      </c>
      <c r="J585" t="s">
        <v>54</v>
      </c>
      <c r="K585" t="s">
        <v>384</v>
      </c>
      <c r="M585" t="b">
        <v>1</v>
      </c>
      <c r="N585" t="s">
        <v>42</v>
      </c>
      <c r="O585" t="s">
        <v>33</v>
      </c>
      <c r="Q585">
        <v>167.4</v>
      </c>
      <c r="R585">
        <v>3.7</v>
      </c>
      <c r="S585" t="s">
        <v>563</v>
      </c>
      <c r="T585">
        <v>51.3</v>
      </c>
      <c r="V585">
        <v>115.4</v>
      </c>
      <c r="W585">
        <v>75.7</v>
      </c>
      <c r="X585">
        <v>14.2</v>
      </c>
      <c r="Y585">
        <v>65.099999999999994</v>
      </c>
      <c r="Z585">
        <v>212559417</v>
      </c>
      <c r="AA585">
        <v>-14.235004</v>
      </c>
      <c r="AB585">
        <v>-51.925280000000001</v>
      </c>
    </row>
    <row r="586" spans="1:28">
      <c r="A586">
        <v>580</v>
      </c>
      <c r="B586">
        <v>4700</v>
      </c>
      <c r="C586" t="s">
        <v>221</v>
      </c>
      <c r="D586" t="s">
        <v>1437</v>
      </c>
      <c r="E586">
        <v>68</v>
      </c>
      <c r="F586" t="str">
        <f>IF(E586&gt;=90,"90-100",IF(E586&gt;=80,"80-90",IF(E586&gt;=70,"70-80",IF(E586&gt;=60,"60-70",IF(E586&gt;=50,"50-60",IF(E586&gt;=40,"40-50",IF(E586&gt;=30,"30-40","20-30")))))))</f>
        <v>60-70</v>
      </c>
      <c r="G586" t="s">
        <v>127</v>
      </c>
      <c r="H586" t="s">
        <v>128</v>
      </c>
      <c r="I586" t="s">
        <v>223</v>
      </c>
      <c r="J586" t="s">
        <v>221</v>
      </c>
      <c r="K586" t="s">
        <v>127</v>
      </c>
      <c r="L586" t="s">
        <v>1438</v>
      </c>
      <c r="M586" t="b">
        <v>0</v>
      </c>
      <c r="N586" t="s">
        <v>32</v>
      </c>
      <c r="O586" t="s">
        <v>4867</v>
      </c>
      <c r="P586" t="s">
        <v>131</v>
      </c>
      <c r="Q586">
        <v>116.76</v>
      </c>
      <c r="R586">
        <v>1.9</v>
      </c>
      <c r="S586" t="s">
        <v>132</v>
      </c>
      <c r="T586">
        <v>68.900000000000006</v>
      </c>
      <c r="U586" t="str">
        <f>IF(T586&gt;=100,"above 100",IF(T586&gt;=80,"80-100",IF(T586&gt;=60,"60-80",IF(T586&gt;=40,"40-60",IF(T586&gt;=20,"20-60","0-20")))))</f>
        <v>60-80</v>
      </c>
      <c r="V586">
        <v>100.9</v>
      </c>
      <c r="W586">
        <v>81.900000000000006</v>
      </c>
      <c r="X586">
        <v>12.8</v>
      </c>
      <c r="Y586">
        <v>24.5</v>
      </c>
      <c r="Z586">
        <v>36991981</v>
      </c>
      <c r="AA586">
        <v>56.130366000000002</v>
      </c>
      <c r="AB586">
        <v>-106.346771</v>
      </c>
    </row>
    <row r="587" spans="1:28" hidden="1">
      <c r="A587">
        <v>580</v>
      </c>
      <c r="B587">
        <v>4700</v>
      </c>
      <c r="C587" t="s">
        <v>45</v>
      </c>
      <c r="D587" t="s">
        <v>1439</v>
      </c>
      <c r="E587">
        <v>77</v>
      </c>
      <c r="G587" t="s">
        <v>611</v>
      </c>
      <c r="H587" t="s">
        <v>612</v>
      </c>
      <c r="I587" t="s">
        <v>796</v>
      </c>
      <c r="J587" t="s">
        <v>45</v>
      </c>
      <c r="K587" t="s">
        <v>611</v>
      </c>
      <c r="M587" t="b">
        <v>0</v>
      </c>
      <c r="N587" t="s">
        <v>42</v>
      </c>
      <c r="O587" t="s">
        <v>88</v>
      </c>
      <c r="Q587">
        <v>115.16</v>
      </c>
      <c r="R587">
        <v>0.4</v>
      </c>
      <c r="S587" t="s">
        <v>615</v>
      </c>
      <c r="T587">
        <v>94.3</v>
      </c>
      <c r="V587">
        <v>98.1</v>
      </c>
      <c r="W587">
        <v>82.6</v>
      </c>
      <c r="X587">
        <v>15.6</v>
      </c>
      <c r="Y587">
        <v>33.200000000000003</v>
      </c>
      <c r="Z587">
        <v>51709098</v>
      </c>
      <c r="AA587">
        <v>35.907756999999997</v>
      </c>
      <c r="AB587">
        <v>127.76692199999999</v>
      </c>
    </row>
    <row r="588" spans="1:28" hidden="1">
      <c r="A588">
        <v>580</v>
      </c>
      <c r="B588">
        <v>4700</v>
      </c>
      <c r="C588" t="s">
        <v>217</v>
      </c>
      <c r="D588" t="s">
        <v>1440</v>
      </c>
      <c r="E588">
        <v>50</v>
      </c>
      <c r="G588" t="s">
        <v>103</v>
      </c>
      <c r="H588" t="s">
        <v>215</v>
      </c>
      <c r="I588" t="s">
        <v>1441</v>
      </c>
      <c r="J588" t="s">
        <v>217</v>
      </c>
      <c r="K588" t="s">
        <v>103</v>
      </c>
      <c r="M588" t="b">
        <v>1</v>
      </c>
      <c r="N588" t="s">
        <v>32</v>
      </c>
      <c r="O588" t="s">
        <v>33</v>
      </c>
      <c r="Q588">
        <v>125.08</v>
      </c>
      <c r="R588">
        <v>2.9</v>
      </c>
      <c r="S588" t="s">
        <v>106</v>
      </c>
      <c r="T588">
        <v>50.6</v>
      </c>
      <c r="V588">
        <v>100.2</v>
      </c>
      <c r="W588">
        <v>77</v>
      </c>
      <c r="X588">
        <v>9.4</v>
      </c>
      <c r="Y588">
        <v>59.2</v>
      </c>
      <c r="Z588">
        <v>1397715000</v>
      </c>
      <c r="AA588">
        <v>35.861660000000001</v>
      </c>
      <c r="AB588">
        <v>104.195397</v>
      </c>
    </row>
    <row r="589" spans="1:28" hidden="1">
      <c r="A589">
        <v>580</v>
      </c>
      <c r="B589">
        <v>4700</v>
      </c>
      <c r="C589" t="s">
        <v>63</v>
      </c>
      <c r="D589" t="s">
        <v>1442</v>
      </c>
      <c r="E589">
        <v>68</v>
      </c>
      <c r="G589" t="s">
        <v>38</v>
      </c>
      <c r="H589" t="s">
        <v>1443</v>
      </c>
      <c r="I589" t="s">
        <v>66</v>
      </c>
      <c r="J589" t="s">
        <v>63</v>
      </c>
      <c r="K589" t="s">
        <v>38</v>
      </c>
      <c r="M589" t="b">
        <v>1</v>
      </c>
      <c r="N589" t="s">
        <v>32</v>
      </c>
      <c r="O589" t="s">
        <v>33</v>
      </c>
      <c r="Q589">
        <v>117.24</v>
      </c>
      <c r="R589">
        <v>7.5</v>
      </c>
      <c r="S589" t="s">
        <v>44</v>
      </c>
      <c r="T589">
        <v>88.2</v>
      </c>
      <c r="V589">
        <v>101.8</v>
      </c>
      <c r="W589">
        <v>78.5</v>
      </c>
      <c r="X589">
        <v>9.6</v>
      </c>
      <c r="Y589">
        <v>36.6</v>
      </c>
      <c r="Z589">
        <v>328239523</v>
      </c>
      <c r="AA589">
        <v>37.090240000000001</v>
      </c>
      <c r="AB589">
        <v>-95.712890999999999</v>
      </c>
    </row>
    <row r="590" spans="1:28" hidden="1">
      <c r="A590">
        <v>580</v>
      </c>
      <c r="B590">
        <v>4700</v>
      </c>
      <c r="C590" t="s">
        <v>75</v>
      </c>
      <c r="D590" t="s">
        <v>1444</v>
      </c>
      <c r="E590">
        <v>76</v>
      </c>
      <c r="G590" t="s">
        <v>103</v>
      </c>
      <c r="H590" t="s">
        <v>1445</v>
      </c>
      <c r="I590" t="s">
        <v>1446</v>
      </c>
      <c r="J590" t="s">
        <v>75</v>
      </c>
      <c r="K590" t="s">
        <v>103</v>
      </c>
      <c r="M590" t="b">
        <v>1</v>
      </c>
      <c r="N590" t="s">
        <v>32</v>
      </c>
      <c r="O590" t="s">
        <v>33</v>
      </c>
      <c r="Q590">
        <v>125.08</v>
      </c>
      <c r="R590">
        <v>2.9</v>
      </c>
      <c r="S590" t="s">
        <v>106</v>
      </c>
      <c r="T590">
        <v>50.6</v>
      </c>
      <c r="V590">
        <v>100.2</v>
      </c>
      <c r="W590">
        <v>77</v>
      </c>
      <c r="X590">
        <v>9.4</v>
      </c>
      <c r="Y590">
        <v>59.2</v>
      </c>
      <c r="Z590">
        <v>1397715000</v>
      </c>
      <c r="AA590">
        <v>35.861660000000001</v>
      </c>
      <c r="AB590">
        <v>104.195397</v>
      </c>
    </row>
    <row r="591" spans="1:28" hidden="1">
      <c r="A591">
        <v>580</v>
      </c>
      <c r="B591">
        <v>4700</v>
      </c>
      <c r="C591" t="s">
        <v>63</v>
      </c>
      <c r="D591" t="s">
        <v>1447</v>
      </c>
      <c r="E591">
        <v>52</v>
      </c>
      <c r="G591" t="s">
        <v>38</v>
      </c>
      <c r="H591" t="s">
        <v>863</v>
      </c>
      <c r="I591" t="s">
        <v>1448</v>
      </c>
      <c r="J591" t="s">
        <v>63</v>
      </c>
      <c r="K591" t="s">
        <v>38</v>
      </c>
      <c r="M591" t="b">
        <v>1</v>
      </c>
      <c r="N591" t="s">
        <v>42</v>
      </c>
      <c r="O591" t="s">
        <v>33</v>
      </c>
      <c r="Q591">
        <v>117.24</v>
      </c>
      <c r="R591">
        <v>7.5</v>
      </c>
      <c r="S591" t="s">
        <v>44</v>
      </c>
      <c r="T591">
        <v>88.2</v>
      </c>
      <c r="V591">
        <v>101.8</v>
      </c>
      <c r="W591">
        <v>78.5</v>
      </c>
      <c r="X591">
        <v>9.6</v>
      </c>
      <c r="Y591">
        <v>36.6</v>
      </c>
      <c r="Z591">
        <v>328239523</v>
      </c>
      <c r="AA591">
        <v>37.090240000000001</v>
      </c>
      <c r="AB591">
        <v>-95.712890999999999</v>
      </c>
    </row>
    <row r="592" spans="1:28" hidden="1">
      <c r="A592">
        <v>591</v>
      </c>
      <c r="B592">
        <v>4600</v>
      </c>
      <c r="C592" t="s">
        <v>101</v>
      </c>
      <c r="D592" t="s">
        <v>1449</v>
      </c>
      <c r="E592">
        <v>61</v>
      </c>
      <c r="G592" t="s">
        <v>38</v>
      </c>
      <c r="H592" t="s">
        <v>39</v>
      </c>
      <c r="I592" t="s">
        <v>1450</v>
      </c>
      <c r="J592" t="s">
        <v>101</v>
      </c>
      <c r="K592" t="s">
        <v>38</v>
      </c>
      <c r="M592" t="b">
        <v>1</v>
      </c>
      <c r="N592" t="s">
        <v>32</v>
      </c>
      <c r="O592" t="s">
        <v>33</v>
      </c>
      <c r="Q592">
        <v>117.24</v>
      </c>
      <c r="R592">
        <v>7.5</v>
      </c>
      <c r="S592" t="s">
        <v>44</v>
      </c>
      <c r="T592">
        <v>88.2</v>
      </c>
      <c r="V592">
        <v>101.8</v>
      </c>
      <c r="W592">
        <v>78.5</v>
      </c>
      <c r="X592">
        <v>9.6</v>
      </c>
      <c r="Y592">
        <v>36.6</v>
      </c>
      <c r="Z592">
        <v>328239523</v>
      </c>
      <c r="AA592">
        <v>37.090240000000001</v>
      </c>
      <c r="AB592">
        <v>-95.712890999999999</v>
      </c>
    </row>
    <row r="593" spans="1:28">
      <c r="A593">
        <v>591</v>
      </c>
      <c r="B593">
        <v>4600</v>
      </c>
      <c r="C593" t="s">
        <v>63</v>
      </c>
      <c r="D593" t="s">
        <v>1451</v>
      </c>
      <c r="E593">
        <v>64</v>
      </c>
      <c r="F593" t="str">
        <f>IF(E593&gt;=90,"90-100",IF(E593&gt;=80,"80-90",IF(E593&gt;=70,"70-80",IF(E593&gt;=60,"60-70",IF(E593&gt;=50,"50-60",IF(E593&gt;=40,"40-50",IF(E593&gt;=30,"30-40","20-30")))))))</f>
        <v>60-70</v>
      </c>
      <c r="G593" t="s">
        <v>38</v>
      </c>
      <c r="H593" t="s">
        <v>480</v>
      </c>
      <c r="I593" t="s">
        <v>1452</v>
      </c>
      <c r="J593" t="s">
        <v>63</v>
      </c>
      <c r="K593" t="s">
        <v>38</v>
      </c>
      <c r="L593" t="s">
        <v>1453</v>
      </c>
      <c r="M593" t="b">
        <v>1</v>
      </c>
      <c r="N593" t="s">
        <v>42</v>
      </c>
      <c r="O593" t="s">
        <v>4867</v>
      </c>
      <c r="P593" t="s">
        <v>85</v>
      </c>
      <c r="Q593">
        <v>117.24</v>
      </c>
      <c r="R593">
        <v>7.5</v>
      </c>
      <c r="S593" t="s">
        <v>44</v>
      </c>
      <c r="T593">
        <v>88.2</v>
      </c>
      <c r="U593" t="str">
        <f t="shared" ref="U593:U595" si="32">IF(T593&gt;=100,"above 100",IF(T593&gt;=80,"80-100",IF(T593&gt;=60,"60-80",IF(T593&gt;=40,"40-60",IF(T593&gt;=20,"20-60","0-20")))))</f>
        <v>80-100</v>
      </c>
      <c r="V593">
        <v>101.8</v>
      </c>
      <c r="W593">
        <v>78.5</v>
      </c>
      <c r="X593">
        <v>9.6</v>
      </c>
      <c r="Y593">
        <v>36.6</v>
      </c>
      <c r="Z593">
        <v>328239523</v>
      </c>
      <c r="AA593">
        <v>37.090240000000001</v>
      </c>
      <c r="AB593">
        <v>-95.712890999999999</v>
      </c>
    </row>
    <row r="594" spans="1:28">
      <c r="A594">
        <v>591</v>
      </c>
      <c r="B594">
        <v>4600</v>
      </c>
      <c r="C594" t="s">
        <v>63</v>
      </c>
      <c r="D594" t="s">
        <v>1454</v>
      </c>
      <c r="E594">
        <v>96</v>
      </c>
      <c r="F594" t="str">
        <f>IF(E594&gt;=90,"90-100",IF(E594&gt;=80,"80-90",IF(E594&gt;=70,"70-80",IF(E594&gt;=60,"60-70",IF(E594&gt;=50,"50-60",IF(E594&gt;=40,"40-50",IF(E594&gt;=30,"30-40","20-30")))))))</f>
        <v>90-100</v>
      </c>
      <c r="G594" t="s">
        <v>38</v>
      </c>
      <c r="H594" t="s">
        <v>1455</v>
      </c>
      <c r="I594" t="s">
        <v>665</v>
      </c>
      <c r="J594" t="s">
        <v>63</v>
      </c>
      <c r="K594" t="s">
        <v>38</v>
      </c>
      <c r="L594" t="s">
        <v>1456</v>
      </c>
      <c r="M594" t="b">
        <v>1</v>
      </c>
      <c r="N594" t="s">
        <v>42</v>
      </c>
      <c r="O594" t="s">
        <v>4867</v>
      </c>
      <c r="P594" t="s">
        <v>49</v>
      </c>
      <c r="Q594">
        <v>117.24</v>
      </c>
      <c r="R594">
        <v>7.5</v>
      </c>
      <c r="S594" t="s">
        <v>44</v>
      </c>
      <c r="T594">
        <v>88.2</v>
      </c>
      <c r="U594" t="str">
        <f t="shared" si="32"/>
        <v>80-100</v>
      </c>
      <c r="V594">
        <v>101.8</v>
      </c>
      <c r="W594">
        <v>78.5</v>
      </c>
      <c r="X594">
        <v>9.6</v>
      </c>
      <c r="Y594">
        <v>36.6</v>
      </c>
      <c r="Z594">
        <v>328239523</v>
      </c>
      <c r="AA594">
        <v>37.090240000000001</v>
      </c>
      <c r="AB594">
        <v>-95.712890999999999</v>
      </c>
    </row>
    <row r="595" spans="1:28">
      <c r="A595">
        <v>591</v>
      </c>
      <c r="B595">
        <v>4600</v>
      </c>
      <c r="C595" t="s">
        <v>45</v>
      </c>
      <c r="D595" t="s">
        <v>1457</v>
      </c>
      <c r="E595">
        <v>46</v>
      </c>
      <c r="F595" t="str">
        <f>IF(E595&gt;=90,"90-100",IF(E595&gt;=80,"80-90",IF(E595&gt;=70,"70-80",IF(E595&gt;=60,"60-70",IF(E595&gt;=50,"50-60",IF(E595&gt;=40,"40-50",IF(E595&gt;=30,"30-40","20-30")))))))</f>
        <v>40-50</v>
      </c>
      <c r="G595" t="s">
        <v>38</v>
      </c>
      <c r="H595" t="s">
        <v>652</v>
      </c>
      <c r="I595" t="s">
        <v>1458</v>
      </c>
      <c r="J595" t="s">
        <v>45</v>
      </c>
      <c r="K595" t="s">
        <v>38</v>
      </c>
      <c r="L595" t="s">
        <v>1459</v>
      </c>
      <c r="M595" t="b">
        <v>1</v>
      </c>
      <c r="N595" t="s">
        <v>42</v>
      </c>
      <c r="O595" t="s">
        <v>4867</v>
      </c>
      <c r="P595" t="s">
        <v>110</v>
      </c>
      <c r="Q595">
        <v>117.24</v>
      </c>
      <c r="R595">
        <v>7.5</v>
      </c>
      <c r="S595" t="s">
        <v>44</v>
      </c>
      <c r="T595">
        <v>88.2</v>
      </c>
      <c r="U595" t="str">
        <f t="shared" si="32"/>
        <v>80-100</v>
      </c>
      <c r="V595">
        <v>101.8</v>
      </c>
      <c r="W595">
        <v>78.5</v>
      </c>
      <c r="X595">
        <v>9.6</v>
      </c>
      <c r="Y595">
        <v>36.6</v>
      </c>
      <c r="Z595">
        <v>328239523</v>
      </c>
      <c r="AA595">
        <v>37.090240000000001</v>
      </c>
      <c r="AB595">
        <v>-95.712890999999999</v>
      </c>
    </row>
    <row r="596" spans="1:28" hidden="1">
      <c r="A596">
        <v>591</v>
      </c>
      <c r="B596">
        <v>4600</v>
      </c>
      <c r="C596" t="s">
        <v>250</v>
      </c>
      <c r="D596" t="s">
        <v>1460</v>
      </c>
      <c r="E596">
        <v>56</v>
      </c>
      <c r="G596" t="s">
        <v>103</v>
      </c>
      <c r="H596" t="s">
        <v>711</v>
      </c>
      <c r="I596" t="s">
        <v>808</v>
      </c>
      <c r="J596" t="s">
        <v>250</v>
      </c>
      <c r="K596" t="s">
        <v>103</v>
      </c>
      <c r="M596" t="b">
        <v>1</v>
      </c>
      <c r="N596" t="s">
        <v>42</v>
      </c>
      <c r="O596" t="s">
        <v>88</v>
      </c>
      <c r="Q596">
        <v>125.08</v>
      </c>
      <c r="R596">
        <v>2.9</v>
      </c>
      <c r="S596" t="s">
        <v>106</v>
      </c>
      <c r="T596">
        <v>50.6</v>
      </c>
      <c r="V596">
        <v>100.2</v>
      </c>
      <c r="W596">
        <v>77</v>
      </c>
      <c r="X596">
        <v>9.4</v>
      </c>
      <c r="Y596">
        <v>59.2</v>
      </c>
      <c r="Z596">
        <v>1397715000</v>
      </c>
      <c r="AA596">
        <v>35.861660000000001</v>
      </c>
      <c r="AB596">
        <v>104.195397</v>
      </c>
    </row>
    <row r="597" spans="1:28" hidden="1">
      <c r="A597">
        <v>591</v>
      </c>
      <c r="B597">
        <v>4600</v>
      </c>
      <c r="C597" t="s">
        <v>236</v>
      </c>
      <c r="D597" t="s">
        <v>1461</v>
      </c>
      <c r="E597">
        <v>62</v>
      </c>
      <c r="G597" t="s">
        <v>1462</v>
      </c>
      <c r="H597" t="s">
        <v>1463</v>
      </c>
      <c r="I597" t="s">
        <v>240</v>
      </c>
      <c r="J597" t="s">
        <v>236</v>
      </c>
      <c r="K597" t="s">
        <v>1462</v>
      </c>
      <c r="M597" t="b">
        <v>1</v>
      </c>
      <c r="N597" t="s">
        <v>42</v>
      </c>
      <c r="O597" t="s">
        <v>33</v>
      </c>
      <c r="Q597">
        <v>182.75</v>
      </c>
      <c r="R597">
        <v>5.2</v>
      </c>
      <c r="S597" t="s">
        <v>1464</v>
      </c>
      <c r="T597">
        <v>61.7</v>
      </c>
      <c r="V597">
        <v>104.4</v>
      </c>
      <c r="W597">
        <v>73.2</v>
      </c>
      <c r="X597">
        <v>11.7</v>
      </c>
      <c r="Y597">
        <v>28.4</v>
      </c>
      <c r="Z597">
        <v>18513930</v>
      </c>
      <c r="AA597">
        <v>48.019573000000001</v>
      </c>
      <c r="AB597">
        <v>66.923683999999994</v>
      </c>
    </row>
    <row r="598" spans="1:28" hidden="1">
      <c r="A598">
        <v>591</v>
      </c>
      <c r="B598">
        <v>4600</v>
      </c>
      <c r="C598" t="s">
        <v>54</v>
      </c>
      <c r="D598" t="s">
        <v>1465</v>
      </c>
      <c r="E598">
        <v>55</v>
      </c>
      <c r="G598" t="s">
        <v>810</v>
      </c>
      <c r="H598" t="s">
        <v>811</v>
      </c>
      <c r="I598" t="s">
        <v>1466</v>
      </c>
      <c r="J598" t="s">
        <v>54</v>
      </c>
      <c r="K598" t="s">
        <v>810</v>
      </c>
      <c r="M598" t="b">
        <v>0</v>
      </c>
      <c r="N598" t="s">
        <v>42</v>
      </c>
      <c r="O598" t="s">
        <v>33</v>
      </c>
    </row>
    <row r="599" spans="1:28" hidden="1">
      <c r="A599">
        <v>591</v>
      </c>
      <c r="B599">
        <v>4600</v>
      </c>
      <c r="C599" t="s">
        <v>26</v>
      </c>
      <c r="D599" t="s">
        <v>1467</v>
      </c>
      <c r="E599">
        <v>79</v>
      </c>
      <c r="G599" t="s">
        <v>38</v>
      </c>
      <c r="H599" t="s">
        <v>65</v>
      </c>
      <c r="I599" t="s">
        <v>316</v>
      </c>
      <c r="J599" t="s">
        <v>26</v>
      </c>
      <c r="K599" t="s">
        <v>38</v>
      </c>
      <c r="M599" t="b">
        <v>0</v>
      </c>
      <c r="N599" t="s">
        <v>42</v>
      </c>
      <c r="O599" t="s">
        <v>33</v>
      </c>
      <c r="Q599">
        <v>117.24</v>
      </c>
      <c r="R599">
        <v>7.5</v>
      </c>
      <c r="S599" t="s">
        <v>44</v>
      </c>
      <c r="T599">
        <v>88.2</v>
      </c>
      <c r="V599">
        <v>101.8</v>
      </c>
      <c r="W599">
        <v>78.5</v>
      </c>
      <c r="X599">
        <v>9.6</v>
      </c>
      <c r="Y599">
        <v>36.6</v>
      </c>
      <c r="Z599">
        <v>328239523</v>
      </c>
      <c r="AA599">
        <v>37.090240000000001</v>
      </c>
      <c r="AB599">
        <v>-95.712890999999999</v>
      </c>
    </row>
    <row r="600" spans="1:28" hidden="1">
      <c r="A600">
        <v>591</v>
      </c>
      <c r="B600">
        <v>4600</v>
      </c>
      <c r="C600" t="s">
        <v>217</v>
      </c>
      <c r="D600" t="s">
        <v>1468</v>
      </c>
      <c r="E600">
        <v>54</v>
      </c>
      <c r="G600" t="s">
        <v>103</v>
      </c>
      <c r="H600" t="s">
        <v>1469</v>
      </c>
      <c r="I600" t="s">
        <v>1470</v>
      </c>
      <c r="J600" t="s">
        <v>217</v>
      </c>
      <c r="K600" t="s">
        <v>103</v>
      </c>
      <c r="M600" t="b">
        <v>1</v>
      </c>
      <c r="N600" t="s">
        <v>42</v>
      </c>
      <c r="O600" t="s">
        <v>33</v>
      </c>
      <c r="Q600">
        <v>125.08</v>
      </c>
      <c r="R600">
        <v>2.9</v>
      </c>
      <c r="S600" t="s">
        <v>106</v>
      </c>
      <c r="T600">
        <v>50.6</v>
      </c>
      <c r="V600">
        <v>100.2</v>
      </c>
      <c r="W600">
        <v>77</v>
      </c>
      <c r="X600">
        <v>9.4</v>
      </c>
      <c r="Y600">
        <v>59.2</v>
      </c>
      <c r="Z600">
        <v>1397715000</v>
      </c>
      <c r="AA600">
        <v>35.861660000000001</v>
      </c>
      <c r="AB600">
        <v>104.195397</v>
      </c>
    </row>
    <row r="601" spans="1:28" hidden="1">
      <c r="A601">
        <v>591</v>
      </c>
      <c r="B601">
        <v>4600</v>
      </c>
      <c r="C601" t="s">
        <v>63</v>
      </c>
      <c r="D601" t="s">
        <v>1471</v>
      </c>
      <c r="E601">
        <v>45</v>
      </c>
      <c r="G601" t="s">
        <v>395</v>
      </c>
      <c r="H601" t="s">
        <v>395</v>
      </c>
      <c r="I601" t="s">
        <v>1472</v>
      </c>
      <c r="J601" t="s">
        <v>63</v>
      </c>
      <c r="K601" t="s">
        <v>395</v>
      </c>
      <c r="M601" t="b">
        <v>1</v>
      </c>
      <c r="N601" t="s">
        <v>42</v>
      </c>
      <c r="O601" t="s">
        <v>33</v>
      </c>
      <c r="Q601">
        <v>114.41</v>
      </c>
      <c r="R601">
        <v>0.6</v>
      </c>
      <c r="S601" t="s">
        <v>451</v>
      </c>
      <c r="T601">
        <v>84.8</v>
      </c>
      <c r="V601">
        <v>100.6</v>
      </c>
      <c r="W601">
        <v>83.1</v>
      </c>
      <c r="X601">
        <v>13.1</v>
      </c>
      <c r="Y601">
        <v>21</v>
      </c>
      <c r="Z601">
        <v>5703569</v>
      </c>
      <c r="AA601">
        <v>1.3520829999999999</v>
      </c>
      <c r="AB601">
        <v>103.819836</v>
      </c>
    </row>
    <row r="602" spans="1:28" hidden="1">
      <c r="A602">
        <v>591</v>
      </c>
      <c r="B602">
        <v>4600</v>
      </c>
      <c r="C602" t="s">
        <v>68</v>
      </c>
      <c r="D602" t="s">
        <v>1473</v>
      </c>
      <c r="E602">
        <v>56</v>
      </c>
      <c r="G602" t="s">
        <v>172</v>
      </c>
      <c r="H602" t="s">
        <v>172</v>
      </c>
      <c r="I602" t="s">
        <v>68</v>
      </c>
      <c r="J602" t="s">
        <v>68</v>
      </c>
      <c r="K602" t="s">
        <v>172</v>
      </c>
      <c r="M602" t="b">
        <v>0</v>
      </c>
      <c r="N602" t="s">
        <v>42</v>
      </c>
      <c r="O602" t="s">
        <v>33</v>
      </c>
    </row>
    <row r="603" spans="1:28" hidden="1">
      <c r="A603">
        <v>591</v>
      </c>
      <c r="B603">
        <v>4600</v>
      </c>
      <c r="C603" t="s">
        <v>26</v>
      </c>
      <c r="D603" t="s">
        <v>1474</v>
      </c>
      <c r="E603">
        <v>69</v>
      </c>
      <c r="G603" t="s">
        <v>38</v>
      </c>
      <c r="H603" t="s">
        <v>1475</v>
      </c>
      <c r="I603" t="s">
        <v>410</v>
      </c>
      <c r="J603" t="s">
        <v>26</v>
      </c>
      <c r="K603" t="s">
        <v>38</v>
      </c>
      <c r="M603" t="b">
        <v>0</v>
      </c>
      <c r="N603" t="s">
        <v>212</v>
      </c>
      <c r="O603" t="s">
        <v>33</v>
      </c>
      <c r="Q603">
        <v>117.24</v>
      </c>
      <c r="R603">
        <v>7.5</v>
      </c>
      <c r="S603" t="s">
        <v>44</v>
      </c>
      <c r="T603">
        <v>88.2</v>
      </c>
      <c r="V603">
        <v>101.8</v>
      </c>
      <c r="W603">
        <v>78.5</v>
      </c>
      <c r="X603">
        <v>9.6</v>
      </c>
      <c r="Y603">
        <v>36.6</v>
      </c>
      <c r="Z603">
        <v>328239523</v>
      </c>
      <c r="AA603">
        <v>37.090240000000001</v>
      </c>
      <c r="AB603">
        <v>-95.712890999999999</v>
      </c>
    </row>
    <row r="604" spans="1:28" hidden="1">
      <c r="A604">
        <v>591</v>
      </c>
      <c r="B604">
        <v>4600</v>
      </c>
      <c r="C604" t="s">
        <v>26</v>
      </c>
      <c r="D604" t="s">
        <v>1476</v>
      </c>
      <c r="E604">
        <v>71</v>
      </c>
      <c r="G604" t="s">
        <v>38</v>
      </c>
      <c r="H604" t="s">
        <v>1475</v>
      </c>
      <c r="I604" t="s">
        <v>410</v>
      </c>
      <c r="J604" t="s">
        <v>26</v>
      </c>
      <c r="K604" t="s">
        <v>38</v>
      </c>
      <c r="M604" t="b">
        <v>0</v>
      </c>
      <c r="N604" t="s">
        <v>212</v>
      </c>
      <c r="O604" t="s">
        <v>33</v>
      </c>
      <c r="Q604">
        <v>117.24</v>
      </c>
      <c r="R604">
        <v>7.5</v>
      </c>
      <c r="S604" t="s">
        <v>44</v>
      </c>
      <c r="T604">
        <v>88.2</v>
      </c>
      <c r="V604">
        <v>101.8</v>
      </c>
      <c r="W604">
        <v>78.5</v>
      </c>
      <c r="X604">
        <v>9.6</v>
      </c>
      <c r="Y604">
        <v>36.6</v>
      </c>
      <c r="Z604">
        <v>328239523</v>
      </c>
      <c r="AA604">
        <v>37.090240000000001</v>
      </c>
      <c r="AB604">
        <v>-95.712890999999999</v>
      </c>
    </row>
    <row r="605" spans="1:28" hidden="1">
      <c r="A605">
        <v>591</v>
      </c>
      <c r="B605">
        <v>4600</v>
      </c>
      <c r="C605" t="s">
        <v>26</v>
      </c>
      <c r="D605" t="s">
        <v>1477</v>
      </c>
      <c r="E605">
        <v>65</v>
      </c>
      <c r="G605" t="s">
        <v>38</v>
      </c>
      <c r="H605" t="s">
        <v>1475</v>
      </c>
      <c r="I605" t="s">
        <v>410</v>
      </c>
      <c r="J605" t="s">
        <v>26</v>
      </c>
      <c r="K605" t="s">
        <v>38</v>
      </c>
      <c r="M605" t="b">
        <v>0</v>
      </c>
      <c r="N605" t="s">
        <v>212</v>
      </c>
      <c r="O605" t="s">
        <v>33</v>
      </c>
      <c r="Q605">
        <v>117.24</v>
      </c>
      <c r="R605">
        <v>7.5</v>
      </c>
      <c r="S605" t="s">
        <v>44</v>
      </c>
      <c r="T605">
        <v>88.2</v>
      </c>
      <c r="V605">
        <v>101.8</v>
      </c>
      <c r="W605">
        <v>78.5</v>
      </c>
      <c r="X605">
        <v>9.6</v>
      </c>
      <c r="Y605">
        <v>36.6</v>
      </c>
      <c r="Z605">
        <v>328239523</v>
      </c>
      <c r="AA605">
        <v>37.090240000000001</v>
      </c>
      <c r="AB605">
        <v>-95.712890999999999</v>
      </c>
    </row>
    <row r="606" spans="1:28" hidden="1">
      <c r="A606">
        <v>591</v>
      </c>
      <c r="B606">
        <v>4600</v>
      </c>
      <c r="C606" t="s">
        <v>101</v>
      </c>
      <c r="D606" t="s">
        <v>1478</v>
      </c>
      <c r="E606">
        <v>79</v>
      </c>
      <c r="G606" t="s">
        <v>1479</v>
      </c>
      <c r="H606" t="s">
        <v>1480</v>
      </c>
      <c r="I606" t="s">
        <v>1366</v>
      </c>
      <c r="J606" t="s">
        <v>101</v>
      </c>
      <c r="K606" t="s">
        <v>1479</v>
      </c>
      <c r="M606" t="b">
        <v>1</v>
      </c>
      <c r="N606" t="s">
        <v>42</v>
      </c>
      <c r="O606" t="s">
        <v>33</v>
      </c>
      <c r="Q606">
        <v>151.36000000000001</v>
      </c>
      <c r="R606">
        <v>2</v>
      </c>
      <c r="S606" t="s">
        <v>1481</v>
      </c>
      <c r="T606">
        <v>51.4</v>
      </c>
      <c r="V606">
        <v>109.9</v>
      </c>
      <c r="W606">
        <v>76.7</v>
      </c>
      <c r="X606">
        <v>37.200000000000003</v>
      </c>
      <c r="Y606">
        <v>66.099999999999994</v>
      </c>
      <c r="Z606">
        <v>43053054</v>
      </c>
      <c r="AA606">
        <v>28.033885999999999</v>
      </c>
      <c r="AB606">
        <v>1.659626</v>
      </c>
    </row>
    <row r="607" spans="1:28">
      <c r="A607">
        <v>591</v>
      </c>
      <c r="B607">
        <v>4600</v>
      </c>
      <c r="C607" t="s">
        <v>154</v>
      </c>
      <c r="D607" t="s">
        <v>1482</v>
      </c>
      <c r="E607">
        <v>78</v>
      </c>
      <c r="F607" t="str">
        <f>IF(E607&gt;=90,"90-100",IF(E607&gt;=80,"80-90",IF(E607&gt;=70,"70-80",IF(E607&gt;=60,"60-70",IF(E607&gt;=50,"50-60",IF(E607&gt;=40,"40-50",IF(E607&gt;=30,"30-40","20-30")))))))</f>
        <v>70-80</v>
      </c>
      <c r="G607" t="s">
        <v>38</v>
      </c>
      <c r="H607" t="s">
        <v>1483</v>
      </c>
      <c r="I607" t="s">
        <v>1484</v>
      </c>
      <c r="J607" t="s">
        <v>154</v>
      </c>
      <c r="K607" t="s">
        <v>38</v>
      </c>
      <c r="L607" t="s">
        <v>1485</v>
      </c>
      <c r="M607" t="b">
        <v>1</v>
      </c>
      <c r="N607" t="s">
        <v>42</v>
      </c>
      <c r="O607" t="s">
        <v>4867</v>
      </c>
      <c r="P607" t="s">
        <v>34</v>
      </c>
      <c r="Q607">
        <v>117.24</v>
      </c>
      <c r="R607">
        <v>7.5</v>
      </c>
      <c r="S607" t="s">
        <v>44</v>
      </c>
      <c r="T607">
        <v>88.2</v>
      </c>
      <c r="U607" t="str">
        <f>IF(T607&gt;=100,"above 100",IF(T607&gt;=80,"80-100",IF(T607&gt;=60,"60-80",IF(T607&gt;=40,"40-60",IF(T607&gt;=20,"20-60","0-20")))))</f>
        <v>80-100</v>
      </c>
      <c r="V607">
        <v>101.8</v>
      </c>
      <c r="W607">
        <v>78.5</v>
      </c>
      <c r="X607">
        <v>9.6</v>
      </c>
      <c r="Y607">
        <v>36.6</v>
      </c>
      <c r="Z607">
        <v>328239523</v>
      </c>
      <c r="AA607">
        <v>37.090240000000001</v>
      </c>
      <c r="AB607">
        <v>-95.712890999999999</v>
      </c>
    </row>
    <row r="608" spans="1:28" hidden="1">
      <c r="A608">
        <v>591</v>
      </c>
      <c r="B608">
        <v>4600</v>
      </c>
      <c r="C608" t="s">
        <v>54</v>
      </c>
      <c r="D608" t="s">
        <v>1486</v>
      </c>
      <c r="E608">
        <v>62</v>
      </c>
      <c r="G608" t="s">
        <v>38</v>
      </c>
      <c r="H608" t="s">
        <v>184</v>
      </c>
      <c r="I608" t="s">
        <v>613</v>
      </c>
      <c r="J608" t="s">
        <v>54</v>
      </c>
      <c r="K608" t="s">
        <v>38</v>
      </c>
      <c r="M608" t="b">
        <v>1</v>
      </c>
      <c r="N608" t="s">
        <v>32</v>
      </c>
      <c r="O608" t="s">
        <v>33</v>
      </c>
      <c r="Q608">
        <v>117.24</v>
      </c>
      <c r="R608">
        <v>7.5</v>
      </c>
      <c r="S608" t="s">
        <v>44</v>
      </c>
      <c r="T608">
        <v>88.2</v>
      </c>
      <c r="V608">
        <v>101.8</v>
      </c>
      <c r="W608">
        <v>78.5</v>
      </c>
      <c r="X608">
        <v>9.6</v>
      </c>
      <c r="Y608">
        <v>36.6</v>
      </c>
      <c r="Z608">
        <v>328239523</v>
      </c>
      <c r="AA608">
        <v>37.090240000000001</v>
      </c>
      <c r="AB608">
        <v>-95.712890999999999</v>
      </c>
    </row>
    <row r="609" spans="1:28" hidden="1">
      <c r="A609">
        <v>591</v>
      </c>
      <c r="B609">
        <v>4600</v>
      </c>
      <c r="C609" t="s">
        <v>217</v>
      </c>
      <c r="D609" t="s">
        <v>1487</v>
      </c>
      <c r="E609">
        <v>34</v>
      </c>
      <c r="G609" t="s">
        <v>148</v>
      </c>
      <c r="H609" t="s">
        <v>1488</v>
      </c>
      <c r="I609" t="s">
        <v>1489</v>
      </c>
      <c r="J609" t="s">
        <v>217</v>
      </c>
      <c r="K609" t="s">
        <v>148</v>
      </c>
      <c r="M609" t="b">
        <v>0</v>
      </c>
      <c r="N609" t="s">
        <v>42</v>
      </c>
      <c r="O609" t="s">
        <v>33</v>
      </c>
      <c r="Q609">
        <v>112.85</v>
      </c>
      <c r="R609">
        <v>1.4</v>
      </c>
      <c r="S609" t="s">
        <v>151</v>
      </c>
      <c r="T609">
        <v>70.2</v>
      </c>
      <c r="V609">
        <v>104</v>
      </c>
      <c r="W609">
        <v>80.900000000000006</v>
      </c>
      <c r="X609">
        <v>11.5</v>
      </c>
      <c r="Y609">
        <v>48.8</v>
      </c>
      <c r="Z609">
        <v>83132799</v>
      </c>
      <c r="AA609">
        <v>51.165691000000002</v>
      </c>
      <c r="AB609">
        <v>10.451525999999999</v>
      </c>
    </row>
    <row r="610" spans="1:28" hidden="1">
      <c r="A610">
        <v>591</v>
      </c>
      <c r="B610">
        <v>4600</v>
      </c>
      <c r="C610" t="s">
        <v>101</v>
      </c>
      <c r="D610" t="s">
        <v>1490</v>
      </c>
      <c r="E610">
        <v>52</v>
      </c>
      <c r="G610" t="s">
        <v>38</v>
      </c>
      <c r="H610" t="s">
        <v>1491</v>
      </c>
      <c r="I610" t="s">
        <v>1492</v>
      </c>
      <c r="J610" t="s">
        <v>101</v>
      </c>
      <c r="K610" t="s">
        <v>38</v>
      </c>
      <c r="M610" t="b">
        <v>1</v>
      </c>
      <c r="N610" t="s">
        <v>32</v>
      </c>
      <c r="O610" t="s">
        <v>33</v>
      </c>
      <c r="Q610">
        <v>117.24</v>
      </c>
      <c r="R610">
        <v>7.5</v>
      </c>
      <c r="S610" t="s">
        <v>44</v>
      </c>
      <c r="T610">
        <v>88.2</v>
      </c>
      <c r="V610">
        <v>101.8</v>
      </c>
      <c r="W610">
        <v>78.5</v>
      </c>
      <c r="X610">
        <v>9.6</v>
      </c>
      <c r="Y610">
        <v>36.6</v>
      </c>
      <c r="Z610">
        <v>328239523</v>
      </c>
      <c r="AA610">
        <v>37.090240000000001</v>
      </c>
      <c r="AB610">
        <v>-95.712890999999999</v>
      </c>
    </row>
    <row r="611" spans="1:28" hidden="1">
      <c r="A611">
        <v>591</v>
      </c>
      <c r="B611">
        <v>4600</v>
      </c>
      <c r="C611" t="s">
        <v>288</v>
      </c>
      <c r="D611" t="s">
        <v>1493</v>
      </c>
      <c r="E611">
        <v>66</v>
      </c>
      <c r="G611" t="s">
        <v>103</v>
      </c>
      <c r="H611" t="s">
        <v>1494</v>
      </c>
      <c r="I611" t="s">
        <v>288</v>
      </c>
      <c r="J611" t="s">
        <v>288</v>
      </c>
      <c r="K611" t="s">
        <v>103</v>
      </c>
      <c r="M611" t="b">
        <v>1</v>
      </c>
      <c r="N611" t="s">
        <v>192</v>
      </c>
      <c r="O611" t="s">
        <v>33</v>
      </c>
      <c r="Q611">
        <v>125.08</v>
      </c>
      <c r="R611">
        <v>2.9</v>
      </c>
      <c r="S611" t="s">
        <v>106</v>
      </c>
      <c r="T611">
        <v>50.6</v>
      </c>
      <c r="V611">
        <v>100.2</v>
      </c>
      <c r="W611">
        <v>77</v>
      </c>
      <c r="X611">
        <v>9.4</v>
      </c>
      <c r="Y611">
        <v>59.2</v>
      </c>
      <c r="Z611">
        <v>1397715000</v>
      </c>
      <c r="AA611">
        <v>35.861660000000001</v>
      </c>
      <c r="AB611">
        <v>104.195397</v>
      </c>
    </row>
    <row r="612" spans="1:28" hidden="1">
      <c r="A612">
        <v>611</v>
      </c>
      <c r="B612">
        <v>4500</v>
      </c>
      <c r="C612" t="s">
        <v>101</v>
      </c>
      <c r="D612" t="s">
        <v>1495</v>
      </c>
      <c r="E612">
        <v>55</v>
      </c>
      <c r="G612" t="s">
        <v>70</v>
      </c>
      <c r="I612" t="s">
        <v>1496</v>
      </c>
      <c r="J612" t="s">
        <v>101</v>
      </c>
      <c r="K612" t="s">
        <v>70</v>
      </c>
      <c r="M612" t="b">
        <v>0</v>
      </c>
      <c r="N612" t="s">
        <v>32</v>
      </c>
      <c r="O612" t="s">
        <v>33</v>
      </c>
      <c r="Q612">
        <v>141.54</v>
      </c>
      <c r="R612">
        <v>3.6</v>
      </c>
      <c r="S612" t="s">
        <v>74</v>
      </c>
      <c r="T612">
        <v>40.200000000000003</v>
      </c>
      <c r="V612">
        <v>105.8</v>
      </c>
      <c r="W612">
        <v>75</v>
      </c>
      <c r="X612">
        <v>13.1</v>
      </c>
      <c r="Y612">
        <v>55.1</v>
      </c>
      <c r="Z612">
        <v>126014024</v>
      </c>
      <c r="AA612">
        <v>23.634501</v>
      </c>
      <c r="AB612">
        <v>-102.552784</v>
      </c>
    </row>
    <row r="613" spans="1:28" hidden="1">
      <c r="A613">
        <v>611</v>
      </c>
      <c r="B613">
        <v>4500</v>
      </c>
      <c r="C613" t="s">
        <v>45</v>
      </c>
      <c r="D613" t="s">
        <v>1497</v>
      </c>
      <c r="E613">
        <v>82</v>
      </c>
      <c r="G613" t="s">
        <v>148</v>
      </c>
      <c r="H613" t="s">
        <v>1498</v>
      </c>
      <c r="I613" t="s">
        <v>572</v>
      </c>
      <c r="J613" t="s">
        <v>45</v>
      </c>
      <c r="K613" t="s">
        <v>148</v>
      </c>
      <c r="M613" t="b">
        <v>1</v>
      </c>
      <c r="N613" t="s">
        <v>42</v>
      </c>
      <c r="O613" t="s">
        <v>33</v>
      </c>
      <c r="Q613">
        <v>112.85</v>
      </c>
      <c r="R613">
        <v>1.4</v>
      </c>
      <c r="S613" t="s">
        <v>151</v>
      </c>
      <c r="T613">
        <v>70.2</v>
      </c>
      <c r="V613">
        <v>104</v>
      </c>
      <c r="W613">
        <v>80.900000000000006</v>
      </c>
      <c r="X613">
        <v>11.5</v>
      </c>
      <c r="Y613">
        <v>48.8</v>
      </c>
      <c r="Z613">
        <v>83132799</v>
      </c>
      <c r="AA613">
        <v>51.165691000000002</v>
      </c>
      <c r="AB613">
        <v>10.451525999999999</v>
      </c>
    </row>
    <row r="614" spans="1:28" hidden="1">
      <c r="A614">
        <v>611</v>
      </c>
      <c r="B614">
        <v>4500</v>
      </c>
      <c r="C614" t="s">
        <v>45</v>
      </c>
      <c r="D614" t="s">
        <v>1499</v>
      </c>
      <c r="E614">
        <v>56</v>
      </c>
      <c r="G614" t="s">
        <v>103</v>
      </c>
      <c r="H614" t="s">
        <v>1500</v>
      </c>
      <c r="I614" t="s">
        <v>1501</v>
      </c>
      <c r="J614" t="s">
        <v>45</v>
      </c>
      <c r="K614" t="s">
        <v>103</v>
      </c>
      <c r="M614" t="b">
        <v>1</v>
      </c>
      <c r="N614" t="s">
        <v>42</v>
      </c>
      <c r="O614" t="s">
        <v>33</v>
      </c>
      <c r="Q614">
        <v>125.08</v>
      </c>
      <c r="R614">
        <v>2.9</v>
      </c>
      <c r="S614" t="s">
        <v>106</v>
      </c>
      <c r="T614">
        <v>50.6</v>
      </c>
      <c r="V614">
        <v>100.2</v>
      </c>
      <c r="W614">
        <v>77</v>
      </c>
      <c r="X614">
        <v>9.4</v>
      </c>
      <c r="Y614">
        <v>59.2</v>
      </c>
      <c r="Z614">
        <v>1397715000</v>
      </c>
      <c r="AA614">
        <v>35.861660000000001</v>
      </c>
      <c r="AB614">
        <v>104.195397</v>
      </c>
    </row>
    <row r="615" spans="1:28" hidden="1">
      <c r="A615">
        <v>611</v>
      </c>
      <c r="B615">
        <v>4500</v>
      </c>
      <c r="C615" t="s">
        <v>45</v>
      </c>
      <c r="D615" t="s">
        <v>1502</v>
      </c>
      <c r="E615">
        <v>54</v>
      </c>
      <c r="G615" t="s">
        <v>38</v>
      </c>
      <c r="H615" t="s">
        <v>39</v>
      </c>
      <c r="I615" t="s">
        <v>572</v>
      </c>
      <c r="J615" t="s">
        <v>45</v>
      </c>
      <c r="K615" t="s">
        <v>38</v>
      </c>
      <c r="M615" t="b">
        <v>1</v>
      </c>
      <c r="N615" t="s">
        <v>32</v>
      </c>
      <c r="O615" t="s">
        <v>33</v>
      </c>
      <c r="Q615">
        <v>117.24</v>
      </c>
      <c r="R615">
        <v>7.5</v>
      </c>
      <c r="S615" t="s">
        <v>44</v>
      </c>
      <c r="T615">
        <v>88.2</v>
      </c>
      <c r="V615">
        <v>101.8</v>
      </c>
      <c r="W615">
        <v>78.5</v>
      </c>
      <c r="X615">
        <v>9.6</v>
      </c>
      <c r="Y615">
        <v>36.6</v>
      </c>
      <c r="Z615">
        <v>328239523</v>
      </c>
      <c r="AA615">
        <v>37.090240000000001</v>
      </c>
      <c r="AB615">
        <v>-95.712890999999999</v>
      </c>
    </row>
    <row r="616" spans="1:28" hidden="1">
      <c r="A616">
        <v>611</v>
      </c>
      <c r="B616">
        <v>4500</v>
      </c>
      <c r="C616" t="s">
        <v>101</v>
      </c>
      <c r="D616" t="s">
        <v>1503</v>
      </c>
      <c r="E616">
        <v>83</v>
      </c>
      <c r="G616" t="s">
        <v>156</v>
      </c>
      <c r="H616" t="s">
        <v>413</v>
      </c>
      <c r="I616" t="s">
        <v>1504</v>
      </c>
      <c r="J616" t="s">
        <v>101</v>
      </c>
      <c r="K616" t="s">
        <v>148</v>
      </c>
      <c r="M616" t="b">
        <v>0</v>
      </c>
      <c r="N616" t="s">
        <v>42</v>
      </c>
      <c r="O616" t="s">
        <v>33</v>
      </c>
      <c r="Q616">
        <v>99.55</v>
      </c>
      <c r="R616">
        <v>0.4</v>
      </c>
      <c r="S616" t="s">
        <v>159</v>
      </c>
      <c r="T616">
        <v>59.6</v>
      </c>
      <c r="V616">
        <v>105.2</v>
      </c>
      <c r="W616">
        <v>83.6</v>
      </c>
      <c r="X616">
        <v>10.1</v>
      </c>
      <c r="Y616">
        <v>28.8</v>
      </c>
      <c r="Z616">
        <v>8574832</v>
      </c>
      <c r="AA616">
        <v>46.818187999999999</v>
      </c>
      <c r="AB616">
        <v>8.2275120000000008</v>
      </c>
    </row>
    <row r="617" spans="1:28" hidden="1">
      <c r="A617">
        <v>611</v>
      </c>
      <c r="B617">
        <v>4500</v>
      </c>
      <c r="C617" t="s">
        <v>45</v>
      </c>
      <c r="D617" t="s">
        <v>1505</v>
      </c>
      <c r="E617">
        <v>76</v>
      </c>
      <c r="G617" t="s">
        <v>77</v>
      </c>
      <c r="H617" t="s">
        <v>667</v>
      </c>
      <c r="I617" t="s">
        <v>668</v>
      </c>
      <c r="J617" t="s">
        <v>45</v>
      </c>
      <c r="K617" t="s">
        <v>77</v>
      </c>
      <c r="M617" t="b">
        <v>1</v>
      </c>
      <c r="N617" t="s">
        <v>32</v>
      </c>
      <c r="O617" t="s">
        <v>33</v>
      </c>
      <c r="Q617">
        <v>180.44</v>
      </c>
      <c r="R617">
        <v>7.7</v>
      </c>
      <c r="S617" t="s">
        <v>81</v>
      </c>
      <c r="T617">
        <v>28.1</v>
      </c>
      <c r="V617">
        <v>113</v>
      </c>
      <c r="W617">
        <v>69.400000000000006</v>
      </c>
      <c r="X617">
        <v>11.2</v>
      </c>
      <c r="Y617">
        <v>49.7</v>
      </c>
      <c r="Z617">
        <v>1366417754</v>
      </c>
      <c r="AA617">
        <v>20.593684</v>
      </c>
      <c r="AB617">
        <v>78.962879999999998</v>
      </c>
    </row>
    <row r="618" spans="1:28" hidden="1">
      <c r="A618">
        <v>611</v>
      </c>
      <c r="B618">
        <v>4500</v>
      </c>
      <c r="C618" t="s">
        <v>26</v>
      </c>
      <c r="D618" t="s">
        <v>1506</v>
      </c>
      <c r="E618">
        <v>71</v>
      </c>
      <c r="G618" t="s">
        <v>833</v>
      </c>
      <c r="H618" t="s">
        <v>1507</v>
      </c>
      <c r="I618" t="s">
        <v>713</v>
      </c>
      <c r="J618" t="s">
        <v>26</v>
      </c>
      <c r="K618" t="s">
        <v>833</v>
      </c>
      <c r="M618" t="b">
        <v>0</v>
      </c>
      <c r="N618" t="s">
        <v>42</v>
      </c>
      <c r="O618" t="s">
        <v>33</v>
      </c>
      <c r="Q618">
        <v>120.27</v>
      </c>
      <c r="R618">
        <v>2.2000000000000002</v>
      </c>
      <c r="S618" t="s">
        <v>835</v>
      </c>
      <c r="T618">
        <v>82</v>
      </c>
      <c r="V618">
        <v>100.3</v>
      </c>
      <c r="W618">
        <v>82.8</v>
      </c>
      <c r="X618">
        <v>23.9</v>
      </c>
      <c r="Y618">
        <v>36.200000000000003</v>
      </c>
      <c r="Z618">
        <v>5347896</v>
      </c>
      <c r="AA618">
        <v>60.472023999999998</v>
      </c>
      <c r="AB618">
        <v>8.4689460000000008</v>
      </c>
    </row>
    <row r="619" spans="1:28" hidden="1">
      <c r="A619">
        <v>611</v>
      </c>
      <c r="B619">
        <v>4500</v>
      </c>
      <c r="C619" t="s">
        <v>54</v>
      </c>
      <c r="D619" t="s">
        <v>1508</v>
      </c>
      <c r="E619">
        <v>60</v>
      </c>
      <c r="G619" t="s">
        <v>38</v>
      </c>
      <c r="H619" t="s">
        <v>65</v>
      </c>
      <c r="I619" t="s">
        <v>613</v>
      </c>
      <c r="J619" t="s">
        <v>54</v>
      </c>
      <c r="K619" t="s">
        <v>38</v>
      </c>
      <c r="M619" t="b">
        <v>1</v>
      </c>
      <c r="N619" t="s">
        <v>42</v>
      </c>
      <c r="O619" t="s">
        <v>33</v>
      </c>
      <c r="Q619">
        <v>117.24</v>
      </c>
      <c r="R619">
        <v>7.5</v>
      </c>
      <c r="S619" t="s">
        <v>44</v>
      </c>
      <c r="T619">
        <v>88.2</v>
      </c>
      <c r="V619">
        <v>101.8</v>
      </c>
      <c r="W619">
        <v>78.5</v>
      </c>
      <c r="X619">
        <v>9.6</v>
      </c>
      <c r="Y619">
        <v>36.6</v>
      </c>
      <c r="Z619">
        <v>328239523</v>
      </c>
      <c r="AA619">
        <v>37.090240000000001</v>
      </c>
      <c r="AB619">
        <v>-95.712890999999999</v>
      </c>
    </row>
    <row r="620" spans="1:28" hidden="1">
      <c r="A620">
        <v>611</v>
      </c>
      <c r="B620">
        <v>4500</v>
      </c>
      <c r="C620" t="s">
        <v>221</v>
      </c>
      <c r="D620" t="s">
        <v>1509</v>
      </c>
      <c r="E620">
        <v>70</v>
      </c>
      <c r="G620" t="s">
        <v>260</v>
      </c>
      <c r="H620" t="s">
        <v>515</v>
      </c>
      <c r="I620" t="s">
        <v>223</v>
      </c>
      <c r="J620" t="s">
        <v>221</v>
      </c>
      <c r="K620" t="s">
        <v>260</v>
      </c>
      <c r="M620" t="b">
        <v>1</v>
      </c>
      <c r="N620" t="s">
        <v>32</v>
      </c>
      <c r="O620" t="s">
        <v>33</v>
      </c>
      <c r="Q620">
        <v>114.52</v>
      </c>
      <c r="R620">
        <v>-1.9</v>
      </c>
      <c r="S620" t="s">
        <v>264</v>
      </c>
      <c r="T620">
        <v>36.799999999999997</v>
      </c>
      <c r="V620">
        <v>108.4</v>
      </c>
      <c r="W620">
        <v>77.8</v>
      </c>
      <c r="X620">
        <v>0.1</v>
      </c>
      <c r="Y620">
        <v>15.9</v>
      </c>
      <c r="Z620">
        <v>9770529</v>
      </c>
      <c r="AA620">
        <v>23.424075999999999</v>
      </c>
      <c r="AB620">
        <v>53.847817999999997</v>
      </c>
    </row>
    <row r="621" spans="1:28" hidden="1">
      <c r="A621">
        <v>611</v>
      </c>
      <c r="B621">
        <v>4500</v>
      </c>
      <c r="C621" t="s">
        <v>54</v>
      </c>
      <c r="D621" t="s">
        <v>1510</v>
      </c>
      <c r="E621">
        <v>41</v>
      </c>
      <c r="G621" t="s">
        <v>384</v>
      </c>
      <c r="H621" t="s">
        <v>562</v>
      </c>
      <c r="I621" t="s">
        <v>909</v>
      </c>
      <c r="J621" t="s">
        <v>54</v>
      </c>
      <c r="K621" t="s">
        <v>1077</v>
      </c>
      <c r="M621" t="b">
        <v>1</v>
      </c>
      <c r="N621" t="s">
        <v>42</v>
      </c>
      <c r="O621" t="s">
        <v>33</v>
      </c>
      <c r="Q621">
        <v>167.4</v>
      </c>
      <c r="R621">
        <v>3.7</v>
      </c>
      <c r="S621" t="s">
        <v>563</v>
      </c>
      <c r="T621">
        <v>51.3</v>
      </c>
      <c r="V621">
        <v>115.4</v>
      </c>
      <c r="W621">
        <v>75.7</v>
      </c>
      <c r="X621">
        <v>14.2</v>
      </c>
      <c r="Y621">
        <v>65.099999999999994</v>
      </c>
      <c r="Z621">
        <v>212559417</v>
      </c>
      <c r="AA621">
        <v>-14.235004</v>
      </c>
      <c r="AB621">
        <v>-51.925280000000001</v>
      </c>
    </row>
    <row r="622" spans="1:28" hidden="1">
      <c r="A622">
        <v>611</v>
      </c>
      <c r="B622">
        <v>4500</v>
      </c>
      <c r="C622" t="s">
        <v>217</v>
      </c>
      <c r="D622" t="s">
        <v>1511</v>
      </c>
      <c r="E622">
        <v>59</v>
      </c>
      <c r="G622" t="s">
        <v>103</v>
      </c>
      <c r="H622" t="s">
        <v>489</v>
      </c>
      <c r="I622" t="s">
        <v>287</v>
      </c>
      <c r="J622" t="s">
        <v>217</v>
      </c>
      <c r="K622" t="s">
        <v>103</v>
      </c>
      <c r="M622" t="b">
        <v>1</v>
      </c>
      <c r="N622" t="s">
        <v>42</v>
      </c>
      <c r="O622" t="s">
        <v>33</v>
      </c>
      <c r="Q622">
        <v>125.08</v>
      </c>
      <c r="R622">
        <v>2.9</v>
      </c>
      <c r="S622" t="s">
        <v>106</v>
      </c>
      <c r="T622">
        <v>50.6</v>
      </c>
      <c r="V622">
        <v>100.2</v>
      </c>
      <c r="W622">
        <v>77</v>
      </c>
      <c r="X622">
        <v>9.4</v>
      </c>
      <c r="Y622">
        <v>59.2</v>
      </c>
      <c r="Z622">
        <v>1397715000</v>
      </c>
      <c r="AA622">
        <v>35.861660000000001</v>
      </c>
      <c r="AB622">
        <v>104.195397</v>
      </c>
    </row>
    <row r="623" spans="1:28" hidden="1">
      <c r="A623">
        <v>611</v>
      </c>
      <c r="B623">
        <v>4500</v>
      </c>
      <c r="C623" t="s">
        <v>75</v>
      </c>
      <c r="D623" t="s">
        <v>1512</v>
      </c>
      <c r="E623">
        <v>72</v>
      </c>
      <c r="G623" t="s">
        <v>810</v>
      </c>
      <c r="H623" t="s">
        <v>811</v>
      </c>
      <c r="I623" t="s">
        <v>150</v>
      </c>
      <c r="J623" t="s">
        <v>75</v>
      </c>
      <c r="K623" t="s">
        <v>810</v>
      </c>
      <c r="M623" t="b">
        <v>0</v>
      </c>
      <c r="N623" t="s">
        <v>42</v>
      </c>
      <c r="O623" t="s">
        <v>33</v>
      </c>
    </row>
    <row r="624" spans="1:28" hidden="1">
      <c r="A624">
        <v>611</v>
      </c>
      <c r="B624">
        <v>4500</v>
      </c>
      <c r="C624" t="s">
        <v>217</v>
      </c>
      <c r="D624" t="s">
        <v>1513</v>
      </c>
      <c r="E624">
        <v>65</v>
      </c>
      <c r="G624" t="s">
        <v>103</v>
      </c>
      <c r="H624" t="s">
        <v>1514</v>
      </c>
      <c r="I624" t="s">
        <v>1515</v>
      </c>
      <c r="J624" t="s">
        <v>217</v>
      </c>
      <c r="K624" t="s">
        <v>103</v>
      </c>
      <c r="M624" t="b">
        <v>1</v>
      </c>
      <c r="N624" t="s">
        <v>42</v>
      </c>
      <c r="O624" t="s">
        <v>33</v>
      </c>
      <c r="Q624">
        <v>125.08</v>
      </c>
      <c r="R624">
        <v>2.9</v>
      </c>
      <c r="S624" t="s">
        <v>106</v>
      </c>
      <c r="T624">
        <v>50.6</v>
      </c>
      <c r="V624">
        <v>100.2</v>
      </c>
      <c r="W624">
        <v>77</v>
      </c>
      <c r="X624">
        <v>9.4</v>
      </c>
      <c r="Y624">
        <v>59.2</v>
      </c>
      <c r="Z624">
        <v>1397715000</v>
      </c>
      <c r="AA624">
        <v>35.861660000000001</v>
      </c>
      <c r="AB624">
        <v>104.195397</v>
      </c>
    </row>
    <row r="625" spans="1:28" hidden="1">
      <c r="A625">
        <v>624</v>
      </c>
      <c r="B625">
        <v>4400</v>
      </c>
      <c r="C625" t="s">
        <v>288</v>
      </c>
      <c r="D625" t="s">
        <v>1516</v>
      </c>
      <c r="E625">
        <v>50</v>
      </c>
      <c r="G625" t="s">
        <v>38</v>
      </c>
      <c r="H625" t="s">
        <v>980</v>
      </c>
      <c r="I625" t="s">
        <v>1517</v>
      </c>
      <c r="J625" t="s">
        <v>288</v>
      </c>
      <c r="K625" t="s">
        <v>28</v>
      </c>
      <c r="M625" t="b">
        <v>1</v>
      </c>
      <c r="N625" t="s">
        <v>42</v>
      </c>
      <c r="O625" t="s">
        <v>33</v>
      </c>
      <c r="Q625">
        <v>117.24</v>
      </c>
      <c r="R625">
        <v>7.5</v>
      </c>
      <c r="S625" t="s">
        <v>44</v>
      </c>
      <c r="T625">
        <v>88.2</v>
      </c>
      <c r="V625">
        <v>101.8</v>
      </c>
      <c r="W625">
        <v>78.5</v>
      </c>
      <c r="X625">
        <v>9.6</v>
      </c>
      <c r="Y625">
        <v>36.6</v>
      </c>
      <c r="Z625">
        <v>328239523</v>
      </c>
      <c r="AA625">
        <v>37.090240000000001</v>
      </c>
      <c r="AB625">
        <v>-95.712890999999999</v>
      </c>
    </row>
    <row r="626" spans="1:28" hidden="1">
      <c r="A626">
        <v>624</v>
      </c>
      <c r="B626">
        <v>4400</v>
      </c>
      <c r="C626" t="s">
        <v>45</v>
      </c>
      <c r="D626" t="s">
        <v>1518</v>
      </c>
      <c r="E626">
        <v>89</v>
      </c>
      <c r="G626" t="s">
        <v>38</v>
      </c>
      <c r="H626" t="s">
        <v>480</v>
      </c>
      <c r="I626" t="s">
        <v>1519</v>
      </c>
      <c r="J626" t="s">
        <v>45</v>
      </c>
      <c r="K626" t="s">
        <v>38</v>
      </c>
      <c r="M626" t="b">
        <v>0</v>
      </c>
      <c r="N626" t="s">
        <v>32</v>
      </c>
      <c r="O626" t="s">
        <v>88</v>
      </c>
      <c r="Q626">
        <v>117.24</v>
      </c>
      <c r="R626">
        <v>7.5</v>
      </c>
      <c r="S626" t="s">
        <v>44</v>
      </c>
      <c r="T626">
        <v>88.2</v>
      </c>
      <c r="V626">
        <v>101.8</v>
      </c>
      <c r="W626">
        <v>78.5</v>
      </c>
      <c r="X626">
        <v>9.6</v>
      </c>
      <c r="Y626">
        <v>36.6</v>
      </c>
      <c r="Z626">
        <v>328239523</v>
      </c>
      <c r="AA626">
        <v>37.090240000000001</v>
      </c>
      <c r="AB626">
        <v>-95.712890999999999</v>
      </c>
    </row>
    <row r="627" spans="1:28" hidden="1">
      <c r="A627">
        <v>624</v>
      </c>
      <c r="B627">
        <v>4400</v>
      </c>
      <c r="C627" t="s">
        <v>217</v>
      </c>
      <c r="D627" t="s">
        <v>1520</v>
      </c>
      <c r="E627">
        <v>88</v>
      </c>
      <c r="G627" t="s">
        <v>38</v>
      </c>
      <c r="H627" t="s">
        <v>1521</v>
      </c>
      <c r="I627" t="s">
        <v>1522</v>
      </c>
      <c r="J627" t="s">
        <v>217</v>
      </c>
      <c r="K627" t="s">
        <v>38</v>
      </c>
      <c r="M627" t="b">
        <v>1</v>
      </c>
      <c r="N627" t="s">
        <v>32</v>
      </c>
      <c r="O627" t="s">
        <v>33</v>
      </c>
      <c r="Q627">
        <v>117.24</v>
      </c>
      <c r="R627">
        <v>7.5</v>
      </c>
      <c r="S627" t="s">
        <v>44</v>
      </c>
      <c r="T627">
        <v>88.2</v>
      </c>
      <c r="V627">
        <v>101.8</v>
      </c>
      <c r="W627">
        <v>78.5</v>
      </c>
      <c r="X627">
        <v>9.6</v>
      </c>
      <c r="Y627">
        <v>36.6</v>
      </c>
      <c r="Z627">
        <v>328239523</v>
      </c>
      <c r="AA627">
        <v>37.090240000000001</v>
      </c>
      <c r="AB627">
        <v>-95.712890999999999</v>
      </c>
    </row>
    <row r="628" spans="1:28" hidden="1">
      <c r="A628">
        <v>624</v>
      </c>
      <c r="B628">
        <v>4400</v>
      </c>
      <c r="C628" t="s">
        <v>308</v>
      </c>
      <c r="D628" t="s">
        <v>1523</v>
      </c>
      <c r="E628">
        <v>63</v>
      </c>
      <c r="G628" t="s">
        <v>38</v>
      </c>
      <c r="H628" t="s">
        <v>1524</v>
      </c>
      <c r="I628" t="s">
        <v>1525</v>
      </c>
      <c r="J628" t="s">
        <v>308</v>
      </c>
      <c r="K628" t="s">
        <v>38</v>
      </c>
      <c r="M628" t="b">
        <v>1</v>
      </c>
      <c r="N628" t="s">
        <v>32</v>
      </c>
      <c r="O628" t="s">
        <v>33</v>
      </c>
      <c r="Q628">
        <v>117.24</v>
      </c>
      <c r="R628">
        <v>7.5</v>
      </c>
      <c r="S628" t="s">
        <v>44</v>
      </c>
      <c r="T628">
        <v>88.2</v>
      </c>
      <c r="V628">
        <v>101.8</v>
      </c>
      <c r="W628">
        <v>78.5</v>
      </c>
      <c r="X628">
        <v>9.6</v>
      </c>
      <c r="Y628">
        <v>36.6</v>
      </c>
      <c r="Z628">
        <v>328239523</v>
      </c>
      <c r="AA628">
        <v>37.090240000000001</v>
      </c>
      <c r="AB628">
        <v>-95.712890999999999</v>
      </c>
    </row>
    <row r="629" spans="1:28" hidden="1">
      <c r="A629">
        <v>624</v>
      </c>
      <c r="B629">
        <v>4400</v>
      </c>
      <c r="C629" t="s">
        <v>469</v>
      </c>
      <c r="D629" t="s">
        <v>1526</v>
      </c>
      <c r="E629">
        <v>64</v>
      </c>
      <c r="G629" t="s">
        <v>95</v>
      </c>
      <c r="H629" t="s">
        <v>1527</v>
      </c>
      <c r="I629" t="s">
        <v>1528</v>
      </c>
      <c r="J629" t="s">
        <v>469</v>
      </c>
      <c r="K629" t="s">
        <v>95</v>
      </c>
      <c r="M629" t="b">
        <v>0</v>
      </c>
      <c r="N629" t="s">
        <v>32</v>
      </c>
      <c r="O629" t="s">
        <v>33</v>
      </c>
      <c r="Q629">
        <v>110.96</v>
      </c>
      <c r="R629">
        <v>0.7</v>
      </c>
      <c r="S629" t="s">
        <v>98</v>
      </c>
      <c r="T629">
        <v>88.9</v>
      </c>
      <c r="V629">
        <v>102.7</v>
      </c>
      <c r="W629">
        <v>83.3</v>
      </c>
      <c r="X629">
        <v>14.2</v>
      </c>
      <c r="Y629">
        <v>47</v>
      </c>
      <c r="Z629">
        <v>47076781</v>
      </c>
      <c r="AA629">
        <v>40.463667000000001</v>
      </c>
      <c r="AB629">
        <v>-3.7492200000000002</v>
      </c>
    </row>
    <row r="630" spans="1:28" hidden="1">
      <c r="A630">
        <v>624</v>
      </c>
      <c r="B630">
        <v>4400</v>
      </c>
      <c r="C630" t="s">
        <v>288</v>
      </c>
      <c r="D630" t="s">
        <v>1529</v>
      </c>
      <c r="E630">
        <v>81</v>
      </c>
      <c r="G630" t="s">
        <v>156</v>
      </c>
      <c r="H630" t="s">
        <v>1530</v>
      </c>
      <c r="I630" t="s">
        <v>1531</v>
      </c>
      <c r="J630" t="s">
        <v>288</v>
      </c>
      <c r="K630" t="s">
        <v>156</v>
      </c>
      <c r="M630" t="b">
        <v>1</v>
      </c>
      <c r="N630" t="s">
        <v>42</v>
      </c>
      <c r="O630" t="s">
        <v>33</v>
      </c>
      <c r="Q630">
        <v>99.55</v>
      </c>
      <c r="R630">
        <v>0.4</v>
      </c>
      <c r="S630" t="s">
        <v>159</v>
      </c>
      <c r="T630">
        <v>59.6</v>
      </c>
      <c r="V630">
        <v>105.2</v>
      </c>
      <c r="W630">
        <v>83.6</v>
      </c>
      <c r="X630">
        <v>10.1</v>
      </c>
      <c r="Y630">
        <v>28.8</v>
      </c>
      <c r="Z630">
        <v>8574832</v>
      </c>
      <c r="AA630">
        <v>46.818187999999999</v>
      </c>
      <c r="AB630">
        <v>8.2275120000000008</v>
      </c>
    </row>
    <row r="631" spans="1:28" hidden="1">
      <c r="A631">
        <v>624</v>
      </c>
      <c r="B631">
        <v>4400</v>
      </c>
      <c r="C631" t="s">
        <v>26</v>
      </c>
      <c r="D631" t="s">
        <v>1532</v>
      </c>
      <c r="E631">
        <v>58</v>
      </c>
      <c r="G631" t="s">
        <v>148</v>
      </c>
      <c r="H631" t="s">
        <v>1051</v>
      </c>
      <c r="I631" t="s">
        <v>150</v>
      </c>
      <c r="J631" t="s">
        <v>26</v>
      </c>
      <c r="K631" t="s">
        <v>148</v>
      </c>
      <c r="M631" t="b">
        <v>0</v>
      </c>
      <c r="N631" t="s">
        <v>419</v>
      </c>
      <c r="O631" t="s">
        <v>33</v>
      </c>
      <c r="Q631">
        <v>112.85</v>
      </c>
      <c r="R631">
        <v>1.4</v>
      </c>
      <c r="S631" t="s">
        <v>151</v>
      </c>
      <c r="T631">
        <v>70.2</v>
      </c>
      <c r="V631">
        <v>104</v>
      </c>
      <c r="W631">
        <v>80.900000000000006</v>
      </c>
      <c r="X631">
        <v>11.5</v>
      </c>
      <c r="Y631">
        <v>48.8</v>
      </c>
      <c r="Z631">
        <v>83132799</v>
      </c>
      <c r="AA631">
        <v>51.165691000000002</v>
      </c>
      <c r="AB631">
        <v>10.451525999999999</v>
      </c>
    </row>
    <row r="632" spans="1:28" hidden="1">
      <c r="A632">
        <v>624</v>
      </c>
      <c r="B632">
        <v>4400</v>
      </c>
      <c r="C632" t="s">
        <v>221</v>
      </c>
      <c r="D632" t="s">
        <v>1533</v>
      </c>
      <c r="E632">
        <v>67</v>
      </c>
      <c r="G632" t="s">
        <v>77</v>
      </c>
      <c r="H632" t="s">
        <v>78</v>
      </c>
      <c r="I632" t="s">
        <v>223</v>
      </c>
      <c r="J632" t="s">
        <v>221</v>
      </c>
      <c r="K632" t="s">
        <v>77</v>
      </c>
      <c r="M632" t="b">
        <v>1</v>
      </c>
      <c r="N632" t="s">
        <v>42</v>
      </c>
      <c r="O632" t="s">
        <v>33</v>
      </c>
      <c r="Q632">
        <v>180.44</v>
      </c>
      <c r="R632">
        <v>7.7</v>
      </c>
      <c r="S632" t="s">
        <v>81</v>
      </c>
      <c r="T632">
        <v>28.1</v>
      </c>
      <c r="V632">
        <v>113</v>
      </c>
      <c r="W632">
        <v>69.400000000000006</v>
      </c>
      <c r="X632">
        <v>11.2</v>
      </c>
      <c r="Y632">
        <v>49.7</v>
      </c>
      <c r="Z632">
        <v>1366417754</v>
      </c>
      <c r="AA632">
        <v>20.593684</v>
      </c>
      <c r="AB632">
        <v>78.962879999999998</v>
      </c>
    </row>
    <row r="633" spans="1:28" hidden="1">
      <c r="A633">
        <v>624</v>
      </c>
      <c r="B633">
        <v>4400</v>
      </c>
      <c r="C633" t="s">
        <v>478</v>
      </c>
      <c r="D633" t="s">
        <v>1534</v>
      </c>
      <c r="E633">
        <v>71</v>
      </c>
      <c r="G633" t="s">
        <v>38</v>
      </c>
      <c r="H633" t="s">
        <v>1535</v>
      </c>
      <c r="I633" t="s">
        <v>1536</v>
      </c>
      <c r="J633" t="s">
        <v>478</v>
      </c>
      <c r="K633" t="s">
        <v>38</v>
      </c>
      <c r="M633" t="b">
        <v>0</v>
      </c>
      <c r="N633" t="s">
        <v>32</v>
      </c>
      <c r="O633" t="s">
        <v>33</v>
      </c>
      <c r="Q633">
        <v>117.24</v>
      </c>
      <c r="R633">
        <v>7.5</v>
      </c>
      <c r="S633" t="s">
        <v>44</v>
      </c>
      <c r="T633">
        <v>88.2</v>
      </c>
      <c r="V633">
        <v>101.8</v>
      </c>
      <c r="W633">
        <v>78.5</v>
      </c>
      <c r="X633">
        <v>9.6</v>
      </c>
      <c r="Y633">
        <v>36.6</v>
      </c>
      <c r="Z633">
        <v>328239523</v>
      </c>
      <c r="AA633">
        <v>37.090240000000001</v>
      </c>
      <c r="AB633">
        <v>-95.712890999999999</v>
      </c>
    </row>
    <row r="634" spans="1:28">
      <c r="A634">
        <v>624</v>
      </c>
      <c r="B634">
        <v>4400</v>
      </c>
      <c r="C634" t="s">
        <v>54</v>
      </c>
      <c r="D634" t="s">
        <v>1537</v>
      </c>
      <c r="E634">
        <v>66</v>
      </c>
      <c r="F634" t="str">
        <f>IF(E634&gt;=90,"90-100",IF(E634&gt;=80,"80-90",IF(E634&gt;=70,"70-80",IF(E634&gt;=60,"60-70",IF(E634&gt;=50,"50-60",IF(E634&gt;=40,"40-50",IF(E634&gt;=30,"30-40","20-30")))))))</f>
        <v>60-70</v>
      </c>
      <c r="G634" t="s">
        <v>38</v>
      </c>
      <c r="H634" t="s">
        <v>307</v>
      </c>
      <c r="I634" t="s">
        <v>1538</v>
      </c>
      <c r="J634" t="s">
        <v>54</v>
      </c>
      <c r="K634" t="s">
        <v>38</v>
      </c>
      <c r="L634" t="s">
        <v>1539</v>
      </c>
      <c r="M634" t="b">
        <v>1</v>
      </c>
      <c r="N634" t="s">
        <v>42</v>
      </c>
      <c r="O634" t="s">
        <v>4867</v>
      </c>
      <c r="P634" t="s">
        <v>1540</v>
      </c>
      <c r="Q634">
        <v>117.24</v>
      </c>
      <c r="R634">
        <v>7.5</v>
      </c>
      <c r="S634" t="s">
        <v>44</v>
      </c>
      <c r="T634">
        <v>88.2</v>
      </c>
      <c r="U634" t="str">
        <f>IF(T634&gt;=100,"above 100",IF(T634&gt;=80,"80-100",IF(T634&gt;=60,"60-80",IF(T634&gt;=40,"40-60",IF(T634&gt;=20,"20-60","0-20")))))</f>
        <v>80-100</v>
      </c>
      <c r="V634">
        <v>101.8</v>
      </c>
      <c r="W634">
        <v>78.5</v>
      </c>
      <c r="X634">
        <v>9.6</v>
      </c>
      <c r="Y634">
        <v>36.6</v>
      </c>
      <c r="Z634">
        <v>328239523</v>
      </c>
      <c r="AA634">
        <v>37.090240000000001</v>
      </c>
      <c r="AB634">
        <v>-95.712890999999999</v>
      </c>
    </row>
    <row r="635" spans="1:28" hidden="1">
      <c r="A635">
        <v>624</v>
      </c>
      <c r="B635">
        <v>4400</v>
      </c>
      <c r="C635" t="s">
        <v>217</v>
      </c>
      <c r="D635" t="s">
        <v>1541</v>
      </c>
      <c r="E635">
        <v>65</v>
      </c>
      <c r="G635" t="s">
        <v>103</v>
      </c>
      <c r="H635" t="s">
        <v>1248</v>
      </c>
      <c r="I635" t="s">
        <v>1542</v>
      </c>
      <c r="J635" t="s">
        <v>217</v>
      </c>
      <c r="K635" t="s">
        <v>103</v>
      </c>
      <c r="M635" t="b">
        <v>1</v>
      </c>
      <c r="N635" t="s">
        <v>42</v>
      </c>
      <c r="O635" t="s">
        <v>33</v>
      </c>
      <c r="Q635">
        <v>125.08</v>
      </c>
      <c r="R635">
        <v>2.9</v>
      </c>
      <c r="S635" t="s">
        <v>106</v>
      </c>
      <c r="T635">
        <v>50.6</v>
      </c>
      <c r="V635">
        <v>100.2</v>
      </c>
      <c r="W635">
        <v>77</v>
      </c>
      <c r="X635">
        <v>9.4</v>
      </c>
      <c r="Y635">
        <v>59.2</v>
      </c>
      <c r="Z635">
        <v>1397715000</v>
      </c>
      <c r="AA635">
        <v>35.861660000000001</v>
      </c>
      <c r="AB635">
        <v>104.195397</v>
      </c>
    </row>
    <row r="636" spans="1:28" hidden="1">
      <c r="A636">
        <v>624</v>
      </c>
      <c r="B636">
        <v>4400</v>
      </c>
      <c r="C636" t="s">
        <v>236</v>
      </c>
      <c r="D636" t="s">
        <v>1543</v>
      </c>
      <c r="E636">
        <v>54</v>
      </c>
      <c r="G636" t="s">
        <v>263</v>
      </c>
      <c r="H636" t="s">
        <v>274</v>
      </c>
      <c r="I636" t="s">
        <v>1544</v>
      </c>
      <c r="J636" t="s">
        <v>236</v>
      </c>
      <c r="K636" t="s">
        <v>263</v>
      </c>
      <c r="M636" t="b">
        <v>1</v>
      </c>
      <c r="N636" t="s">
        <v>32</v>
      </c>
      <c r="O636" t="s">
        <v>33</v>
      </c>
      <c r="Q636">
        <v>180.75</v>
      </c>
      <c r="R636">
        <v>4.5</v>
      </c>
      <c r="S636" t="s">
        <v>276</v>
      </c>
      <c r="T636">
        <v>81.900000000000006</v>
      </c>
      <c r="V636">
        <v>102.6</v>
      </c>
      <c r="W636">
        <v>72.7</v>
      </c>
      <c r="X636">
        <v>11.4</v>
      </c>
      <c r="Y636">
        <v>46.2</v>
      </c>
      <c r="Z636">
        <v>144373535</v>
      </c>
      <c r="AA636">
        <v>61.524009999999997</v>
      </c>
      <c r="AB636">
        <v>105.31875599999999</v>
      </c>
    </row>
    <row r="637" spans="1:28" hidden="1">
      <c r="A637">
        <v>636</v>
      </c>
      <c r="B637">
        <v>4300</v>
      </c>
      <c r="C637" t="s">
        <v>68</v>
      </c>
      <c r="D637" t="s">
        <v>1545</v>
      </c>
      <c r="E637">
        <v>59</v>
      </c>
      <c r="G637" t="s">
        <v>156</v>
      </c>
      <c r="H637" t="s">
        <v>1546</v>
      </c>
      <c r="I637" t="s">
        <v>68</v>
      </c>
      <c r="J637" t="s">
        <v>68</v>
      </c>
      <c r="K637" t="s">
        <v>28</v>
      </c>
      <c r="M637" t="b">
        <v>1</v>
      </c>
      <c r="N637" t="s">
        <v>42</v>
      </c>
      <c r="O637" t="s">
        <v>33</v>
      </c>
      <c r="Q637">
        <v>99.55</v>
      </c>
      <c r="R637">
        <v>0.4</v>
      </c>
      <c r="S637" t="s">
        <v>159</v>
      </c>
      <c r="T637">
        <v>59.6</v>
      </c>
      <c r="V637">
        <v>105.2</v>
      </c>
      <c r="W637">
        <v>83.6</v>
      </c>
      <c r="X637">
        <v>10.1</v>
      </c>
      <c r="Y637">
        <v>28.8</v>
      </c>
      <c r="Z637">
        <v>8574832</v>
      </c>
      <c r="AA637">
        <v>46.818187999999999</v>
      </c>
      <c r="AB637">
        <v>8.2275120000000008</v>
      </c>
    </row>
    <row r="638" spans="1:28" hidden="1">
      <c r="A638">
        <v>636</v>
      </c>
      <c r="B638">
        <v>4300</v>
      </c>
      <c r="C638" t="s">
        <v>54</v>
      </c>
      <c r="D638" t="s">
        <v>1547</v>
      </c>
      <c r="E638">
        <v>46</v>
      </c>
      <c r="G638" t="s">
        <v>38</v>
      </c>
      <c r="H638" t="s">
        <v>635</v>
      </c>
      <c r="I638" t="s">
        <v>613</v>
      </c>
      <c r="J638" t="s">
        <v>54</v>
      </c>
      <c r="K638" t="s">
        <v>38</v>
      </c>
      <c r="M638" t="b">
        <v>1</v>
      </c>
      <c r="N638" t="s">
        <v>32</v>
      </c>
      <c r="O638" t="s">
        <v>33</v>
      </c>
      <c r="Q638">
        <v>117.24</v>
      </c>
      <c r="R638">
        <v>7.5</v>
      </c>
      <c r="S638" t="s">
        <v>44</v>
      </c>
      <c r="T638">
        <v>88.2</v>
      </c>
      <c r="V638">
        <v>101.8</v>
      </c>
      <c r="W638">
        <v>78.5</v>
      </c>
      <c r="X638">
        <v>9.6</v>
      </c>
      <c r="Y638">
        <v>36.6</v>
      </c>
      <c r="Z638">
        <v>328239523</v>
      </c>
      <c r="AA638">
        <v>37.090240000000001</v>
      </c>
      <c r="AB638">
        <v>-95.712890999999999</v>
      </c>
    </row>
    <row r="639" spans="1:28" hidden="1">
      <c r="A639">
        <v>636</v>
      </c>
      <c r="B639">
        <v>4300</v>
      </c>
      <c r="C639" t="s">
        <v>54</v>
      </c>
      <c r="D639" t="s">
        <v>1548</v>
      </c>
      <c r="E639">
        <v>63</v>
      </c>
      <c r="G639" t="s">
        <v>95</v>
      </c>
      <c r="H639" t="s">
        <v>1549</v>
      </c>
      <c r="I639" t="s">
        <v>383</v>
      </c>
      <c r="J639" t="s">
        <v>54</v>
      </c>
      <c r="K639" t="s">
        <v>1550</v>
      </c>
      <c r="M639" t="b">
        <v>1</v>
      </c>
      <c r="N639" t="s">
        <v>32</v>
      </c>
      <c r="O639" t="s">
        <v>33</v>
      </c>
      <c r="Q639">
        <v>110.96</v>
      </c>
      <c r="R639">
        <v>0.7</v>
      </c>
      <c r="S639" t="s">
        <v>98</v>
      </c>
      <c r="T639">
        <v>88.9</v>
      </c>
      <c r="V639">
        <v>102.7</v>
      </c>
      <c r="W639">
        <v>83.3</v>
      </c>
      <c r="X639">
        <v>14.2</v>
      </c>
      <c r="Y639">
        <v>47</v>
      </c>
      <c r="Z639">
        <v>47076781</v>
      </c>
      <c r="AA639">
        <v>40.463667000000001</v>
      </c>
      <c r="AB639">
        <v>-3.7492200000000002</v>
      </c>
    </row>
    <row r="640" spans="1:28" hidden="1">
      <c r="A640">
        <v>636</v>
      </c>
      <c r="B640">
        <v>4300</v>
      </c>
      <c r="C640" t="s">
        <v>54</v>
      </c>
      <c r="D640" t="s">
        <v>1551</v>
      </c>
      <c r="E640">
        <v>49</v>
      </c>
      <c r="G640" t="s">
        <v>38</v>
      </c>
      <c r="H640" t="s">
        <v>635</v>
      </c>
      <c r="I640" t="s">
        <v>613</v>
      </c>
      <c r="J640" t="s">
        <v>54</v>
      </c>
      <c r="K640" t="s">
        <v>38</v>
      </c>
      <c r="M640" t="b">
        <v>1</v>
      </c>
      <c r="N640" t="s">
        <v>32</v>
      </c>
      <c r="O640" t="s">
        <v>33</v>
      </c>
      <c r="Q640">
        <v>117.24</v>
      </c>
      <c r="R640">
        <v>7.5</v>
      </c>
      <c r="S640" t="s">
        <v>44</v>
      </c>
      <c r="T640">
        <v>88.2</v>
      </c>
      <c r="V640">
        <v>101.8</v>
      </c>
      <c r="W640">
        <v>78.5</v>
      </c>
      <c r="X640">
        <v>9.6</v>
      </c>
      <c r="Y640">
        <v>36.6</v>
      </c>
      <c r="Z640">
        <v>328239523</v>
      </c>
      <c r="AA640">
        <v>37.090240000000001</v>
      </c>
      <c r="AB640">
        <v>-95.712890999999999</v>
      </c>
    </row>
    <row r="641" spans="1:28" hidden="1">
      <c r="A641">
        <v>636</v>
      </c>
      <c r="B641">
        <v>4300</v>
      </c>
      <c r="C641" t="s">
        <v>288</v>
      </c>
      <c r="D641" t="s">
        <v>1552</v>
      </c>
      <c r="E641">
        <v>61</v>
      </c>
      <c r="G641" t="s">
        <v>103</v>
      </c>
      <c r="H641" t="s">
        <v>143</v>
      </c>
      <c r="I641" t="s">
        <v>418</v>
      </c>
      <c r="J641" t="s">
        <v>288</v>
      </c>
      <c r="K641" t="s">
        <v>103</v>
      </c>
      <c r="M641" t="b">
        <v>1</v>
      </c>
      <c r="N641" t="s">
        <v>32</v>
      </c>
      <c r="O641" t="s">
        <v>33</v>
      </c>
      <c r="Q641">
        <v>125.08</v>
      </c>
      <c r="R641">
        <v>2.9</v>
      </c>
      <c r="S641" t="s">
        <v>106</v>
      </c>
      <c r="T641">
        <v>50.6</v>
      </c>
      <c r="V641">
        <v>100.2</v>
      </c>
      <c r="W641">
        <v>77</v>
      </c>
      <c r="X641">
        <v>9.4</v>
      </c>
      <c r="Y641">
        <v>59.2</v>
      </c>
      <c r="Z641">
        <v>1397715000</v>
      </c>
      <c r="AA641">
        <v>35.861660000000001</v>
      </c>
      <c r="AB641">
        <v>104.195397</v>
      </c>
    </row>
    <row r="642" spans="1:28" hidden="1">
      <c r="A642">
        <v>636</v>
      </c>
      <c r="B642">
        <v>4300</v>
      </c>
      <c r="C642" t="s">
        <v>154</v>
      </c>
      <c r="D642" t="s">
        <v>1553</v>
      </c>
      <c r="E642">
        <v>91</v>
      </c>
      <c r="G642" t="s">
        <v>38</v>
      </c>
      <c r="H642" t="s">
        <v>1554</v>
      </c>
      <c r="I642" t="s">
        <v>1555</v>
      </c>
      <c r="J642" t="s">
        <v>154</v>
      </c>
      <c r="K642" t="s">
        <v>38</v>
      </c>
      <c r="M642" t="b">
        <v>1</v>
      </c>
      <c r="N642" t="s">
        <v>42</v>
      </c>
      <c r="O642" t="s">
        <v>88</v>
      </c>
      <c r="Q642">
        <v>117.24</v>
      </c>
      <c r="R642">
        <v>7.5</v>
      </c>
      <c r="S642" t="s">
        <v>44</v>
      </c>
      <c r="T642">
        <v>88.2</v>
      </c>
      <c r="V642">
        <v>101.8</v>
      </c>
      <c r="W642">
        <v>78.5</v>
      </c>
      <c r="X642">
        <v>9.6</v>
      </c>
      <c r="Y642">
        <v>36.6</v>
      </c>
      <c r="Z642">
        <v>328239523</v>
      </c>
      <c r="AA642">
        <v>37.090240000000001</v>
      </c>
      <c r="AB642">
        <v>-95.712890999999999</v>
      </c>
    </row>
    <row r="643" spans="1:28" hidden="1">
      <c r="A643">
        <v>636</v>
      </c>
      <c r="B643">
        <v>4300</v>
      </c>
      <c r="C643" t="s">
        <v>101</v>
      </c>
      <c r="D643" t="s">
        <v>1556</v>
      </c>
      <c r="E643">
        <v>90</v>
      </c>
      <c r="G643" t="s">
        <v>38</v>
      </c>
      <c r="H643" t="s">
        <v>1557</v>
      </c>
      <c r="I643" t="s">
        <v>1558</v>
      </c>
      <c r="J643" t="s">
        <v>101</v>
      </c>
      <c r="K643" t="s">
        <v>38</v>
      </c>
      <c r="M643" t="b">
        <v>1</v>
      </c>
      <c r="N643" t="s">
        <v>42</v>
      </c>
      <c r="O643" t="s">
        <v>88</v>
      </c>
      <c r="Q643">
        <v>117.24</v>
      </c>
      <c r="R643">
        <v>7.5</v>
      </c>
      <c r="S643" t="s">
        <v>44</v>
      </c>
      <c r="T643">
        <v>88.2</v>
      </c>
      <c r="V643">
        <v>101.8</v>
      </c>
      <c r="W643">
        <v>78.5</v>
      </c>
      <c r="X643">
        <v>9.6</v>
      </c>
      <c r="Y643">
        <v>36.6</v>
      </c>
      <c r="Z643">
        <v>328239523</v>
      </c>
      <c r="AA643">
        <v>37.090240000000001</v>
      </c>
      <c r="AB643">
        <v>-95.712890999999999</v>
      </c>
    </row>
    <row r="644" spans="1:28">
      <c r="A644">
        <v>636</v>
      </c>
      <c r="B644">
        <v>4300</v>
      </c>
      <c r="C644" t="s">
        <v>75</v>
      </c>
      <c r="D644" t="s">
        <v>1559</v>
      </c>
      <c r="E644">
        <v>61</v>
      </c>
      <c r="F644" t="str">
        <f>IF(E644&gt;=90,"90-100",IF(E644&gt;=80,"80-90",IF(E644&gt;=70,"70-80",IF(E644&gt;=60,"60-70",IF(E644&gt;=50,"50-60",IF(E644&gt;=40,"40-50",IF(E644&gt;=30,"30-40","20-30")))))))</f>
        <v>60-70</v>
      </c>
      <c r="G644" t="s">
        <v>127</v>
      </c>
      <c r="H644" t="s">
        <v>1560</v>
      </c>
      <c r="I644" t="s">
        <v>1561</v>
      </c>
      <c r="J644" t="s">
        <v>75</v>
      </c>
      <c r="K644" t="s">
        <v>127</v>
      </c>
      <c r="L644" t="s">
        <v>1562</v>
      </c>
      <c r="M644" t="b">
        <v>1</v>
      </c>
      <c r="N644" t="s">
        <v>42</v>
      </c>
      <c r="O644" t="s">
        <v>4867</v>
      </c>
      <c r="P644" t="s">
        <v>80</v>
      </c>
      <c r="Q644">
        <v>116.76</v>
      </c>
      <c r="R644">
        <v>1.9</v>
      </c>
      <c r="S644" t="s">
        <v>132</v>
      </c>
      <c r="T644">
        <v>68.900000000000006</v>
      </c>
      <c r="U644" t="str">
        <f>IF(T644&gt;=100,"above 100",IF(T644&gt;=80,"80-100",IF(T644&gt;=60,"60-80",IF(T644&gt;=40,"40-60",IF(T644&gt;=20,"20-60","0-20")))))</f>
        <v>60-80</v>
      </c>
      <c r="V644">
        <v>100.9</v>
      </c>
      <c r="W644">
        <v>81.900000000000006</v>
      </c>
      <c r="X644">
        <v>12.8</v>
      </c>
      <c r="Y644">
        <v>24.5</v>
      </c>
      <c r="Z644">
        <v>36991981</v>
      </c>
      <c r="AA644">
        <v>56.130366000000002</v>
      </c>
      <c r="AB644">
        <v>-106.346771</v>
      </c>
    </row>
    <row r="645" spans="1:28" hidden="1">
      <c r="A645">
        <v>636</v>
      </c>
      <c r="B645">
        <v>4300</v>
      </c>
      <c r="C645" t="s">
        <v>236</v>
      </c>
      <c r="D645" t="s">
        <v>1563</v>
      </c>
      <c r="E645">
        <v>62</v>
      </c>
      <c r="G645" t="s">
        <v>263</v>
      </c>
      <c r="H645" t="s">
        <v>1564</v>
      </c>
      <c r="I645" t="s">
        <v>275</v>
      </c>
      <c r="J645" t="s">
        <v>236</v>
      </c>
      <c r="K645" t="s">
        <v>263</v>
      </c>
      <c r="M645" t="b">
        <v>1</v>
      </c>
      <c r="N645" t="s">
        <v>32</v>
      </c>
      <c r="O645" t="s">
        <v>33</v>
      </c>
      <c r="Q645">
        <v>180.75</v>
      </c>
      <c r="R645">
        <v>4.5</v>
      </c>
      <c r="S645" t="s">
        <v>276</v>
      </c>
      <c r="T645">
        <v>81.900000000000006</v>
      </c>
      <c r="V645">
        <v>102.6</v>
      </c>
      <c r="W645">
        <v>72.7</v>
      </c>
      <c r="X645">
        <v>11.4</v>
      </c>
      <c r="Y645">
        <v>46.2</v>
      </c>
      <c r="Z645">
        <v>144373535</v>
      </c>
      <c r="AA645">
        <v>61.524009999999997</v>
      </c>
      <c r="AB645">
        <v>105.31875599999999</v>
      </c>
    </row>
    <row r="646" spans="1:28" hidden="1">
      <c r="A646">
        <v>636</v>
      </c>
      <c r="B646">
        <v>4300</v>
      </c>
      <c r="C646" t="s">
        <v>54</v>
      </c>
      <c r="D646" t="s">
        <v>1565</v>
      </c>
      <c r="E646">
        <v>56</v>
      </c>
      <c r="G646" t="s">
        <v>1462</v>
      </c>
      <c r="H646" t="s">
        <v>1463</v>
      </c>
      <c r="I646" t="s">
        <v>383</v>
      </c>
      <c r="J646" t="s">
        <v>54</v>
      </c>
      <c r="K646" t="s">
        <v>1462</v>
      </c>
      <c r="M646" t="b">
        <v>1</v>
      </c>
      <c r="N646" t="s">
        <v>32</v>
      </c>
      <c r="O646" t="s">
        <v>33</v>
      </c>
      <c r="Q646">
        <v>182.75</v>
      </c>
      <c r="R646">
        <v>5.2</v>
      </c>
      <c r="S646" t="s">
        <v>1464</v>
      </c>
      <c r="T646">
        <v>61.7</v>
      </c>
      <c r="V646">
        <v>104.4</v>
      </c>
      <c r="W646">
        <v>73.2</v>
      </c>
      <c r="X646">
        <v>11.7</v>
      </c>
      <c r="Y646">
        <v>28.4</v>
      </c>
      <c r="Z646">
        <v>18513930</v>
      </c>
      <c r="AA646">
        <v>48.019573000000001</v>
      </c>
      <c r="AB646">
        <v>66.923683999999994</v>
      </c>
    </row>
    <row r="647" spans="1:28" hidden="1">
      <c r="A647">
        <v>636</v>
      </c>
      <c r="B647">
        <v>4300</v>
      </c>
      <c r="C647" t="s">
        <v>54</v>
      </c>
      <c r="D647" t="s">
        <v>1566</v>
      </c>
      <c r="E647">
        <v>55</v>
      </c>
      <c r="G647" t="s">
        <v>1462</v>
      </c>
      <c r="H647" t="s">
        <v>1463</v>
      </c>
      <c r="I647" t="s">
        <v>383</v>
      </c>
      <c r="J647" t="s">
        <v>54</v>
      </c>
      <c r="K647" t="s">
        <v>1462</v>
      </c>
      <c r="M647" t="b">
        <v>0</v>
      </c>
      <c r="N647" t="s">
        <v>32</v>
      </c>
      <c r="O647" t="s">
        <v>88</v>
      </c>
      <c r="Q647">
        <v>182.75</v>
      </c>
      <c r="R647">
        <v>5.2</v>
      </c>
      <c r="S647" t="s">
        <v>1464</v>
      </c>
      <c r="T647">
        <v>61.7</v>
      </c>
      <c r="V647">
        <v>104.4</v>
      </c>
      <c r="W647">
        <v>73.2</v>
      </c>
      <c r="X647">
        <v>11.7</v>
      </c>
      <c r="Y647">
        <v>28.4</v>
      </c>
      <c r="Z647">
        <v>18513930</v>
      </c>
      <c r="AA647">
        <v>48.019573000000001</v>
      </c>
      <c r="AB647">
        <v>66.923683999999994</v>
      </c>
    </row>
    <row r="648" spans="1:28" hidden="1">
      <c r="A648">
        <v>636</v>
      </c>
      <c r="B648">
        <v>4300</v>
      </c>
      <c r="C648" t="s">
        <v>221</v>
      </c>
      <c r="D648" t="s">
        <v>1567</v>
      </c>
      <c r="E648">
        <v>60</v>
      </c>
      <c r="I648" t="s">
        <v>223</v>
      </c>
      <c r="J648" t="s">
        <v>221</v>
      </c>
      <c r="K648" t="s">
        <v>203</v>
      </c>
      <c r="M648" t="b">
        <v>1</v>
      </c>
      <c r="N648" t="s">
        <v>212</v>
      </c>
      <c r="O648" t="s">
        <v>33</v>
      </c>
    </row>
    <row r="649" spans="1:28" hidden="1">
      <c r="A649">
        <v>636</v>
      </c>
      <c r="B649">
        <v>4300</v>
      </c>
      <c r="C649" t="s">
        <v>221</v>
      </c>
      <c r="D649" t="s">
        <v>1568</v>
      </c>
      <c r="E649">
        <v>58</v>
      </c>
      <c r="I649" t="s">
        <v>223</v>
      </c>
      <c r="J649" t="s">
        <v>221</v>
      </c>
      <c r="K649" t="s">
        <v>203</v>
      </c>
      <c r="M649" t="b">
        <v>1</v>
      </c>
      <c r="N649" t="s">
        <v>212</v>
      </c>
      <c r="O649" t="s">
        <v>33</v>
      </c>
    </row>
    <row r="650" spans="1:28" hidden="1">
      <c r="A650">
        <v>636</v>
      </c>
      <c r="B650">
        <v>4300</v>
      </c>
      <c r="C650" t="s">
        <v>101</v>
      </c>
      <c r="D650" t="s">
        <v>1569</v>
      </c>
      <c r="E650">
        <v>61</v>
      </c>
      <c r="G650" t="s">
        <v>38</v>
      </c>
      <c r="H650" t="s">
        <v>1570</v>
      </c>
      <c r="I650" t="s">
        <v>959</v>
      </c>
      <c r="J650" t="s">
        <v>101</v>
      </c>
      <c r="K650" t="s">
        <v>38</v>
      </c>
      <c r="M650" t="b">
        <v>0</v>
      </c>
      <c r="N650" t="s">
        <v>42</v>
      </c>
      <c r="O650" t="s">
        <v>88</v>
      </c>
      <c r="Q650">
        <v>117.24</v>
      </c>
      <c r="R650">
        <v>7.5</v>
      </c>
      <c r="S650" t="s">
        <v>44</v>
      </c>
      <c r="T650">
        <v>88.2</v>
      </c>
      <c r="V650">
        <v>101.8</v>
      </c>
      <c r="W650">
        <v>78.5</v>
      </c>
      <c r="X650">
        <v>9.6</v>
      </c>
      <c r="Y650">
        <v>36.6</v>
      </c>
      <c r="Z650">
        <v>328239523</v>
      </c>
      <c r="AA650">
        <v>37.090240000000001</v>
      </c>
      <c r="AB650">
        <v>-95.712890999999999</v>
      </c>
    </row>
    <row r="651" spans="1:28" hidden="1">
      <c r="A651">
        <v>636</v>
      </c>
      <c r="B651">
        <v>4300</v>
      </c>
      <c r="C651" t="s">
        <v>221</v>
      </c>
      <c r="D651" t="s">
        <v>1571</v>
      </c>
      <c r="E651">
        <v>75</v>
      </c>
      <c r="G651" t="s">
        <v>38</v>
      </c>
      <c r="H651" t="s">
        <v>652</v>
      </c>
      <c r="I651" t="s">
        <v>223</v>
      </c>
      <c r="J651" t="s">
        <v>221</v>
      </c>
      <c r="K651" t="s">
        <v>38</v>
      </c>
      <c r="M651" t="b">
        <v>1</v>
      </c>
      <c r="N651" t="s">
        <v>32</v>
      </c>
      <c r="O651" t="s">
        <v>33</v>
      </c>
      <c r="Q651">
        <v>117.24</v>
      </c>
      <c r="R651">
        <v>7.5</v>
      </c>
      <c r="S651" t="s">
        <v>44</v>
      </c>
      <c r="T651">
        <v>88.2</v>
      </c>
      <c r="V651">
        <v>101.8</v>
      </c>
      <c r="W651">
        <v>78.5</v>
      </c>
      <c r="X651">
        <v>9.6</v>
      </c>
      <c r="Y651">
        <v>36.6</v>
      </c>
      <c r="Z651">
        <v>328239523</v>
      </c>
      <c r="AA651">
        <v>37.090240000000001</v>
      </c>
      <c r="AB651">
        <v>-95.712890999999999</v>
      </c>
    </row>
    <row r="652" spans="1:28" hidden="1">
      <c r="A652">
        <v>636</v>
      </c>
      <c r="B652">
        <v>4300</v>
      </c>
      <c r="C652" t="s">
        <v>75</v>
      </c>
      <c r="D652" t="s">
        <v>1572</v>
      </c>
      <c r="E652">
        <v>54</v>
      </c>
      <c r="G652" t="s">
        <v>1573</v>
      </c>
      <c r="H652" t="s">
        <v>1574</v>
      </c>
      <c r="I652" t="s">
        <v>75</v>
      </c>
      <c r="J652" t="s">
        <v>75</v>
      </c>
      <c r="K652" t="s">
        <v>1573</v>
      </c>
      <c r="M652" t="b">
        <v>1</v>
      </c>
      <c r="N652" t="s">
        <v>42</v>
      </c>
      <c r="O652" t="s">
        <v>33</v>
      </c>
      <c r="Q652">
        <v>163.52000000000001</v>
      </c>
      <c r="R652">
        <v>2.8</v>
      </c>
      <c r="S652" t="s">
        <v>1575</v>
      </c>
      <c r="T652">
        <v>28.5</v>
      </c>
      <c r="V652">
        <v>110.6</v>
      </c>
      <c r="W652">
        <v>75.3</v>
      </c>
      <c r="X652">
        <v>19.100000000000001</v>
      </c>
      <c r="Y652">
        <v>37.6</v>
      </c>
      <c r="Z652">
        <v>96462106</v>
      </c>
      <c r="AA652">
        <v>14.058324000000001</v>
      </c>
      <c r="AB652">
        <v>108.277199</v>
      </c>
    </row>
    <row r="653" spans="1:28" hidden="1">
      <c r="A653">
        <v>636</v>
      </c>
      <c r="B653">
        <v>4300</v>
      </c>
      <c r="C653" t="s">
        <v>288</v>
      </c>
      <c r="D653" t="s">
        <v>1576</v>
      </c>
      <c r="E653">
        <v>64</v>
      </c>
      <c r="G653" t="s">
        <v>38</v>
      </c>
      <c r="H653" t="s">
        <v>65</v>
      </c>
      <c r="I653" t="s">
        <v>971</v>
      </c>
      <c r="J653" t="s">
        <v>288</v>
      </c>
      <c r="K653" t="s">
        <v>38</v>
      </c>
      <c r="M653" t="b">
        <v>0</v>
      </c>
      <c r="N653" t="s">
        <v>32</v>
      </c>
      <c r="O653" t="s">
        <v>33</v>
      </c>
      <c r="Q653">
        <v>117.24</v>
      </c>
      <c r="R653">
        <v>7.5</v>
      </c>
      <c r="S653" t="s">
        <v>44</v>
      </c>
      <c r="T653">
        <v>88.2</v>
      </c>
      <c r="V653">
        <v>101.8</v>
      </c>
      <c r="W653">
        <v>78.5</v>
      </c>
      <c r="X653">
        <v>9.6</v>
      </c>
      <c r="Y653">
        <v>36.6</v>
      </c>
      <c r="Z653">
        <v>328239523</v>
      </c>
      <c r="AA653">
        <v>37.090240000000001</v>
      </c>
      <c r="AB653">
        <v>-95.712890999999999</v>
      </c>
    </row>
    <row r="654" spans="1:28" hidden="1">
      <c r="A654">
        <v>636</v>
      </c>
      <c r="B654">
        <v>4300</v>
      </c>
      <c r="C654" t="s">
        <v>54</v>
      </c>
      <c r="D654" t="s">
        <v>1577</v>
      </c>
      <c r="E654">
        <v>66</v>
      </c>
      <c r="G654" t="s">
        <v>810</v>
      </c>
      <c r="H654" t="s">
        <v>811</v>
      </c>
      <c r="I654" t="s">
        <v>1152</v>
      </c>
      <c r="J654" t="s">
        <v>54</v>
      </c>
      <c r="K654" t="s">
        <v>810</v>
      </c>
      <c r="M654" t="b">
        <v>0</v>
      </c>
      <c r="N654" t="s">
        <v>42</v>
      </c>
      <c r="O654" t="s">
        <v>33</v>
      </c>
    </row>
    <row r="655" spans="1:28" hidden="1">
      <c r="A655">
        <v>636</v>
      </c>
      <c r="B655">
        <v>4300</v>
      </c>
      <c r="C655" t="s">
        <v>54</v>
      </c>
      <c r="D655" t="s">
        <v>1578</v>
      </c>
      <c r="E655">
        <v>65</v>
      </c>
      <c r="G655" t="s">
        <v>810</v>
      </c>
      <c r="H655" t="s">
        <v>811</v>
      </c>
      <c r="I655" t="s">
        <v>1152</v>
      </c>
      <c r="J655" t="s">
        <v>54</v>
      </c>
      <c r="K655" t="s">
        <v>810</v>
      </c>
      <c r="M655" t="b">
        <v>0</v>
      </c>
      <c r="N655" t="s">
        <v>42</v>
      </c>
      <c r="O655" t="s">
        <v>33</v>
      </c>
    </row>
    <row r="656" spans="1:28">
      <c r="A656">
        <v>636</v>
      </c>
      <c r="B656">
        <v>4300</v>
      </c>
      <c r="C656" t="s">
        <v>45</v>
      </c>
      <c r="D656" t="s">
        <v>1579</v>
      </c>
      <c r="E656">
        <v>42</v>
      </c>
      <c r="F656" t="str">
        <f>IF(E656&gt;=90,"90-100",IF(E656&gt;=80,"80-90",IF(E656&gt;=70,"70-80",IF(E656&gt;=60,"60-70",IF(E656&gt;=50,"50-60",IF(E656&gt;=40,"40-50",IF(E656&gt;=30,"30-40","20-30")))))))</f>
        <v>40-50</v>
      </c>
      <c r="G656" t="s">
        <v>103</v>
      </c>
      <c r="H656" t="s">
        <v>176</v>
      </c>
      <c r="I656" t="s">
        <v>1580</v>
      </c>
      <c r="J656" t="s">
        <v>45</v>
      </c>
      <c r="K656" t="s">
        <v>103</v>
      </c>
      <c r="L656" t="s">
        <v>1581</v>
      </c>
      <c r="M656" t="b">
        <v>1</v>
      </c>
      <c r="N656" t="s">
        <v>42</v>
      </c>
      <c r="O656" t="s">
        <v>4867</v>
      </c>
      <c r="P656" t="s">
        <v>619</v>
      </c>
      <c r="Q656">
        <v>125.08</v>
      </c>
      <c r="R656">
        <v>2.9</v>
      </c>
      <c r="S656" t="s">
        <v>106</v>
      </c>
      <c r="T656">
        <v>50.6</v>
      </c>
      <c r="U656" t="str">
        <f>IF(T656&gt;=100,"above 100",IF(T656&gt;=80,"80-100",IF(T656&gt;=60,"60-80",IF(T656&gt;=40,"40-60",IF(T656&gt;=20,"20-60","0-20")))))</f>
        <v>40-60</v>
      </c>
      <c r="V656">
        <v>100.2</v>
      </c>
      <c r="W656">
        <v>77</v>
      </c>
      <c r="X656">
        <v>9.4</v>
      </c>
      <c r="Y656">
        <v>59.2</v>
      </c>
      <c r="Z656">
        <v>1397715000</v>
      </c>
      <c r="AA656">
        <v>35.861660000000001</v>
      </c>
      <c r="AB656">
        <v>104.195397</v>
      </c>
    </row>
    <row r="657" spans="1:28" hidden="1">
      <c r="A657">
        <v>636</v>
      </c>
      <c r="B657">
        <v>4300</v>
      </c>
      <c r="C657" t="s">
        <v>217</v>
      </c>
      <c r="D657" t="s">
        <v>1582</v>
      </c>
      <c r="E657">
        <v>74</v>
      </c>
      <c r="G657" t="s">
        <v>103</v>
      </c>
      <c r="H657" t="s">
        <v>633</v>
      </c>
      <c r="I657" t="s">
        <v>1583</v>
      </c>
      <c r="J657" t="s">
        <v>217</v>
      </c>
      <c r="K657" t="s">
        <v>103</v>
      </c>
      <c r="M657" t="b">
        <v>1</v>
      </c>
      <c r="N657" t="s">
        <v>42</v>
      </c>
      <c r="O657" t="s">
        <v>33</v>
      </c>
      <c r="Q657">
        <v>125.08</v>
      </c>
      <c r="R657">
        <v>2.9</v>
      </c>
      <c r="S657" t="s">
        <v>106</v>
      </c>
      <c r="T657">
        <v>50.6</v>
      </c>
      <c r="V657">
        <v>100.2</v>
      </c>
      <c r="W657">
        <v>77</v>
      </c>
      <c r="X657">
        <v>9.4</v>
      </c>
      <c r="Y657">
        <v>59.2</v>
      </c>
      <c r="Z657">
        <v>1397715000</v>
      </c>
      <c r="AA657">
        <v>35.861660000000001</v>
      </c>
      <c r="AB657">
        <v>104.195397</v>
      </c>
    </row>
    <row r="658" spans="1:28" hidden="1">
      <c r="A658">
        <v>636</v>
      </c>
      <c r="B658">
        <v>4300</v>
      </c>
      <c r="C658" t="s">
        <v>45</v>
      </c>
      <c r="D658" t="s">
        <v>1584</v>
      </c>
      <c r="E658">
        <v>58</v>
      </c>
      <c r="G658" t="s">
        <v>103</v>
      </c>
      <c r="H658" t="s">
        <v>143</v>
      </c>
      <c r="I658" t="s">
        <v>577</v>
      </c>
      <c r="J658" t="s">
        <v>45</v>
      </c>
      <c r="K658" t="s">
        <v>103</v>
      </c>
      <c r="M658" t="b">
        <v>1</v>
      </c>
      <c r="N658" t="s">
        <v>42</v>
      </c>
      <c r="O658" t="s">
        <v>33</v>
      </c>
      <c r="Q658">
        <v>125.08</v>
      </c>
      <c r="R658">
        <v>2.9</v>
      </c>
      <c r="S658" t="s">
        <v>106</v>
      </c>
      <c r="T658">
        <v>50.6</v>
      </c>
      <c r="V658">
        <v>100.2</v>
      </c>
      <c r="W658">
        <v>77</v>
      </c>
      <c r="X658">
        <v>9.4</v>
      </c>
      <c r="Y658">
        <v>59.2</v>
      </c>
      <c r="Z658">
        <v>1397715000</v>
      </c>
      <c r="AA658">
        <v>35.861660000000001</v>
      </c>
      <c r="AB658">
        <v>104.195397</v>
      </c>
    </row>
    <row r="659" spans="1:28" hidden="1">
      <c r="A659">
        <v>636</v>
      </c>
      <c r="B659">
        <v>4300</v>
      </c>
      <c r="C659" t="s">
        <v>54</v>
      </c>
      <c r="D659" t="s">
        <v>1585</v>
      </c>
      <c r="E659">
        <v>83</v>
      </c>
      <c r="G659" t="s">
        <v>38</v>
      </c>
      <c r="H659" t="s">
        <v>1586</v>
      </c>
      <c r="I659" t="s">
        <v>231</v>
      </c>
      <c r="J659" t="s">
        <v>54</v>
      </c>
      <c r="K659" t="s">
        <v>38</v>
      </c>
      <c r="M659" t="b">
        <v>1</v>
      </c>
      <c r="N659" t="s">
        <v>32</v>
      </c>
      <c r="O659" t="s">
        <v>33</v>
      </c>
      <c r="Q659">
        <v>117.24</v>
      </c>
      <c r="R659">
        <v>7.5</v>
      </c>
      <c r="S659" t="s">
        <v>44</v>
      </c>
      <c r="T659">
        <v>88.2</v>
      </c>
      <c r="V659">
        <v>101.8</v>
      </c>
      <c r="W659">
        <v>78.5</v>
      </c>
      <c r="X659">
        <v>9.6</v>
      </c>
      <c r="Y659">
        <v>36.6</v>
      </c>
      <c r="Z659">
        <v>328239523</v>
      </c>
      <c r="AA659">
        <v>37.090240000000001</v>
      </c>
      <c r="AB659">
        <v>-95.712890999999999</v>
      </c>
    </row>
    <row r="660" spans="1:28" hidden="1">
      <c r="A660">
        <v>659</v>
      </c>
      <c r="B660">
        <v>4200</v>
      </c>
      <c r="C660" t="s">
        <v>308</v>
      </c>
      <c r="D660" t="s">
        <v>1587</v>
      </c>
      <c r="E660">
        <v>65</v>
      </c>
      <c r="G660" t="s">
        <v>342</v>
      </c>
      <c r="H660" t="s">
        <v>1093</v>
      </c>
      <c r="I660" t="s">
        <v>1203</v>
      </c>
      <c r="J660" t="s">
        <v>308</v>
      </c>
      <c r="K660" t="s">
        <v>342</v>
      </c>
      <c r="M660" t="b">
        <v>0</v>
      </c>
      <c r="N660" t="s">
        <v>42</v>
      </c>
      <c r="O660" t="s">
        <v>88</v>
      </c>
      <c r="P660" t="s">
        <v>415</v>
      </c>
      <c r="Q660">
        <v>108.15</v>
      </c>
      <c r="R660">
        <v>0.8</v>
      </c>
      <c r="S660" t="s">
        <v>532</v>
      </c>
      <c r="T660">
        <v>63.4</v>
      </c>
      <c r="V660">
        <v>104.9</v>
      </c>
      <c r="W660">
        <v>82.8</v>
      </c>
      <c r="X660">
        <v>23.1</v>
      </c>
      <c r="Y660">
        <v>25.3</v>
      </c>
      <c r="Z660">
        <v>9053300</v>
      </c>
      <c r="AA660">
        <v>31.046050999999999</v>
      </c>
      <c r="AB660">
        <v>34.851612000000003</v>
      </c>
    </row>
    <row r="661" spans="1:28" hidden="1">
      <c r="A661">
        <v>659</v>
      </c>
      <c r="B661">
        <v>4200</v>
      </c>
      <c r="C661" t="s">
        <v>54</v>
      </c>
      <c r="D661" t="s">
        <v>1588</v>
      </c>
      <c r="E661">
        <v>68</v>
      </c>
      <c r="G661" t="s">
        <v>1589</v>
      </c>
      <c r="I661" t="s">
        <v>498</v>
      </c>
      <c r="J661" t="s">
        <v>54</v>
      </c>
      <c r="K661" t="s">
        <v>263</v>
      </c>
      <c r="M661" t="b">
        <v>1</v>
      </c>
      <c r="N661" t="s">
        <v>42</v>
      </c>
      <c r="O661" t="s">
        <v>33</v>
      </c>
      <c r="Q661">
        <v>116.86</v>
      </c>
      <c r="R661">
        <v>2.8</v>
      </c>
      <c r="S661" t="s">
        <v>1590</v>
      </c>
      <c r="T661">
        <v>88.1</v>
      </c>
      <c r="V661">
        <v>99.4</v>
      </c>
      <c r="W661">
        <v>74.7</v>
      </c>
      <c r="X661">
        <v>22.9</v>
      </c>
      <c r="Y661">
        <v>38.1</v>
      </c>
      <c r="Z661">
        <v>1912789</v>
      </c>
      <c r="AA661">
        <v>56.879635</v>
      </c>
      <c r="AB661">
        <v>24.603189</v>
      </c>
    </row>
    <row r="662" spans="1:28" hidden="1">
      <c r="A662">
        <v>659</v>
      </c>
      <c r="B662">
        <v>4200</v>
      </c>
      <c r="C662" t="s">
        <v>221</v>
      </c>
      <c r="D662" t="s">
        <v>1591</v>
      </c>
      <c r="E662">
        <v>82</v>
      </c>
      <c r="G662" t="s">
        <v>103</v>
      </c>
      <c r="H662" t="s">
        <v>143</v>
      </c>
      <c r="I662" t="s">
        <v>223</v>
      </c>
      <c r="J662" t="s">
        <v>221</v>
      </c>
      <c r="K662" t="s">
        <v>103</v>
      </c>
      <c r="M662" t="b">
        <v>1</v>
      </c>
      <c r="N662" t="s">
        <v>42</v>
      </c>
      <c r="O662" t="s">
        <v>88</v>
      </c>
      <c r="P662" t="s">
        <v>125</v>
      </c>
      <c r="Q662">
        <v>125.08</v>
      </c>
      <c r="R662">
        <v>2.9</v>
      </c>
      <c r="S662" t="s">
        <v>106</v>
      </c>
      <c r="T662">
        <v>50.6</v>
      </c>
      <c r="V662">
        <v>100.2</v>
      </c>
      <c r="W662">
        <v>77</v>
      </c>
      <c r="X662">
        <v>9.4</v>
      </c>
      <c r="Y662">
        <v>59.2</v>
      </c>
      <c r="Z662">
        <v>1397715000</v>
      </c>
      <c r="AA662">
        <v>35.861660000000001</v>
      </c>
      <c r="AB662">
        <v>104.195397</v>
      </c>
    </row>
    <row r="663" spans="1:28" hidden="1">
      <c r="A663">
        <v>659</v>
      </c>
      <c r="B663">
        <v>4200</v>
      </c>
      <c r="C663" t="s">
        <v>221</v>
      </c>
      <c r="D663" t="s">
        <v>1592</v>
      </c>
      <c r="E663">
        <v>57</v>
      </c>
      <c r="G663" t="s">
        <v>103</v>
      </c>
      <c r="H663" t="s">
        <v>176</v>
      </c>
      <c r="I663" t="s">
        <v>223</v>
      </c>
      <c r="J663" t="s">
        <v>221</v>
      </c>
      <c r="K663" t="s">
        <v>103</v>
      </c>
      <c r="M663" t="b">
        <v>1</v>
      </c>
      <c r="N663" t="s">
        <v>32</v>
      </c>
      <c r="O663" t="s">
        <v>33</v>
      </c>
      <c r="Q663">
        <v>125.08</v>
      </c>
      <c r="R663">
        <v>2.9</v>
      </c>
      <c r="S663" t="s">
        <v>106</v>
      </c>
      <c r="T663">
        <v>50.6</v>
      </c>
      <c r="V663">
        <v>100.2</v>
      </c>
      <c r="W663">
        <v>77</v>
      </c>
      <c r="X663">
        <v>9.4</v>
      </c>
      <c r="Y663">
        <v>59.2</v>
      </c>
      <c r="Z663">
        <v>1397715000</v>
      </c>
      <c r="AA663">
        <v>35.861660000000001</v>
      </c>
      <c r="AB663">
        <v>104.195397</v>
      </c>
    </row>
    <row r="664" spans="1:28" hidden="1">
      <c r="A664">
        <v>659</v>
      </c>
      <c r="B664">
        <v>4200</v>
      </c>
      <c r="C664" t="s">
        <v>54</v>
      </c>
      <c r="D664" t="s">
        <v>1593</v>
      </c>
      <c r="E664">
        <v>87</v>
      </c>
      <c r="G664" t="s">
        <v>38</v>
      </c>
      <c r="H664" t="s">
        <v>1594</v>
      </c>
      <c r="I664" t="s">
        <v>782</v>
      </c>
      <c r="J664" t="s">
        <v>54</v>
      </c>
      <c r="K664" t="s">
        <v>38</v>
      </c>
      <c r="M664" t="b">
        <v>0</v>
      </c>
      <c r="N664" t="s">
        <v>32</v>
      </c>
      <c r="O664" t="s">
        <v>33</v>
      </c>
      <c r="Q664">
        <v>117.24</v>
      </c>
      <c r="R664">
        <v>7.5</v>
      </c>
      <c r="S664" t="s">
        <v>44</v>
      </c>
      <c r="T664">
        <v>88.2</v>
      </c>
      <c r="V664">
        <v>101.8</v>
      </c>
      <c r="W664">
        <v>78.5</v>
      </c>
      <c r="X664">
        <v>9.6</v>
      </c>
      <c r="Y664">
        <v>36.6</v>
      </c>
      <c r="Z664">
        <v>328239523</v>
      </c>
      <c r="AA664">
        <v>37.090240000000001</v>
      </c>
      <c r="AB664">
        <v>-95.712890999999999</v>
      </c>
    </row>
    <row r="665" spans="1:28">
      <c r="A665">
        <v>659</v>
      </c>
      <c r="B665">
        <v>4200</v>
      </c>
      <c r="C665" t="s">
        <v>54</v>
      </c>
      <c r="D665" t="s">
        <v>1595</v>
      </c>
      <c r="E665">
        <v>82</v>
      </c>
      <c r="F665" t="str">
        <f>IF(E665&gt;=90,"90-100",IF(E665&gt;=80,"80-90",IF(E665&gt;=70,"70-80",IF(E665&gt;=60,"60-70",IF(E665&gt;=50,"50-60",IF(E665&gt;=40,"40-50",IF(E665&gt;=30,"30-40","20-30")))))))</f>
        <v>80-90</v>
      </c>
      <c r="G665" t="s">
        <v>38</v>
      </c>
      <c r="H665" t="s">
        <v>1596</v>
      </c>
      <c r="I665" t="s">
        <v>1317</v>
      </c>
      <c r="J665" t="s">
        <v>54</v>
      </c>
      <c r="K665" t="s">
        <v>38</v>
      </c>
      <c r="L665" t="s">
        <v>1318</v>
      </c>
      <c r="M665" t="b">
        <v>0</v>
      </c>
      <c r="N665" t="s">
        <v>42</v>
      </c>
      <c r="O665" t="s">
        <v>4867</v>
      </c>
      <c r="P665" t="s">
        <v>1597</v>
      </c>
      <c r="Q665">
        <v>117.24</v>
      </c>
      <c r="R665">
        <v>7.5</v>
      </c>
      <c r="S665" t="s">
        <v>44</v>
      </c>
      <c r="T665">
        <v>88.2</v>
      </c>
      <c r="U665" t="str">
        <f>IF(T665&gt;=100,"above 100",IF(T665&gt;=80,"80-100",IF(T665&gt;=60,"60-80",IF(T665&gt;=40,"40-60",IF(T665&gt;=20,"20-60","0-20")))))</f>
        <v>80-100</v>
      </c>
      <c r="V665">
        <v>101.8</v>
      </c>
      <c r="W665">
        <v>78.5</v>
      </c>
      <c r="X665">
        <v>9.6</v>
      </c>
      <c r="Y665">
        <v>36.6</v>
      </c>
      <c r="Z665">
        <v>328239523</v>
      </c>
      <c r="AA665">
        <v>37.090240000000001</v>
      </c>
      <c r="AB665">
        <v>-95.712890999999999</v>
      </c>
    </row>
    <row r="666" spans="1:28" hidden="1">
      <c r="A666">
        <v>659</v>
      </c>
      <c r="B666">
        <v>4200</v>
      </c>
      <c r="C666" t="s">
        <v>250</v>
      </c>
      <c r="D666" t="s">
        <v>1598</v>
      </c>
      <c r="E666">
        <v>72</v>
      </c>
      <c r="G666" t="s">
        <v>252</v>
      </c>
      <c r="H666" t="s">
        <v>253</v>
      </c>
      <c r="I666" t="s">
        <v>254</v>
      </c>
      <c r="J666" t="s">
        <v>250</v>
      </c>
      <c r="K666" t="s">
        <v>252</v>
      </c>
      <c r="M666" t="b">
        <v>1</v>
      </c>
      <c r="N666" t="s">
        <v>192</v>
      </c>
      <c r="O666" t="s">
        <v>88</v>
      </c>
      <c r="Q666">
        <v>151.18</v>
      </c>
      <c r="R666">
        <v>3</v>
      </c>
      <c r="S666" t="s">
        <v>255</v>
      </c>
      <c r="T666">
        <v>36.299999999999997</v>
      </c>
      <c r="V666">
        <v>106.4</v>
      </c>
      <c r="W666">
        <v>71.5</v>
      </c>
      <c r="X666">
        <v>10.199999999999999</v>
      </c>
      <c r="Y666">
        <v>30.1</v>
      </c>
      <c r="Z666">
        <v>270203917</v>
      </c>
      <c r="AA666">
        <v>-0.78927499999999995</v>
      </c>
      <c r="AB666">
        <v>113.92132700000001</v>
      </c>
    </row>
    <row r="667" spans="1:28" hidden="1">
      <c r="A667">
        <v>659</v>
      </c>
      <c r="B667">
        <v>4200</v>
      </c>
      <c r="C667" t="s">
        <v>45</v>
      </c>
      <c r="D667" t="s">
        <v>1599</v>
      </c>
      <c r="E667">
        <v>74</v>
      </c>
      <c r="G667" t="s">
        <v>38</v>
      </c>
      <c r="H667" t="s">
        <v>1600</v>
      </c>
      <c r="I667" t="s">
        <v>1601</v>
      </c>
      <c r="J667" t="s">
        <v>45</v>
      </c>
      <c r="K667" t="s">
        <v>38</v>
      </c>
      <c r="M667" t="b">
        <v>1</v>
      </c>
      <c r="N667" t="s">
        <v>42</v>
      </c>
      <c r="O667" t="s">
        <v>33</v>
      </c>
      <c r="Q667">
        <v>117.24</v>
      </c>
      <c r="R667">
        <v>7.5</v>
      </c>
      <c r="S667" t="s">
        <v>44</v>
      </c>
      <c r="T667">
        <v>88.2</v>
      </c>
      <c r="V667">
        <v>101.8</v>
      </c>
      <c r="W667">
        <v>78.5</v>
      </c>
      <c r="X667">
        <v>9.6</v>
      </c>
      <c r="Y667">
        <v>36.6</v>
      </c>
      <c r="Z667">
        <v>328239523</v>
      </c>
      <c r="AA667">
        <v>37.090240000000001</v>
      </c>
      <c r="AB667">
        <v>-95.712890999999999</v>
      </c>
    </row>
    <row r="668" spans="1:28" hidden="1">
      <c r="A668">
        <v>659</v>
      </c>
      <c r="B668">
        <v>4200</v>
      </c>
      <c r="C668" t="s">
        <v>54</v>
      </c>
      <c r="D668" t="s">
        <v>1602</v>
      </c>
      <c r="E668">
        <v>82</v>
      </c>
      <c r="G668" t="s">
        <v>28</v>
      </c>
      <c r="H668" t="s">
        <v>29</v>
      </c>
      <c r="I668" t="s">
        <v>1152</v>
      </c>
      <c r="J668" t="s">
        <v>54</v>
      </c>
      <c r="K668" t="s">
        <v>28</v>
      </c>
      <c r="M668" t="b">
        <v>1</v>
      </c>
      <c r="N668" t="s">
        <v>32</v>
      </c>
      <c r="O668" t="s">
        <v>33</v>
      </c>
      <c r="Q668">
        <v>110.05</v>
      </c>
      <c r="R668">
        <v>1.1000000000000001</v>
      </c>
      <c r="S668" t="s">
        <v>35</v>
      </c>
      <c r="T668">
        <v>65.599999999999994</v>
      </c>
      <c r="V668">
        <v>102.5</v>
      </c>
      <c r="W668">
        <v>82.5</v>
      </c>
      <c r="X668">
        <v>24.2</v>
      </c>
      <c r="Y668">
        <v>60.7</v>
      </c>
      <c r="Z668">
        <v>67059887</v>
      </c>
      <c r="AA668">
        <v>46.227637999999999</v>
      </c>
      <c r="AB668">
        <v>2.213749</v>
      </c>
    </row>
    <row r="669" spans="1:28">
      <c r="A669">
        <v>659</v>
      </c>
      <c r="B669">
        <v>4200</v>
      </c>
      <c r="C669" t="s">
        <v>45</v>
      </c>
      <c r="D669" t="s">
        <v>1603</v>
      </c>
      <c r="E669">
        <v>53</v>
      </c>
      <c r="F669" t="str">
        <f>IF(E669&gt;=90,"90-100",IF(E669&gt;=80,"80-90",IF(E669&gt;=70,"70-80",IF(E669&gt;=60,"60-70",IF(E669&gt;=50,"50-60",IF(E669&gt;=40,"40-50",IF(E669&gt;=30,"30-40","20-30")))))))</f>
        <v>50-60</v>
      </c>
      <c r="G669" t="s">
        <v>38</v>
      </c>
      <c r="H669" t="s">
        <v>1604</v>
      </c>
      <c r="I669" t="s">
        <v>1605</v>
      </c>
      <c r="J669" t="s">
        <v>45</v>
      </c>
      <c r="K669" t="s">
        <v>38</v>
      </c>
      <c r="L669" t="s">
        <v>1606</v>
      </c>
      <c r="M669" t="b">
        <v>1</v>
      </c>
      <c r="N669" t="s">
        <v>32</v>
      </c>
      <c r="O669" t="s">
        <v>4867</v>
      </c>
      <c r="P669" t="s">
        <v>131</v>
      </c>
      <c r="Q669">
        <v>117.24</v>
      </c>
      <c r="R669">
        <v>7.5</v>
      </c>
      <c r="S669" t="s">
        <v>44</v>
      </c>
      <c r="T669">
        <v>88.2</v>
      </c>
      <c r="U669" t="str">
        <f>IF(T669&gt;=100,"above 100",IF(T669&gt;=80,"80-100",IF(T669&gt;=60,"60-80",IF(T669&gt;=40,"40-60",IF(T669&gt;=20,"20-60","0-20")))))</f>
        <v>80-100</v>
      </c>
      <c r="V669">
        <v>101.8</v>
      </c>
      <c r="W669">
        <v>78.5</v>
      </c>
      <c r="X669">
        <v>9.6</v>
      </c>
      <c r="Y669">
        <v>36.6</v>
      </c>
      <c r="Z669">
        <v>328239523</v>
      </c>
      <c r="AA669">
        <v>37.090240000000001</v>
      </c>
      <c r="AB669">
        <v>-95.712890999999999</v>
      </c>
    </row>
    <row r="670" spans="1:28" hidden="1">
      <c r="A670">
        <v>659</v>
      </c>
      <c r="B670">
        <v>4200</v>
      </c>
      <c r="C670" t="s">
        <v>45</v>
      </c>
      <c r="D670" t="s">
        <v>1607</v>
      </c>
      <c r="E670">
        <v>55</v>
      </c>
      <c r="G670" t="s">
        <v>103</v>
      </c>
      <c r="H670" t="s">
        <v>176</v>
      </c>
      <c r="I670" t="s">
        <v>617</v>
      </c>
      <c r="J670" t="s">
        <v>45</v>
      </c>
      <c r="K670" t="s">
        <v>38</v>
      </c>
      <c r="M670" t="b">
        <v>1</v>
      </c>
      <c r="N670" t="s">
        <v>42</v>
      </c>
      <c r="O670" t="s">
        <v>33</v>
      </c>
      <c r="Q670">
        <v>125.08</v>
      </c>
      <c r="R670">
        <v>2.9</v>
      </c>
      <c r="S670" t="s">
        <v>106</v>
      </c>
      <c r="T670">
        <v>50.6</v>
      </c>
      <c r="V670">
        <v>100.2</v>
      </c>
      <c r="W670">
        <v>77</v>
      </c>
      <c r="X670">
        <v>9.4</v>
      </c>
      <c r="Y670">
        <v>59.2</v>
      </c>
      <c r="Z670">
        <v>1397715000</v>
      </c>
      <c r="AA670">
        <v>35.861660000000001</v>
      </c>
      <c r="AB670">
        <v>104.195397</v>
      </c>
    </row>
    <row r="671" spans="1:28" hidden="1">
      <c r="A671">
        <v>659</v>
      </c>
      <c r="B671">
        <v>4200</v>
      </c>
      <c r="C671" t="s">
        <v>54</v>
      </c>
      <c r="D671" t="s">
        <v>1608</v>
      </c>
      <c r="E671">
        <v>59</v>
      </c>
      <c r="G671" t="s">
        <v>103</v>
      </c>
      <c r="H671" t="s">
        <v>176</v>
      </c>
      <c r="I671" t="s">
        <v>231</v>
      </c>
      <c r="J671" t="s">
        <v>54</v>
      </c>
      <c r="K671" t="s">
        <v>103</v>
      </c>
      <c r="M671" t="b">
        <v>1</v>
      </c>
      <c r="N671" t="s">
        <v>42</v>
      </c>
      <c r="O671" t="s">
        <v>33</v>
      </c>
      <c r="Q671">
        <v>125.08</v>
      </c>
      <c r="R671">
        <v>2.9</v>
      </c>
      <c r="S671" t="s">
        <v>106</v>
      </c>
      <c r="T671">
        <v>50.6</v>
      </c>
      <c r="V671">
        <v>100.2</v>
      </c>
      <c r="W671">
        <v>77</v>
      </c>
      <c r="X671">
        <v>9.4</v>
      </c>
      <c r="Y671">
        <v>59.2</v>
      </c>
      <c r="Z671">
        <v>1397715000</v>
      </c>
      <c r="AA671">
        <v>35.861660000000001</v>
      </c>
      <c r="AB671">
        <v>104.195397</v>
      </c>
    </row>
    <row r="672" spans="1:28">
      <c r="A672">
        <v>659</v>
      </c>
      <c r="B672">
        <v>4200</v>
      </c>
      <c r="C672" t="s">
        <v>45</v>
      </c>
      <c r="D672" t="s">
        <v>1609</v>
      </c>
      <c r="E672">
        <v>68</v>
      </c>
      <c r="F672" t="str">
        <f>IF(E672&gt;=90,"90-100",IF(E672&gt;=80,"80-90",IF(E672&gt;=70,"70-80",IF(E672&gt;=60,"60-70",IF(E672&gt;=50,"50-60",IF(E672&gt;=40,"40-50",IF(E672&gt;=30,"30-40","20-30")))))))</f>
        <v>60-70</v>
      </c>
      <c r="G672" t="s">
        <v>38</v>
      </c>
      <c r="H672" t="s">
        <v>652</v>
      </c>
      <c r="I672" t="s">
        <v>699</v>
      </c>
      <c r="J672" t="s">
        <v>45</v>
      </c>
      <c r="K672" t="s">
        <v>38</v>
      </c>
      <c r="L672" t="s">
        <v>1273</v>
      </c>
      <c r="M672" t="b">
        <v>1</v>
      </c>
      <c r="N672" t="s">
        <v>42</v>
      </c>
      <c r="O672" t="s">
        <v>4867</v>
      </c>
      <c r="P672" t="s">
        <v>468</v>
      </c>
      <c r="Q672">
        <v>117.24</v>
      </c>
      <c r="R672">
        <v>7.5</v>
      </c>
      <c r="S672" t="s">
        <v>44</v>
      </c>
      <c r="T672">
        <v>88.2</v>
      </c>
      <c r="U672" t="str">
        <f>IF(T672&gt;=100,"above 100",IF(T672&gt;=80,"80-100",IF(T672&gt;=60,"60-80",IF(T672&gt;=40,"40-60",IF(T672&gt;=20,"20-60","0-20")))))</f>
        <v>80-100</v>
      </c>
      <c r="V672">
        <v>101.8</v>
      </c>
      <c r="W672">
        <v>78.5</v>
      </c>
      <c r="X672">
        <v>9.6</v>
      </c>
      <c r="Y672">
        <v>36.6</v>
      </c>
      <c r="Z672">
        <v>328239523</v>
      </c>
      <c r="AA672">
        <v>37.090240000000001</v>
      </c>
      <c r="AB672">
        <v>-95.712890999999999</v>
      </c>
    </row>
    <row r="673" spans="1:28" hidden="1">
      <c r="A673">
        <v>659</v>
      </c>
      <c r="B673">
        <v>4200</v>
      </c>
      <c r="C673" t="s">
        <v>308</v>
      </c>
      <c r="D673" t="s">
        <v>1610</v>
      </c>
      <c r="E673">
        <v>60</v>
      </c>
      <c r="G673" t="s">
        <v>38</v>
      </c>
      <c r="H673" t="s">
        <v>635</v>
      </c>
      <c r="I673" t="s">
        <v>1193</v>
      </c>
      <c r="J673" t="s">
        <v>308</v>
      </c>
      <c r="K673" t="s">
        <v>38</v>
      </c>
      <c r="M673" t="b">
        <v>0</v>
      </c>
      <c r="N673" t="s">
        <v>32</v>
      </c>
      <c r="O673" t="s">
        <v>88</v>
      </c>
      <c r="Q673">
        <v>117.24</v>
      </c>
      <c r="R673">
        <v>7.5</v>
      </c>
      <c r="S673" t="s">
        <v>44</v>
      </c>
      <c r="T673">
        <v>88.2</v>
      </c>
      <c r="V673">
        <v>101.8</v>
      </c>
      <c r="W673">
        <v>78.5</v>
      </c>
      <c r="X673">
        <v>9.6</v>
      </c>
      <c r="Y673">
        <v>36.6</v>
      </c>
      <c r="Z673">
        <v>328239523</v>
      </c>
      <c r="AA673">
        <v>37.090240000000001</v>
      </c>
      <c r="AB673">
        <v>-95.712890999999999</v>
      </c>
    </row>
    <row r="674" spans="1:28" hidden="1">
      <c r="A674">
        <v>659</v>
      </c>
      <c r="B674">
        <v>4200</v>
      </c>
      <c r="C674" t="s">
        <v>36</v>
      </c>
      <c r="D674" t="s">
        <v>1611</v>
      </c>
      <c r="E674">
        <v>73</v>
      </c>
      <c r="G674" t="s">
        <v>38</v>
      </c>
      <c r="H674" t="s">
        <v>1394</v>
      </c>
      <c r="I674" t="s">
        <v>1395</v>
      </c>
      <c r="J674" t="s">
        <v>36</v>
      </c>
      <c r="K674" t="s">
        <v>38</v>
      </c>
      <c r="M674" t="b">
        <v>0</v>
      </c>
      <c r="N674" t="s">
        <v>32</v>
      </c>
      <c r="O674" t="s">
        <v>33</v>
      </c>
      <c r="Q674">
        <v>117.24</v>
      </c>
      <c r="R674">
        <v>7.5</v>
      </c>
      <c r="S674" t="s">
        <v>44</v>
      </c>
      <c r="T674">
        <v>88.2</v>
      </c>
      <c r="V674">
        <v>101.8</v>
      </c>
      <c r="W674">
        <v>78.5</v>
      </c>
      <c r="X674">
        <v>9.6</v>
      </c>
      <c r="Y674">
        <v>36.6</v>
      </c>
      <c r="Z674">
        <v>328239523</v>
      </c>
      <c r="AA674">
        <v>37.090240000000001</v>
      </c>
      <c r="AB674">
        <v>-95.712890999999999</v>
      </c>
    </row>
    <row r="675" spans="1:28" hidden="1">
      <c r="A675">
        <v>659</v>
      </c>
      <c r="B675">
        <v>4200</v>
      </c>
      <c r="C675" t="s">
        <v>45</v>
      </c>
      <c r="D675" t="s">
        <v>1612</v>
      </c>
      <c r="E675">
        <v>58</v>
      </c>
      <c r="G675" t="s">
        <v>38</v>
      </c>
      <c r="H675" t="s">
        <v>635</v>
      </c>
      <c r="I675" t="s">
        <v>1613</v>
      </c>
      <c r="J675" t="s">
        <v>45</v>
      </c>
      <c r="K675" t="s">
        <v>38</v>
      </c>
      <c r="M675" t="b">
        <v>1</v>
      </c>
      <c r="N675" t="s">
        <v>42</v>
      </c>
      <c r="O675" t="s">
        <v>33</v>
      </c>
      <c r="Q675">
        <v>117.24</v>
      </c>
      <c r="R675">
        <v>7.5</v>
      </c>
      <c r="S675" t="s">
        <v>44</v>
      </c>
      <c r="T675">
        <v>88.2</v>
      </c>
      <c r="V675">
        <v>101.8</v>
      </c>
      <c r="W675">
        <v>78.5</v>
      </c>
      <c r="X675">
        <v>9.6</v>
      </c>
      <c r="Y675">
        <v>36.6</v>
      </c>
      <c r="Z675">
        <v>328239523</v>
      </c>
      <c r="AA675">
        <v>37.090240000000001</v>
      </c>
      <c r="AB675">
        <v>-95.712890999999999</v>
      </c>
    </row>
    <row r="676" spans="1:28" hidden="1">
      <c r="A676">
        <v>659</v>
      </c>
      <c r="B676">
        <v>4200</v>
      </c>
      <c r="C676" t="s">
        <v>101</v>
      </c>
      <c r="D676" t="s">
        <v>1614</v>
      </c>
      <c r="E676">
        <v>40</v>
      </c>
      <c r="G676" t="s">
        <v>38</v>
      </c>
      <c r="H676" t="s">
        <v>1615</v>
      </c>
      <c r="I676" t="s">
        <v>1616</v>
      </c>
      <c r="J676" t="s">
        <v>101</v>
      </c>
      <c r="K676" t="s">
        <v>38</v>
      </c>
      <c r="M676" t="b">
        <v>0</v>
      </c>
      <c r="N676" t="s">
        <v>419</v>
      </c>
      <c r="O676" t="s">
        <v>88</v>
      </c>
      <c r="Q676">
        <v>117.24</v>
      </c>
      <c r="R676">
        <v>7.5</v>
      </c>
      <c r="S676" t="s">
        <v>44</v>
      </c>
      <c r="T676">
        <v>88.2</v>
      </c>
      <c r="V676">
        <v>101.8</v>
      </c>
      <c r="W676">
        <v>78.5</v>
      </c>
      <c r="X676">
        <v>9.6</v>
      </c>
      <c r="Y676">
        <v>36.6</v>
      </c>
      <c r="Z676">
        <v>328239523</v>
      </c>
      <c r="AA676">
        <v>37.090240000000001</v>
      </c>
      <c r="AB676">
        <v>-95.712890999999999</v>
      </c>
    </row>
    <row r="677" spans="1:28" hidden="1">
      <c r="A677">
        <v>659</v>
      </c>
      <c r="B677">
        <v>4200</v>
      </c>
      <c r="C677" t="s">
        <v>26</v>
      </c>
      <c r="D677" t="s">
        <v>1617</v>
      </c>
      <c r="E677">
        <v>73</v>
      </c>
      <c r="G677" t="s">
        <v>252</v>
      </c>
      <c r="H677" t="s">
        <v>253</v>
      </c>
      <c r="I677" t="s">
        <v>410</v>
      </c>
      <c r="J677" t="s">
        <v>26</v>
      </c>
      <c r="K677" t="s">
        <v>252</v>
      </c>
      <c r="M677" t="b">
        <v>1</v>
      </c>
      <c r="N677" t="s">
        <v>32</v>
      </c>
      <c r="O677" t="s">
        <v>33</v>
      </c>
      <c r="Q677">
        <v>151.18</v>
      </c>
      <c r="R677">
        <v>3</v>
      </c>
      <c r="S677" t="s">
        <v>255</v>
      </c>
      <c r="T677">
        <v>36.299999999999997</v>
      </c>
      <c r="V677">
        <v>106.4</v>
      </c>
      <c r="W677">
        <v>71.5</v>
      </c>
      <c r="X677">
        <v>10.199999999999999</v>
      </c>
      <c r="Y677">
        <v>30.1</v>
      </c>
      <c r="Z677">
        <v>270203917</v>
      </c>
      <c r="AA677">
        <v>-0.78927499999999995</v>
      </c>
      <c r="AB677">
        <v>113.92132700000001</v>
      </c>
    </row>
    <row r="678" spans="1:28" hidden="1">
      <c r="A678">
        <v>659</v>
      </c>
      <c r="B678">
        <v>4200</v>
      </c>
      <c r="C678" t="s">
        <v>75</v>
      </c>
      <c r="D678" t="s">
        <v>1618</v>
      </c>
      <c r="E678">
        <v>71</v>
      </c>
      <c r="G678" t="s">
        <v>252</v>
      </c>
      <c r="H678" t="s">
        <v>253</v>
      </c>
      <c r="I678" t="s">
        <v>75</v>
      </c>
      <c r="J678" t="s">
        <v>75</v>
      </c>
      <c r="K678" t="s">
        <v>252</v>
      </c>
      <c r="M678" t="b">
        <v>1</v>
      </c>
      <c r="N678" t="s">
        <v>32</v>
      </c>
      <c r="O678" t="s">
        <v>33</v>
      </c>
      <c r="Q678">
        <v>151.18</v>
      </c>
      <c r="R678">
        <v>3</v>
      </c>
      <c r="S678" t="s">
        <v>255</v>
      </c>
      <c r="T678">
        <v>36.299999999999997</v>
      </c>
      <c r="V678">
        <v>106.4</v>
      </c>
      <c r="W678">
        <v>71.5</v>
      </c>
      <c r="X678">
        <v>10.199999999999999</v>
      </c>
      <c r="Y678">
        <v>30.1</v>
      </c>
      <c r="Z678">
        <v>270203917</v>
      </c>
      <c r="AA678">
        <v>-0.78927499999999995</v>
      </c>
      <c r="AB678">
        <v>113.92132700000001</v>
      </c>
    </row>
    <row r="679" spans="1:28">
      <c r="A679">
        <v>659</v>
      </c>
      <c r="B679">
        <v>4200</v>
      </c>
      <c r="C679" t="s">
        <v>54</v>
      </c>
      <c r="D679" t="s">
        <v>1619</v>
      </c>
      <c r="E679">
        <v>55</v>
      </c>
      <c r="F679" t="str">
        <f>IF(E679&gt;=90,"90-100",IF(E679&gt;=80,"80-90",IF(E679&gt;=70,"70-80",IF(E679&gt;=60,"60-70",IF(E679&gt;=50,"50-60",IF(E679&gt;=40,"40-50",IF(E679&gt;=30,"30-40","20-30")))))))</f>
        <v>50-60</v>
      </c>
      <c r="G679" t="s">
        <v>38</v>
      </c>
      <c r="H679" t="s">
        <v>635</v>
      </c>
      <c r="I679" t="s">
        <v>1620</v>
      </c>
      <c r="J679" t="s">
        <v>54</v>
      </c>
      <c r="K679" t="s">
        <v>38</v>
      </c>
      <c r="L679" t="s">
        <v>1621</v>
      </c>
      <c r="M679" t="b">
        <v>1</v>
      </c>
      <c r="N679" t="s">
        <v>42</v>
      </c>
      <c r="O679" t="s">
        <v>4867</v>
      </c>
      <c r="P679" t="s">
        <v>468</v>
      </c>
      <c r="Q679">
        <v>117.24</v>
      </c>
      <c r="R679">
        <v>7.5</v>
      </c>
      <c r="S679" t="s">
        <v>44</v>
      </c>
      <c r="T679">
        <v>88.2</v>
      </c>
      <c r="U679" t="str">
        <f>IF(T679&gt;=100,"above 100",IF(T679&gt;=80,"80-100",IF(T679&gt;=60,"60-80",IF(T679&gt;=40,"40-60",IF(T679&gt;=20,"20-60","0-20")))))</f>
        <v>80-100</v>
      </c>
      <c r="V679">
        <v>101.8</v>
      </c>
      <c r="W679">
        <v>78.5</v>
      </c>
      <c r="X679">
        <v>9.6</v>
      </c>
      <c r="Y679">
        <v>36.6</v>
      </c>
      <c r="Z679">
        <v>328239523</v>
      </c>
      <c r="AA679">
        <v>37.090240000000001</v>
      </c>
      <c r="AB679">
        <v>-95.712890999999999</v>
      </c>
    </row>
    <row r="680" spans="1:28" hidden="1">
      <c r="A680">
        <v>679</v>
      </c>
      <c r="B680">
        <v>4100</v>
      </c>
      <c r="C680" t="s">
        <v>101</v>
      </c>
      <c r="D680" t="s">
        <v>1622</v>
      </c>
      <c r="E680">
        <v>68</v>
      </c>
      <c r="G680" t="s">
        <v>389</v>
      </c>
      <c r="H680" t="s">
        <v>390</v>
      </c>
      <c r="I680" t="s">
        <v>880</v>
      </c>
      <c r="J680" t="s">
        <v>101</v>
      </c>
      <c r="K680" t="s">
        <v>389</v>
      </c>
      <c r="M680" t="b">
        <v>1</v>
      </c>
      <c r="N680" t="s">
        <v>42</v>
      </c>
      <c r="O680" t="s">
        <v>33</v>
      </c>
      <c r="Q680">
        <v>116.48</v>
      </c>
      <c r="R680">
        <v>2.8</v>
      </c>
      <c r="S680" t="s">
        <v>392</v>
      </c>
      <c r="T680">
        <v>64.099999999999994</v>
      </c>
      <c r="V680">
        <v>100.7</v>
      </c>
      <c r="W680">
        <v>79</v>
      </c>
      <c r="X680">
        <v>14.9</v>
      </c>
      <c r="Y680">
        <v>46.1</v>
      </c>
      <c r="Z680">
        <v>10669709</v>
      </c>
      <c r="AA680">
        <v>49.817492000000001</v>
      </c>
      <c r="AB680">
        <v>15.472962000000001</v>
      </c>
    </row>
    <row r="681" spans="1:28" hidden="1">
      <c r="A681">
        <v>679</v>
      </c>
      <c r="B681">
        <v>4100</v>
      </c>
      <c r="C681" t="s">
        <v>308</v>
      </c>
      <c r="D681" t="s">
        <v>1623</v>
      </c>
      <c r="E681">
        <v>83</v>
      </c>
      <c r="G681" t="s">
        <v>28</v>
      </c>
      <c r="H681" t="s">
        <v>29</v>
      </c>
      <c r="I681" t="s">
        <v>1624</v>
      </c>
      <c r="J681" t="s">
        <v>308</v>
      </c>
      <c r="K681" t="s">
        <v>28</v>
      </c>
      <c r="M681" t="b">
        <v>0</v>
      </c>
      <c r="N681" t="s">
        <v>32</v>
      </c>
      <c r="O681" t="s">
        <v>88</v>
      </c>
      <c r="Q681">
        <v>110.05</v>
      </c>
      <c r="R681">
        <v>1.1000000000000001</v>
      </c>
      <c r="S681" t="s">
        <v>35</v>
      </c>
      <c r="T681">
        <v>65.599999999999994</v>
      </c>
      <c r="V681">
        <v>102.5</v>
      </c>
      <c r="W681">
        <v>82.5</v>
      </c>
      <c r="X681">
        <v>24.2</v>
      </c>
      <c r="Y681">
        <v>60.7</v>
      </c>
      <c r="Z681">
        <v>67059887</v>
      </c>
      <c r="AA681">
        <v>46.227637999999999</v>
      </c>
      <c r="AB681">
        <v>2.213749</v>
      </c>
    </row>
    <row r="682" spans="1:28" hidden="1">
      <c r="A682">
        <v>679</v>
      </c>
      <c r="B682">
        <v>4100</v>
      </c>
      <c r="C682" t="s">
        <v>63</v>
      </c>
      <c r="D682" t="s">
        <v>1625</v>
      </c>
      <c r="E682">
        <v>83</v>
      </c>
      <c r="G682" t="s">
        <v>148</v>
      </c>
      <c r="H682" t="s">
        <v>1051</v>
      </c>
      <c r="I682" t="s">
        <v>1626</v>
      </c>
      <c r="J682" t="s">
        <v>63</v>
      </c>
      <c r="K682" t="s">
        <v>148</v>
      </c>
      <c r="M682" t="b">
        <v>0</v>
      </c>
      <c r="N682" t="s">
        <v>32</v>
      </c>
      <c r="O682" t="s">
        <v>33</v>
      </c>
      <c r="Q682">
        <v>112.85</v>
      </c>
      <c r="R682">
        <v>1.4</v>
      </c>
      <c r="S682" t="s">
        <v>151</v>
      </c>
      <c r="T682">
        <v>70.2</v>
      </c>
      <c r="V682">
        <v>104</v>
      </c>
      <c r="W682">
        <v>80.900000000000006</v>
      </c>
      <c r="X682">
        <v>11.5</v>
      </c>
      <c r="Y682">
        <v>48.8</v>
      </c>
      <c r="Z682">
        <v>83132799</v>
      </c>
      <c r="AA682">
        <v>51.165691000000002</v>
      </c>
      <c r="AB682">
        <v>10.451525999999999</v>
      </c>
    </row>
    <row r="683" spans="1:28" hidden="1">
      <c r="A683">
        <v>679</v>
      </c>
      <c r="B683">
        <v>4100</v>
      </c>
      <c r="C683" t="s">
        <v>101</v>
      </c>
      <c r="D683" t="s">
        <v>1627</v>
      </c>
      <c r="E683">
        <v>87</v>
      </c>
      <c r="G683" t="s">
        <v>38</v>
      </c>
      <c r="H683" t="s">
        <v>1628</v>
      </c>
      <c r="I683" t="s">
        <v>913</v>
      </c>
      <c r="J683" t="s">
        <v>101</v>
      </c>
      <c r="K683" t="s">
        <v>38</v>
      </c>
      <c r="M683" t="b">
        <v>1</v>
      </c>
      <c r="N683" t="s">
        <v>32</v>
      </c>
      <c r="O683" t="s">
        <v>33</v>
      </c>
      <c r="Q683">
        <v>117.24</v>
      </c>
      <c r="R683">
        <v>7.5</v>
      </c>
      <c r="S683" t="s">
        <v>44</v>
      </c>
      <c r="T683">
        <v>88.2</v>
      </c>
      <c r="V683">
        <v>101.8</v>
      </c>
      <c r="W683">
        <v>78.5</v>
      </c>
      <c r="X683">
        <v>9.6</v>
      </c>
      <c r="Y683">
        <v>36.6</v>
      </c>
      <c r="Z683">
        <v>328239523</v>
      </c>
      <c r="AA683">
        <v>37.090240000000001</v>
      </c>
      <c r="AB683">
        <v>-95.712890999999999</v>
      </c>
    </row>
    <row r="684" spans="1:28" hidden="1">
      <c r="A684">
        <v>679</v>
      </c>
      <c r="B684">
        <v>4100</v>
      </c>
      <c r="C684" t="s">
        <v>250</v>
      </c>
      <c r="D684" t="s">
        <v>1629</v>
      </c>
      <c r="E684">
        <v>74</v>
      </c>
      <c r="G684" t="s">
        <v>38</v>
      </c>
      <c r="H684" t="s">
        <v>65</v>
      </c>
      <c r="I684" t="s">
        <v>1183</v>
      </c>
      <c r="J684" t="s">
        <v>250</v>
      </c>
      <c r="K684" t="s">
        <v>38</v>
      </c>
      <c r="M684" t="b">
        <v>1</v>
      </c>
      <c r="N684" t="s">
        <v>32</v>
      </c>
      <c r="O684" t="s">
        <v>33</v>
      </c>
      <c r="Q684">
        <v>117.24</v>
      </c>
      <c r="R684">
        <v>7.5</v>
      </c>
      <c r="S684" t="s">
        <v>44</v>
      </c>
      <c r="T684">
        <v>88.2</v>
      </c>
      <c r="V684">
        <v>101.8</v>
      </c>
      <c r="W684">
        <v>78.5</v>
      </c>
      <c r="X684">
        <v>9.6</v>
      </c>
      <c r="Y684">
        <v>36.6</v>
      </c>
      <c r="Z684">
        <v>328239523</v>
      </c>
      <c r="AA684">
        <v>37.090240000000001</v>
      </c>
      <c r="AB684">
        <v>-95.712890999999999</v>
      </c>
    </row>
    <row r="685" spans="1:28" hidden="1">
      <c r="A685">
        <v>679</v>
      </c>
      <c r="B685">
        <v>4100</v>
      </c>
      <c r="C685" t="s">
        <v>45</v>
      </c>
      <c r="D685" t="s">
        <v>1630</v>
      </c>
      <c r="E685">
        <v>70</v>
      </c>
      <c r="G685" t="s">
        <v>38</v>
      </c>
      <c r="H685" t="s">
        <v>672</v>
      </c>
      <c r="I685" t="s">
        <v>572</v>
      </c>
      <c r="J685" t="s">
        <v>45</v>
      </c>
      <c r="K685" t="s">
        <v>38</v>
      </c>
      <c r="M685" t="b">
        <v>1</v>
      </c>
      <c r="N685" t="s">
        <v>42</v>
      </c>
      <c r="O685" t="s">
        <v>33</v>
      </c>
      <c r="Q685">
        <v>117.24</v>
      </c>
      <c r="R685">
        <v>7.5</v>
      </c>
      <c r="S685" t="s">
        <v>44</v>
      </c>
      <c r="T685">
        <v>88.2</v>
      </c>
      <c r="V685">
        <v>101.8</v>
      </c>
      <c r="W685">
        <v>78.5</v>
      </c>
      <c r="X685">
        <v>9.6</v>
      </c>
      <c r="Y685">
        <v>36.6</v>
      </c>
      <c r="Z685">
        <v>328239523</v>
      </c>
      <c r="AA685">
        <v>37.090240000000001</v>
      </c>
      <c r="AB685">
        <v>-95.712890999999999</v>
      </c>
    </row>
    <row r="686" spans="1:28" hidden="1">
      <c r="A686">
        <v>679</v>
      </c>
      <c r="B686">
        <v>4100</v>
      </c>
      <c r="C686" t="s">
        <v>101</v>
      </c>
      <c r="D686" t="s">
        <v>1631</v>
      </c>
      <c r="E686">
        <v>54</v>
      </c>
      <c r="G686" t="s">
        <v>164</v>
      </c>
      <c r="H686" t="s">
        <v>538</v>
      </c>
      <c r="I686" t="s">
        <v>1632</v>
      </c>
      <c r="J686" t="s">
        <v>101</v>
      </c>
      <c r="K686" t="s">
        <v>164</v>
      </c>
      <c r="M686" t="b">
        <v>0</v>
      </c>
      <c r="N686" t="s">
        <v>32</v>
      </c>
      <c r="O686" t="s">
        <v>33</v>
      </c>
      <c r="Q686">
        <v>110.62</v>
      </c>
      <c r="R686">
        <v>0.6</v>
      </c>
      <c r="S686" t="s">
        <v>539</v>
      </c>
      <c r="T686">
        <v>61.9</v>
      </c>
      <c r="V686">
        <v>101.9</v>
      </c>
      <c r="W686">
        <v>82.9</v>
      </c>
      <c r="X686">
        <v>24.3</v>
      </c>
      <c r="Y686">
        <v>59.1</v>
      </c>
      <c r="Z686">
        <v>60297396</v>
      </c>
      <c r="AA686">
        <v>41.871940000000002</v>
      </c>
      <c r="AB686">
        <v>12.56738</v>
      </c>
    </row>
    <row r="687" spans="1:28" hidden="1">
      <c r="A687">
        <v>679</v>
      </c>
      <c r="B687">
        <v>4100</v>
      </c>
      <c r="C687" t="s">
        <v>217</v>
      </c>
      <c r="D687" t="s">
        <v>1633</v>
      </c>
      <c r="E687">
        <v>66</v>
      </c>
      <c r="G687" t="s">
        <v>1634</v>
      </c>
      <c r="H687" t="s">
        <v>1635</v>
      </c>
      <c r="I687" t="s">
        <v>1636</v>
      </c>
      <c r="J687" t="s">
        <v>217</v>
      </c>
      <c r="K687" t="s">
        <v>1634</v>
      </c>
      <c r="M687" t="b">
        <v>0</v>
      </c>
      <c r="N687" t="s">
        <v>42</v>
      </c>
      <c r="O687" t="s">
        <v>33</v>
      </c>
      <c r="Q687">
        <v>112.33</v>
      </c>
      <c r="R687">
        <v>1</v>
      </c>
      <c r="S687" t="s">
        <v>1637</v>
      </c>
      <c r="T687">
        <v>88.2</v>
      </c>
      <c r="V687">
        <v>100.2</v>
      </c>
      <c r="W687">
        <v>81.7</v>
      </c>
      <c r="X687">
        <v>20.8</v>
      </c>
      <c r="Y687">
        <v>36.6</v>
      </c>
      <c r="Z687">
        <v>5520314</v>
      </c>
      <c r="AA687">
        <v>61.924109999999999</v>
      </c>
      <c r="AB687">
        <v>25.748151</v>
      </c>
    </row>
    <row r="688" spans="1:28" hidden="1">
      <c r="A688">
        <v>679</v>
      </c>
      <c r="B688">
        <v>4100</v>
      </c>
      <c r="C688" t="s">
        <v>217</v>
      </c>
      <c r="D688" t="s">
        <v>1638</v>
      </c>
      <c r="E688">
        <v>55</v>
      </c>
      <c r="G688" t="s">
        <v>103</v>
      </c>
      <c r="H688" t="s">
        <v>1639</v>
      </c>
      <c r="I688" t="s">
        <v>1640</v>
      </c>
      <c r="J688" t="s">
        <v>217</v>
      </c>
      <c r="K688" t="s">
        <v>103</v>
      </c>
      <c r="M688" t="b">
        <v>1</v>
      </c>
      <c r="N688" t="s">
        <v>32</v>
      </c>
      <c r="O688" t="s">
        <v>33</v>
      </c>
      <c r="Q688">
        <v>125.08</v>
      </c>
      <c r="R688">
        <v>2.9</v>
      </c>
      <c r="S688" t="s">
        <v>106</v>
      </c>
      <c r="T688">
        <v>50.6</v>
      </c>
      <c r="V688">
        <v>100.2</v>
      </c>
      <c r="W688">
        <v>77</v>
      </c>
      <c r="X688">
        <v>9.4</v>
      </c>
      <c r="Y688">
        <v>59.2</v>
      </c>
      <c r="Z688">
        <v>1397715000</v>
      </c>
      <c r="AA688">
        <v>35.861660000000001</v>
      </c>
      <c r="AB688">
        <v>104.195397</v>
      </c>
    </row>
    <row r="689" spans="1:28" hidden="1">
      <c r="A689">
        <v>679</v>
      </c>
      <c r="B689">
        <v>4100</v>
      </c>
      <c r="C689" t="s">
        <v>308</v>
      </c>
      <c r="D689" t="s">
        <v>1641</v>
      </c>
      <c r="E689">
        <v>83</v>
      </c>
      <c r="G689" t="s">
        <v>38</v>
      </c>
      <c r="H689" t="s">
        <v>1642</v>
      </c>
      <c r="I689" t="s">
        <v>1643</v>
      </c>
      <c r="J689" t="s">
        <v>308</v>
      </c>
      <c r="K689" t="s">
        <v>38</v>
      </c>
      <c r="M689" t="b">
        <v>0</v>
      </c>
      <c r="N689" t="s">
        <v>32</v>
      </c>
      <c r="O689" t="s">
        <v>33</v>
      </c>
      <c r="Q689">
        <v>117.24</v>
      </c>
      <c r="R689">
        <v>7.5</v>
      </c>
      <c r="S689" t="s">
        <v>44</v>
      </c>
      <c r="T689">
        <v>88.2</v>
      </c>
      <c r="V689">
        <v>101.8</v>
      </c>
      <c r="W689">
        <v>78.5</v>
      </c>
      <c r="X689">
        <v>9.6</v>
      </c>
      <c r="Y689">
        <v>36.6</v>
      </c>
      <c r="Z689">
        <v>328239523</v>
      </c>
      <c r="AA689">
        <v>37.090240000000001</v>
      </c>
      <c r="AB689">
        <v>-95.712890999999999</v>
      </c>
    </row>
    <row r="690" spans="1:28" hidden="1">
      <c r="A690">
        <v>679</v>
      </c>
      <c r="B690">
        <v>4100</v>
      </c>
      <c r="C690" t="s">
        <v>26</v>
      </c>
      <c r="D690" t="s">
        <v>1644</v>
      </c>
      <c r="E690">
        <v>56</v>
      </c>
      <c r="G690" t="s">
        <v>263</v>
      </c>
      <c r="H690" t="s">
        <v>274</v>
      </c>
      <c r="I690" t="s">
        <v>1645</v>
      </c>
      <c r="J690" t="s">
        <v>26</v>
      </c>
      <c r="K690" t="s">
        <v>263</v>
      </c>
      <c r="M690" t="b">
        <v>1</v>
      </c>
      <c r="N690" t="s">
        <v>32</v>
      </c>
      <c r="O690" t="s">
        <v>33</v>
      </c>
      <c r="Q690">
        <v>180.75</v>
      </c>
      <c r="R690">
        <v>4.5</v>
      </c>
      <c r="S690" t="s">
        <v>276</v>
      </c>
      <c r="T690">
        <v>81.900000000000006</v>
      </c>
      <c r="V690">
        <v>102.6</v>
      </c>
      <c r="W690">
        <v>72.7</v>
      </c>
      <c r="X690">
        <v>11.4</v>
      </c>
      <c r="Y690">
        <v>46.2</v>
      </c>
      <c r="Z690">
        <v>144373535</v>
      </c>
      <c r="AA690">
        <v>61.524009999999997</v>
      </c>
      <c r="AB690">
        <v>105.31875599999999</v>
      </c>
    </row>
    <row r="691" spans="1:28" hidden="1">
      <c r="A691">
        <v>679</v>
      </c>
      <c r="B691">
        <v>4100</v>
      </c>
      <c r="C691" t="s">
        <v>101</v>
      </c>
      <c r="D691" t="s">
        <v>1646</v>
      </c>
      <c r="E691">
        <v>73</v>
      </c>
      <c r="G691" t="s">
        <v>38</v>
      </c>
      <c r="H691" t="s">
        <v>1647</v>
      </c>
      <c r="I691" t="s">
        <v>1648</v>
      </c>
      <c r="J691" t="s">
        <v>101</v>
      </c>
      <c r="K691" t="s">
        <v>38</v>
      </c>
      <c r="M691" t="b">
        <v>0</v>
      </c>
      <c r="N691" t="s">
        <v>32</v>
      </c>
      <c r="O691" t="s">
        <v>88</v>
      </c>
      <c r="Q691">
        <v>117.24</v>
      </c>
      <c r="R691">
        <v>7.5</v>
      </c>
      <c r="S691" t="s">
        <v>44</v>
      </c>
      <c r="T691">
        <v>88.2</v>
      </c>
      <c r="V691">
        <v>101.8</v>
      </c>
      <c r="W691">
        <v>78.5</v>
      </c>
      <c r="X691">
        <v>9.6</v>
      </c>
      <c r="Y691">
        <v>36.6</v>
      </c>
      <c r="Z691">
        <v>328239523</v>
      </c>
      <c r="AA691">
        <v>37.090240000000001</v>
      </c>
      <c r="AB691">
        <v>-95.712890999999999</v>
      </c>
    </row>
    <row r="692" spans="1:28" hidden="1">
      <c r="A692">
        <v>679</v>
      </c>
      <c r="B692">
        <v>4100</v>
      </c>
      <c r="C692" t="s">
        <v>75</v>
      </c>
      <c r="D692" t="s">
        <v>1649</v>
      </c>
      <c r="E692">
        <v>61</v>
      </c>
      <c r="G692" t="s">
        <v>384</v>
      </c>
      <c r="H692" t="s">
        <v>1650</v>
      </c>
      <c r="I692" t="s">
        <v>1651</v>
      </c>
      <c r="J692" t="s">
        <v>75</v>
      </c>
      <c r="K692" t="s">
        <v>384</v>
      </c>
      <c r="M692" t="b">
        <v>0</v>
      </c>
      <c r="N692" t="s">
        <v>32</v>
      </c>
      <c r="O692" t="s">
        <v>33</v>
      </c>
      <c r="Q692">
        <v>167.4</v>
      </c>
      <c r="R692">
        <v>3.7</v>
      </c>
      <c r="S692" t="s">
        <v>563</v>
      </c>
      <c r="T692">
        <v>51.3</v>
      </c>
      <c r="V692">
        <v>115.4</v>
      </c>
      <c r="W692">
        <v>75.7</v>
      </c>
      <c r="X692">
        <v>14.2</v>
      </c>
      <c r="Y692">
        <v>65.099999999999994</v>
      </c>
      <c r="Z692">
        <v>212559417</v>
      </c>
      <c r="AA692">
        <v>-14.235004</v>
      </c>
      <c r="AB692">
        <v>-51.925280000000001</v>
      </c>
    </row>
    <row r="693" spans="1:28" hidden="1">
      <c r="A693">
        <v>679</v>
      </c>
      <c r="B693">
        <v>4100</v>
      </c>
      <c r="C693" t="s">
        <v>54</v>
      </c>
      <c r="D693" t="s">
        <v>1652</v>
      </c>
      <c r="E693">
        <v>66</v>
      </c>
      <c r="G693" t="s">
        <v>384</v>
      </c>
      <c r="H693" t="s">
        <v>1650</v>
      </c>
      <c r="I693" t="s">
        <v>1651</v>
      </c>
      <c r="J693" t="s">
        <v>54</v>
      </c>
      <c r="K693" t="s">
        <v>384</v>
      </c>
      <c r="M693" t="b">
        <v>0</v>
      </c>
      <c r="N693" t="s">
        <v>32</v>
      </c>
      <c r="O693" t="s">
        <v>33</v>
      </c>
      <c r="Q693">
        <v>167.4</v>
      </c>
      <c r="R693">
        <v>3.7</v>
      </c>
      <c r="S693" t="s">
        <v>563</v>
      </c>
      <c r="T693">
        <v>51.3</v>
      </c>
      <c r="V693">
        <v>115.4</v>
      </c>
      <c r="W693">
        <v>75.7</v>
      </c>
      <c r="X693">
        <v>14.2</v>
      </c>
      <c r="Y693">
        <v>65.099999999999994</v>
      </c>
      <c r="Z693">
        <v>212559417</v>
      </c>
      <c r="AA693">
        <v>-14.235004</v>
      </c>
      <c r="AB693">
        <v>-51.925280000000001</v>
      </c>
    </row>
    <row r="694" spans="1:28" hidden="1">
      <c r="A694">
        <v>679</v>
      </c>
      <c r="B694">
        <v>4100</v>
      </c>
      <c r="C694" t="s">
        <v>478</v>
      </c>
      <c r="D694" t="s">
        <v>1653</v>
      </c>
      <c r="E694">
        <v>76</v>
      </c>
      <c r="G694" t="s">
        <v>38</v>
      </c>
      <c r="H694" t="s">
        <v>1394</v>
      </c>
      <c r="I694" t="s">
        <v>1654</v>
      </c>
      <c r="J694" t="s">
        <v>478</v>
      </c>
      <c r="K694" t="s">
        <v>38</v>
      </c>
      <c r="M694" t="b">
        <v>1</v>
      </c>
      <c r="N694" t="s">
        <v>32</v>
      </c>
      <c r="O694" t="s">
        <v>33</v>
      </c>
      <c r="Q694">
        <v>117.24</v>
      </c>
      <c r="R694">
        <v>7.5</v>
      </c>
      <c r="S694" t="s">
        <v>44</v>
      </c>
      <c r="T694">
        <v>88.2</v>
      </c>
      <c r="V694">
        <v>101.8</v>
      </c>
      <c r="W694">
        <v>78.5</v>
      </c>
      <c r="X694">
        <v>9.6</v>
      </c>
      <c r="Y694">
        <v>36.6</v>
      </c>
      <c r="Z694">
        <v>328239523</v>
      </c>
      <c r="AA694">
        <v>37.090240000000001</v>
      </c>
      <c r="AB694">
        <v>-95.712890999999999</v>
      </c>
    </row>
    <row r="695" spans="1:28" hidden="1">
      <c r="A695">
        <v>679</v>
      </c>
      <c r="B695">
        <v>4100</v>
      </c>
      <c r="C695" t="s">
        <v>217</v>
      </c>
      <c r="D695" t="s">
        <v>1655</v>
      </c>
      <c r="E695">
        <v>63</v>
      </c>
      <c r="G695" t="s">
        <v>156</v>
      </c>
      <c r="H695" t="s">
        <v>1656</v>
      </c>
      <c r="I695" t="s">
        <v>1657</v>
      </c>
      <c r="J695" t="s">
        <v>217</v>
      </c>
      <c r="K695" t="s">
        <v>156</v>
      </c>
      <c r="M695" t="b">
        <v>1</v>
      </c>
      <c r="N695" t="s">
        <v>42</v>
      </c>
      <c r="O695" t="s">
        <v>33</v>
      </c>
      <c r="Q695">
        <v>99.55</v>
      </c>
      <c r="R695">
        <v>0.4</v>
      </c>
      <c r="S695" t="s">
        <v>159</v>
      </c>
      <c r="T695">
        <v>59.6</v>
      </c>
      <c r="V695">
        <v>105.2</v>
      </c>
      <c r="W695">
        <v>83.6</v>
      </c>
      <c r="X695">
        <v>10.1</v>
      </c>
      <c r="Y695">
        <v>28.8</v>
      </c>
      <c r="Z695">
        <v>8574832</v>
      </c>
      <c r="AA695">
        <v>46.818187999999999</v>
      </c>
      <c r="AB695">
        <v>8.2275120000000008</v>
      </c>
    </row>
    <row r="696" spans="1:28" hidden="1">
      <c r="A696">
        <v>679</v>
      </c>
      <c r="B696">
        <v>4100</v>
      </c>
      <c r="C696" t="s">
        <v>221</v>
      </c>
      <c r="D696" t="s">
        <v>1658</v>
      </c>
      <c r="E696">
        <v>88</v>
      </c>
      <c r="G696" t="s">
        <v>38</v>
      </c>
      <c r="H696" t="s">
        <v>675</v>
      </c>
      <c r="I696" t="s">
        <v>223</v>
      </c>
      <c r="J696" t="s">
        <v>221</v>
      </c>
      <c r="K696" t="s">
        <v>38</v>
      </c>
      <c r="M696" t="b">
        <v>1</v>
      </c>
      <c r="N696" t="s">
        <v>32</v>
      </c>
      <c r="O696" t="s">
        <v>33</v>
      </c>
      <c r="Q696">
        <v>117.24</v>
      </c>
      <c r="R696">
        <v>7.5</v>
      </c>
      <c r="S696" t="s">
        <v>44</v>
      </c>
      <c r="T696">
        <v>88.2</v>
      </c>
      <c r="V696">
        <v>101.8</v>
      </c>
      <c r="W696">
        <v>78.5</v>
      </c>
      <c r="X696">
        <v>9.6</v>
      </c>
      <c r="Y696">
        <v>36.6</v>
      </c>
      <c r="Z696">
        <v>328239523</v>
      </c>
      <c r="AA696">
        <v>37.090240000000001</v>
      </c>
      <c r="AB696">
        <v>-95.712890999999999</v>
      </c>
    </row>
    <row r="697" spans="1:28" hidden="1">
      <c r="A697">
        <v>679</v>
      </c>
      <c r="B697">
        <v>4100</v>
      </c>
      <c r="C697" t="s">
        <v>75</v>
      </c>
      <c r="D697" t="s">
        <v>1659</v>
      </c>
      <c r="E697">
        <v>82</v>
      </c>
      <c r="G697" t="s">
        <v>238</v>
      </c>
      <c r="H697" t="s">
        <v>239</v>
      </c>
      <c r="I697" t="s">
        <v>1660</v>
      </c>
      <c r="J697" t="s">
        <v>75</v>
      </c>
      <c r="K697" t="s">
        <v>238</v>
      </c>
      <c r="M697" t="b">
        <v>1</v>
      </c>
      <c r="N697" t="s">
        <v>42</v>
      </c>
      <c r="O697" t="s">
        <v>33</v>
      </c>
      <c r="Q697">
        <v>119.8</v>
      </c>
      <c r="R697">
        <v>1.6</v>
      </c>
      <c r="S697" t="s">
        <v>243</v>
      </c>
      <c r="T697">
        <v>113.1</v>
      </c>
      <c r="V697">
        <v>100.3</v>
      </c>
      <c r="W697">
        <v>82.7</v>
      </c>
      <c r="X697">
        <v>23</v>
      </c>
      <c r="Y697">
        <v>47.4</v>
      </c>
      <c r="Z697">
        <v>25766605</v>
      </c>
      <c r="AA697">
        <v>-25.274398000000001</v>
      </c>
      <c r="AB697">
        <v>133.775136</v>
      </c>
    </row>
    <row r="698" spans="1:28" hidden="1">
      <c r="A698">
        <v>679</v>
      </c>
      <c r="B698">
        <v>4100</v>
      </c>
      <c r="C698" t="s">
        <v>45</v>
      </c>
      <c r="D698" t="s">
        <v>1661</v>
      </c>
      <c r="E698">
        <v>60</v>
      </c>
      <c r="G698" t="s">
        <v>38</v>
      </c>
      <c r="H698" t="s">
        <v>1662</v>
      </c>
      <c r="I698" t="s">
        <v>1663</v>
      </c>
      <c r="J698" t="s">
        <v>45</v>
      </c>
      <c r="K698" t="s">
        <v>38</v>
      </c>
      <c r="M698" t="b">
        <v>1</v>
      </c>
      <c r="N698" t="s">
        <v>42</v>
      </c>
      <c r="O698" t="s">
        <v>33</v>
      </c>
      <c r="Q698">
        <v>117.24</v>
      </c>
      <c r="R698">
        <v>7.5</v>
      </c>
      <c r="S698" t="s">
        <v>44</v>
      </c>
      <c r="T698">
        <v>88.2</v>
      </c>
      <c r="V698">
        <v>101.8</v>
      </c>
      <c r="W698">
        <v>78.5</v>
      </c>
      <c r="X698">
        <v>9.6</v>
      </c>
      <c r="Y698">
        <v>36.6</v>
      </c>
      <c r="Z698">
        <v>328239523</v>
      </c>
      <c r="AA698">
        <v>37.090240000000001</v>
      </c>
      <c r="AB698">
        <v>-95.712890999999999</v>
      </c>
    </row>
    <row r="699" spans="1:28" hidden="1">
      <c r="A699">
        <v>679</v>
      </c>
      <c r="B699">
        <v>4100</v>
      </c>
      <c r="C699" t="s">
        <v>288</v>
      </c>
      <c r="D699" t="s">
        <v>1664</v>
      </c>
      <c r="E699">
        <v>57</v>
      </c>
      <c r="G699" t="s">
        <v>103</v>
      </c>
      <c r="H699" t="s">
        <v>143</v>
      </c>
      <c r="I699" t="s">
        <v>1198</v>
      </c>
      <c r="J699" t="s">
        <v>288</v>
      </c>
      <c r="K699" t="s">
        <v>103</v>
      </c>
      <c r="M699" t="b">
        <v>1</v>
      </c>
      <c r="N699" t="s">
        <v>42</v>
      </c>
      <c r="O699" t="s">
        <v>33</v>
      </c>
      <c r="Q699">
        <v>125.08</v>
      </c>
      <c r="R699">
        <v>2.9</v>
      </c>
      <c r="S699" t="s">
        <v>106</v>
      </c>
      <c r="T699">
        <v>50.6</v>
      </c>
      <c r="V699">
        <v>100.2</v>
      </c>
      <c r="W699">
        <v>77</v>
      </c>
      <c r="X699">
        <v>9.4</v>
      </c>
      <c r="Y699">
        <v>59.2</v>
      </c>
      <c r="Z699">
        <v>1397715000</v>
      </c>
      <c r="AA699">
        <v>35.861660000000001</v>
      </c>
      <c r="AB699">
        <v>104.195397</v>
      </c>
    </row>
    <row r="700" spans="1:28" hidden="1">
      <c r="A700">
        <v>699</v>
      </c>
      <c r="B700">
        <v>4000</v>
      </c>
      <c r="C700" t="s">
        <v>250</v>
      </c>
      <c r="D700" t="s">
        <v>1665</v>
      </c>
      <c r="E700">
        <v>80</v>
      </c>
      <c r="G700" t="s">
        <v>38</v>
      </c>
      <c r="H700" t="s">
        <v>123</v>
      </c>
      <c r="I700" t="s">
        <v>1337</v>
      </c>
      <c r="J700" t="s">
        <v>250</v>
      </c>
      <c r="K700" t="s">
        <v>38</v>
      </c>
      <c r="M700" t="b">
        <v>0</v>
      </c>
      <c r="N700" t="s">
        <v>32</v>
      </c>
      <c r="O700" t="s">
        <v>33</v>
      </c>
      <c r="Q700">
        <v>117.24</v>
      </c>
      <c r="R700">
        <v>7.5</v>
      </c>
      <c r="S700" t="s">
        <v>44</v>
      </c>
      <c r="T700">
        <v>88.2</v>
      </c>
      <c r="V700">
        <v>101.8</v>
      </c>
      <c r="W700">
        <v>78.5</v>
      </c>
      <c r="X700">
        <v>9.6</v>
      </c>
      <c r="Y700">
        <v>36.6</v>
      </c>
      <c r="Z700">
        <v>328239523</v>
      </c>
      <c r="AA700">
        <v>37.090240000000001</v>
      </c>
      <c r="AB700">
        <v>-95.712890999999999</v>
      </c>
    </row>
    <row r="701" spans="1:28" hidden="1">
      <c r="A701">
        <v>699</v>
      </c>
      <c r="B701">
        <v>4000</v>
      </c>
      <c r="C701" t="s">
        <v>45</v>
      </c>
      <c r="D701" t="s">
        <v>1666</v>
      </c>
      <c r="E701">
        <v>48</v>
      </c>
      <c r="G701" t="s">
        <v>38</v>
      </c>
      <c r="H701" t="s">
        <v>739</v>
      </c>
      <c r="I701" t="s">
        <v>1667</v>
      </c>
      <c r="J701" t="s">
        <v>45</v>
      </c>
      <c r="K701" t="s">
        <v>38</v>
      </c>
      <c r="M701" t="b">
        <v>1</v>
      </c>
      <c r="N701" t="s">
        <v>42</v>
      </c>
      <c r="O701" t="s">
        <v>33</v>
      </c>
      <c r="Q701">
        <v>117.24</v>
      </c>
      <c r="R701">
        <v>7.5</v>
      </c>
      <c r="S701" t="s">
        <v>44</v>
      </c>
      <c r="T701">
        <v>88.2</v>
      </c>
      <c r="V701">
        <v>101.8</v>
      </c>
      <c r="W701">
        <v>78.5</v>
      </c>
      <c r="X701">
        <v>9.6</v>
      </c>
      <c r="Y701">
        <v>36.6</v>
      </c>
      <c r="Z701">
        <v>328239523</v>
      </c>
      <c r="AA701">
        <v>37.090240000000001</v>
      </c>
      <c r="AB701">
        <v>-95.712890999999999</v>
      </c>
    </row>
    <row r="702" spans="1:28" hidden="1">
      <c r="A702">
        <v>699</v>
      </c>
      <c r="B702">
        <v>4000</v>
      </c>
      <c r="C702" t="s">
        <v>101</v>
      </c>
      <c r="D702" t="s">
        <v>1668</v>
      </c>
      <c r="E702">
        <v>75</v>
      </c>
      <c r="G702" t="s">
        <v>38</v>
      </c>
      <c r="I702" t="s">
        <v>1669</v>
      </c>
      <c r="J702" t="s">
        <v>101</v>
      </c>
      <c r="K702" t="s">
        <v>38</v>
      </c>
      <c r="M702" t="b">
        <v>0</v>
      </c>
      <c r="N702" t="s">
        <v>192</v>
      </c>
      <c r="O702" t="s">
        <v>88</v>
      </c>
      <c r="Q702">
        <v>117.24</v>
      </c>
      <c r="R702">
        <v>7.5</v>
      </c>
      <c r="S702" t="s">
        <v>44</v>
      </c>
      <c r="T702">
        <v>88.2</v>
      </c>
      <c r="V702">
        <v>101.8</v>
      </c>
      <c r="W702">
        <v>78.5</v>
      </c>
      <c r="X702">
        <v>9.6</v>
      </c>
      <c r="Y702">
        <v>36.6</v>
      </c>
      <c r="Z702">
        <v>328239523</v>
      </c>
      <c r="AA702">
        <v>37.090240000000001</v>
      </c>
      <c r="AB702">
        <v>-95.712890999999999</v>
      </c>
    </row>
    <row r="703" spans="1:28" hidden="1">
      <c r="A703">
        <v>699</v>
      </c>
      <c r="B703">
        <v>4000</v>
      </c>
      <c r="C703" t="s">
        <v>75</v>
      </c>
      <c r="D703" t="s">
        <v>1670</v>
      </c>
      <c r="E703">
        <v>56</v>
      </c>
      <c r="G703" t="s">
        <v>103</v>
      </c>
      <c r="H703" t="s">
        <v>215</v>
      </c>
      <c r="I703" t="s">
        <v>1671</v>
      </c>
      <c r="J703" t="s">
        <v>75</v>
      </c>
      <c r="K703" t="s">
        <v>103</v>
      </c>
      <c r="M703" t="b">
        <v>1</v>
      </c>
      <c r="N703" t="s">
        <v>42</v>
      </c>
      <c r="O703" t="s">
        <v>33</v>
      </c>
      <c r="Q703">
        <v>125.08</v>
      </c>
      <c r="R703">
        <v>2.9</v>
      </c>
      <c r="S703" t="s">
        <v>106</v>
      </c>
      <c r="T703">
        <v>50.6</v>
      </c>
      <c r="V703">
        <v>100.2</v>
      </c>
      <c r="W703">
        <v>77</v>
      </c>
      <c r="X703">
        <v>9.4</v>
      </c>
      <c r="Y703">
        <v>59.2</v>
      </c>
      <c r="Z703">
        <v>1397715000</v>
      </c>
      <c r="AA703">
        <v>35.861660000000001</v>
      </c>
      <c r="AB703">
        <v>104.195397</v>
      </c>
    </row>
    <row r="704" spans="1:28" hidden="1">
      <c r="A704">
        <v>699</v>
      </c>
      <c r="B704">
        <v>4000</v>
      </c>
      <c r="C704" t="s">
        <v>217</v>
      </c>
      <c r="D704" t="s">
        <v>1672</v>
      </c>
      <c r="E704">
        <v>77</v>
      </c>
      <c r="G704" t="s">
        <v>77</v>
      </c>
      <c r="H704" t="s">
        <v>248</v>
      </c>
      <c r="I704" t="s">
        <v>1673</v>
      </c>
      <c r="J704" t="s">
        <v>217</v>
      </c>
      <c r="K704" t="s">
        <v>77</v>
      </c>
      <c r="M704" t="b">
        <v>0</v>
      </c>
      <c r="N704" t="s">
        <v>32</v>
      </c>
      <c r="O704" t="s">
        <v>88</v>
      </c>
      <c r="Q704">
        <v>180.44</v>
      </c>
      <c r="R704">
        <v>7.7</v>
      </c>
      <c r="S704" t="s">
        <v>81</v>
      </c>
      <c r="T704">
        <v>28.1</v>
      </c>
      <c r="V704">
        <v>113</v>
      </c>
      <c r="W704">
        <v>69.400000000000006</v>
      </c>
      <c r="X704">
        <v>11.2</v>
      </c>
      <c r="Y704">
        <v>49.7</v>
      </c>
      <c r="Z704">
        <v>1366417754</v>
      </c>
      <c r="AA704">
        <v>20.593684</v>
      </c>
      <c r="AB704">
        <v>78.962879999999998</v>
      </c>
    </row>
    <row r="705" spans="1:28" hidden="1">
      <c r="A705">
        <v>699</v>
      </c>
      <c r="B705">
        <v>4000</v>
      </c>
      <c r="C705" t="s">
        <v>478</v>
      </c>
      <c r="D705" t="s">
        <v>1674</v>
      </c>
      <c r="E705">
        <v>73</v>
      </c>
      <c r="G705" t="s">
        <v>38</v>
      </c>
      <c r="H705" t="s">
        <v>1017</v>
      </c>
      <c r="I705" t="s">
        <v>478</v>
      </c>
      <c r="J705" t="s">
        <v>478</v>
      </c>
      <c r="K705" t="s">
        <v>38</v>
      </c>
      <c r="M705" t="b">
        <v>1</v>
      </c>
      <c r="N705" t="s">
        <v>32</v>
      </c>
      <c r="O705" t="s">
        <v>33</v>
      </c>
      <c r="Q705">
        <v>117.24</v>
      </c>
      <c r="R705">
        <v>7.5</v>
      </c>
      <c r="S705" t="s">
        <v>44</v>
      </c>
      <c r="T705">
        <v>88.2</v>
      </c>
      <c r="V705">
        <v>101.8</v>
      </c>
      <c r="W705">
        <v>78.5</v>
      </c>
      <c r="X705">
        <v>9.6</v>
      </c>
      <c r="Y705">
        <v>36.6</v>
      </c>
      <c r="Z705">
        <v>328239523</v>
      </c>
      <c r="AA705">
        <v>37.090240000000001</v>
      </c>
      <c r="AB705">
        <v>-95.712890999999999</v>
      </c>
    </row>
    <row r="706" spans="1:28">
      <c r="A706">
        <v>699</v>
      </c>
      <c r="B706">
        <v>4000</v>
      </c>
      <c r="C706" t="s">
        <v>45</v>
      </c>
      <c r="D706" t="s">
        <v>1675</v>
      </c>
      <c r="E706">
        <v>46</v>
      </c>
      <c r="F706" t="str">
        <f>IF(E706&gt;=90,"90-100",IF(E706&gt;=80,"80-90",IF(E706&gt;=70,"70-80",IF(E706&gt;=60,"60-70",IF(E706&gt;=50,"50-60",IF(E706&gt;=40,"40-50",IF(E706&gt;=30,"30-40","20-30")))))))</f>
        <v>40-50</v>
      </c>
      <c r="G706" t="s">
        <v>38</v>
      </c>
      <c r="H706" t="s">
        <v>635</v>
      </c>
      <c r="I706" t="s">
        <v>1676</v>
      </c>
      <c r="J706" t="s">
        <v>45</v>
      </c>
      <c r="K706" t="s">
        <v>38</v>
      </c>
      <c r="L706" t="s">
        <v>1677</v>
      </c>
      <c r="M706" t="b">
        <v>1</v>
      </c>
      <c r="N706" t="s">
        <v>32</v>
      </c>
      <c r="O706" t="s">
        <v>4867</v>
      </c>
      <c r="P706" t="s">
        <v>110</v>
      </c>
      <c r="Q706">
        <v>117.24</v>
      </c>
      <c r="R706">
        <v>7.5</v>
      </c>
      <c r="S706" t="s">
        <v>44</v>
      </c>
      <c r="T706">
        <v>88.2</v>
      </c>
      <c r="U706" t="str">
        <f>IF(T706&gt;=100,"above 100",IF(T706&gt;=80,"80-100",IF(T706&gt;=60,"60-80",IF(T706&gt;=40,"40-60",IF(T706&gt;=20,"20-60","0-20")))))</f>
        <v>80-100</v>
      </c>
      <c r="V706">
        <v>101.8</v>
      </c>
      <c r="W706">
        <v>78.5</v>
      </c>
      <c r="X706">
        <v>9.6</v>
      </c>
      <c r="Y706">
        <v>36.6</v>
      </c>
      <c r="Z706">
        <v>328239523</v>
      </c>
      <c r="AA706">
        <v>37.090240000000001</v>
      </c>
      <c r="AB706">
        <v>-95.712890999999999</v>
      </c>
    </row>
    <row r="707" spans="1:28" hidden="1">
      <c r="A707">
        <v>699</v>
      </c>
      <c r="B707">
        <v>4000</v>
      </c>
      <c r="C707" t="s">
        <v>217</v>
      </c>
      <c r="D707" t="s">
        <v>1678</v>
      </c>
      <c r="E707">
        <v>61</v>
      </c>
      <c r="G707" t="s">
        <v>512</v>
      </c>
      <c r="H707" t="s">
        <v>1679</v>
      </c>
      <c r="I707" t="s">
        <v>1680</v>
      </c>
      <c r="J707" t="s">
        <v>217</v>
      </c>
      <c r="K707" t="s">
        <v>512</v>
      </c>
      <c r="M707" t="b">
        <v>1</v>
      </c>
      <c r="N707" t="s">
        <v>42</v>
      </c>
      <c r="O707" t="s">
        <v>33</v>
      </c>
      <c r="Q707">
        <v>121.46</v>
      </c>
      <c r="R707">
        <v>0.7</v>
      </c>
      <c r="S707" t="s">
        <v>592</v>
      </c>
      <c r="T707">
        <v>45.1</v>
      </c>
      <c r="V707">
        <v>105.3</v>
      </c>
      <c r="W707">
        <v>76</v>
      </c>
      <c r="X707">
        <v>12</v>
      </c>
      <c r="Y707">
        <v>38.700000000000003</v>
      </c>
      <c r="Z707">
        <v>32447385</v>
      </c>
      <c r="AA707">
        <v>4.2104840000000001</v>
      </c>
      <c r="AB707">
        <v>101.97576599999999</v>
      </c>
    </row>
    <row r="708" spans="1:28" hidden="1">
      <c r="A708">
        <v>699</v>
      </c>
      <c r="B708">
        <v>4000</v>
      </c>
      <c r="C708" t="s">
        <v>45</v>
      </c>
      <c r="D708" t="s">
        <v>1681</v>
      </c>
      <c r="E708">
        <v>51</v>
      </c>
      <c r="G708" t="s">
        <v>38</v>
      </c>
      <c r="H708" t="s">
        <v>739</v>
      </c>
      <c r="I708" t="s">
        <v>1667</v>
      </c>
      <c r="J708" t="s">
        <v>45</v>
      </c>
      <c r="K708" t="s">
        <v>38</v>
      </c>
      <c r="M708" t="b">
        <v>1</v>
      </c>
      <c r="N708" t="s">
        <v>42</v>
      </c>
      <c r="O708" t="s">
        <v>33</v>
      </c>
      <c r="Q708">
        <v>117.24</v>
      </c>
      <c r="R708">
        <v>7.5</v>
      </c>
      <c r="S708" t="s">
        <v>44</v>
      </c>
      <c r="T708">
        <v>88.2</v>
      </c>
      <c r="V708">
        <v>101.8</v>
      </c>
      <c r="W708">
        <v>78.5</v>
      </c>
      <c r="X708">
        <v>9.6</v>
      </c>
      <c r="Y708">
        <v>36.6</v>
      </c>
      <c r="Z708">
        <v>328239523</v>
      </c>
      <c r="AA708">
        <v>37.090240000000001</v>
      </c>
      <c r="AB708">
        <v>-95.712890999999999</v>
      </c>
    </row>
    <row r="709" spans="1:28" hidden="1">
      <c r="A709">
        <v>699</v>
      </c>
      <c r="B709">
        <v>4000</v>
      </c>
      <c r="C709" t="s">
        <v>217</v>
      </c>
      <c r="D709" t="s">
        <v>1682</v>
      </c>
      <c r="E709">
        <v>65</v>
      </c>
      <c r="G709" t="s">
        <v>103</v>
      </c>
      <c r="H709" t="s">
        <v>1683</v>
      </c>
      <c r="I709" t="s">
        <v>1684</v>
      </c>
      <c r="J709" t="s">
        <v>217</v>
      </c>
      <c r="K709" t="s">
        <v>38</v>
      </c>
      <c r="M709" t="b">
        <v>1</v>
      </c>
      <c r="N709" t="s">
        <v>42</v>
      </c>
      <c r="O709" t="s">
        <v>33</v>
      </c>
      <c r="Q709">
        <v>125.08</v>
      </c>
      <c r="R709">
        <v>2.9</v>
      </c>
      <c r="S709" t="s">
        <v>106</v>
      </c>
      <c r="T709">
        <v>50.6</v>
      </c>
      <c r="V709">
        <v>100.2</v>
      </c>
      <c r="W709">
        <v>77</v>
      </c>
      <c r="X709">
        <v>9.4</v>
      </c>
      <c r="Y709">
        <v>59.2</v>
      </c>
      <c r="Z709">
        <v>1397715000</v>
      </c>
      <c r="AA709">
        <v>35.861660000000001</v>
      </c>
      <c r="AB709">
        <v>104.195397</v>
      </c>
    </row>
    <row r="710" spans="1:28" hidden="1">
      <c r="A710">
        <v>699</v>
      </c>
      <c r="B710">
        <v>4000</v>
      </c>
      <c r="C710" t="s">
        <v>45</v>
      </c>
      <c r="D710" t="s">
        <v>1685</v>
      </c>
      <c r="E710">
        <v>42</v>
      </c>
      <c r="G710" t="s">
        <v>127</v>
      </c>
      <c r="H710" t="s">
        <v>1686</v>
      </c>
      <c r="I710" t="s">
        <v>216</v>
      </c>
      <c r="J710" t="s">
        <v>45</v>
      </c>
      <c r="K710" t="s">
        <v>127</v>
      </c>
      <c r="M710" t="b">
        <v>1</v>
      </c>
      <c r="N710" t="s">
        <v>42</v>
      </c>
      <c r="O710" t="s">
        <v>33</v>
      </c>
      <c r="Q710">
        <v>116.76</v>
      </c>
      <c r="R710">
        <v>1.9</v>
      </c>
      <c r="S710" t="s">
        <v>132</v>
      </c>
      <c r="T710">
        <v>68.900000000000006</v>
      </c>
      <c r="V710">
        <v>100.9</v>
      </c>
      <c r="W710">
        <v>81.900000000000006</v>
      </c>
      <c r="X710">
        <v>12.8</v>
      </c>
      <c r="Y710">
        <v>24.5</v>
      </c>
      <c r="Z710">
        <v>36991981</v>
      </c>
      <c r="AA710">
        <v>56.130366000000002</v>
      </c>
      <c r="AB710">
        <v>-106.346771</v>
      </c>
    </row>
    <row r="711" spans="1:28" hidden="1">
      <c r="A711">
        <v>699</v>
      </c>
      <c r="B711">
        <v>4000</v>
      </c>
      <c r="C711" t="s">
        <v>36</v>
      </c>
      <c r="D711" t="s">
        <v>1687</v>
      </c>
      <c r="E711">
        <v>79</v>
      </c>
      <c r="G711" t="s">
        <v>38</v>
      </c>
      <c r="H711" t="s">
        <v>1688</v>
      </c>
      <c r="I711" t="s">
        <v>1689</v>
      </c>
      <c r="J711" t="s">
        <v>36</v>
      </c>
      <c r="K711" t="s">
        <v>38</v>
      </c>
      <c r="M711" t="b">
        <v>1</v>
      </c>
      <c r="N711" t="s">
        <v>32</v>
      </c>
      <c r="O711" t="s">
        <v>88</v>
      </c>
      <c r="Q711">
        <v>117.24</v>
      </c>
      <c r="R711">
        <v>7.5</v>
      </c>
      <c r="S711" t="s">
        <v>44</v>
      </c>
      <c r="T711">
        <v>88.2</v>
      </c>
      <c r="V711">
        <v>101.8</v>
      </c>
      <c r="W711">
        <v>78.5</v>
      </c>
      <c r="X711">
        <v>9.6</v>
      </c>
      <c r="Y711">
        <v>36.6</v>
      </c>
      <c r="Z711">
        <v>328239523</v>
      </c>
      <c r="AA711">
        <v>37.090240000000001</v>
      </c>
      <c r="AB711">
        <v>-95.712890999999999</v>
      </c>
    </row>
    <row r="712" spans="1:28" hidden="1">
      <c r="A712">
        <v>699</v>
      </c>
      <c r="B712">
        <v>4000</v>
      </c>
      <c r="C712" t="s">
        <v>68</v>
      </c>
      <c r="D712" t="s">
        <v>1690</v>
      </c>
      <c r="E712">
        <v>63</v>
      </c>
      <c r="G712" t="s">
        <v>77</v>
      </c>
      <c r="H712" t="s">
        <v>248</v>
      </c>
      <c r="I712" t="s">
        <v>68</v>
      </c>
      <c r="J712" t="s">
        <v>68</v>
      </c>
      <c r="K712" t="s">
        <v>77</v>
      </c>
      <c r="M712" t="b">
        <v>0</v>
      </c>
      <c r="N712" t="s">
        <v>212</v>
      </c>
      <c r="O712" t="s">
        <v>33</v>
      </c>
      <c r="Q712">
        <v>180.44</v>
      </c>
      <c r="R712">
        <v>7.7</v>
      </c>
      <c r="S712" t="s">
        <v>81</v>
      </c>
      <c r="T712">
        <v>28.1</v>
      </c>
      <c r="V712">
        <v>113</v>
      </c>
      <c r="W712">
        <v>69.400000000000006</v>
      </c>
      <c r="X712">
        <v>11.2</v>
      </c>
      <c r="Y712">
        <v>49.7</v>
      </c>
      <c r="Z712">
        <v>1366417754</v>
      </c>
      <c r="AA712">
        <v>20.593684</v>
      </c>
      <c r="AB712">
        <v>78.962879999999998</v>
      </c>
    </row>
    <row r="713" spans="1:28" hidden="1">
      <c r="A713">
        <v>699</v>
      </c>
      <c r="B713">
        <v>4000</v>
      </c>
      <c r="C713" t="s">
        <v>68</v>
      </c>
      <c r="D713" t="s">
        <v>1691</v>
      </c>
      <c r="E713">
        <v>67</v>
      </c>
      <c r="G713" t="s">
        <v>77</v>
      </c>
      <c r="H713" t="s">
        <v>248</v>
      </c>
      <c r="I713" t="s">
        <v>68</v>
      </c>
      <c r="J713" t="s">
        <v>68</v>
      </c>
      <c r="K713" t="s">
        <v>77</v>
      </c>
      <c r="M713" t="b">
        <v>0</v>
      </c>
      <c r="N713" t="s">
        <v>212</v>
      </c>
      <c r="O713" t="s">
        <v>33</v>
      </c>
      <c r="Q713">
        <v>180.44</v>
      </c>
      <c r="R713">
        <v>7.7</v>
      </c>
      <c r="S713" t="s">
        <v>81</v>
      </c>
      <c r="T713">
        <v>28.1</v>
      </c>
      <c r="V713">
        <v>113</v>
      </c>
      <c r="W713">
        <v>69.400000000000006</v>
      </c>
      <c r="X713">
        <v>11.2</v>
      </c>
      <c r="Y713">
        <v>49.7</v>
      </c>
      <c r="Z713">
        <v>1366417754</v>
      </c>
      <c r="AA713">
        <v>20.593684</v>
      </c>
      <c r="AB713">
        <v>78.962879999999998</v>
      </c>
    </row>
    <row r="714" spans="1:28">
      <c r="A714">
        <v>699</v>
      </c>
      <c r="B714">
        <v>4000</v>
      </c>
      <c r="C714" t="s">
        <v>63</v>
      </c>
      <c r="D714" t="s">
        <v>1692</v>
      </c>
      <c r="E714">
        <v>80</v>
      </c>
      <c r="F714" t="str">
        <f>IF(E714&gt;=90,"90-100",IF(E714&gt;=80,"80-90",IF(E714&gt;=70,"70-80",IF(E714&gt;=60,"60-70",IF(E714&gt;=50,"50-60",IF(E714&gt;=40,"40-50",IF(E714&gt;=30,"30-40","20-30")))))))</f>
        <v>80-90</v>
      </c>
      <c r="G714" t="s">
        <v>38</v>
      </c>
      <c r="H714" t="s">
        <v>257</v>
      </c>
      <c r="I714" t="s">
        <v>1693</v>
      </c>
      <c r="J714" t="s">
        <v>63</v>
      </c>
      <c r="K714" t="s">
        <v>38</v>
      </c>
      <c r="L714" t="s">
        <v>1694</v>
      </c>
      <c r="M714" t="b">
        <v>1</v>
      </c>
      <c r="N714" t="s">
        <v>42</v>
      </c>
      <c r="O714" t="s">
        <v>4867</v>
      </c>
      <c r="P714" t="s">
        <v>131</v>
      </c>
      <c r="Q714">
        <v>117.24</v>
      </c>
      <c r="R714">
        <v>7.5</v>
      </c>
      <c r="S714" t="s">
        <v>44</v>
      </c>
      <c r="T714">
        <v>88.2</v>
      </c>
      <c r="U714" t="str">
        <f t="shared" ref="U714:U715" si="33">IF(T714&gt;=100,"above 100",IF(T714&gt;=80,"80-100",IF(T714&gt;=60,"60-80",IF(T714&gt;=40,"40-60",IF(T714&gt;=20,"20-60","0-20")))))</f>
        <v>80-100</v>
      </c>
      <c r="V714">
        <v>101.8</v>
      </c>
      <c r="W714">
        <v>78.5</v>
      </c>
      <c r="X714">
        <v>9.6</v>
      </c>
      <c r="Y714">
        <v>36.6</v>
      </c>
      <c r="Z714">
        <v>328239523</v>
      </c>
      <c r="AA714">
        <v>37.090240000000001</v>
      </c>
      <c r="AB714">
        <v>-95.712890999999999</v>
      </c>
    </row>
    <row r="715" spans="1:28">
      <c r="A715">
        <v>699</v>
      </c>
      <c r="B715">
        <v>4000</v>
      </c>
      <c r="C715" t="s">
        <v>54</v>
      </c>
      <c r="D715" t="s">
        <v>1695</v>
      </c>
      <c r="E715">
        <v>90</v>
      </c>
      <c r="F715" t="str">
        <f>IF(E715&gt;=90,"90-100",IF(E715&gt;=80,"80-90",IF(E715&gt;=70,"70-80",IF(E715&gt;=60,"60-70",IF(E715&gt;=50,"50-60",IF(E715&gt;=40,"40-50",IF(E715&gt;=30,"30-40","20-30")))))))</f>
        <v>90-100</v>
      </c>
      <c r="G715" t="s">
        <v>38</v>
      </c>
      <c r="H715" t="s">
        <v>1058</v>
      </c>
      <c r="I715" t="s">
        <v>1696</v>
      </c>
      <c r="J715" t="s">
        <v>54</v>
      </c>
      <c r="K715" t="s">
        <v>38</v>
      </c>
      <c r="L715" t="s">
        <v>1697</v>
      </c>
      <c r="M715" t="b">
        <v>0</v>
      </c>
      <c r="N715" t="s">
        <v>32</v>
      </c>
      <c r="O715" t="s">
        <v>4867</v>
      </c>
      <c r="P715" t="s">
        <v>34</v>
      </c>
      <c r="Q715">
        <v>117.24</v>
      </c>
      <c r="R715">
        <v>7.5</v>
      </c>
      <c r="S715" t="s">
        <v>44</v>
      </c>
      <c r="T715">
        <v>88.2</v>
      </c>
      <c r="U715" t="str">
        <f t="shared" si="33"/>
        <v>80-100</v>
      </c>
      <c r="V715">
        <v>101.8</v>
      </c>
      <c r="W715">
        <v>78.5</v>
      </c>
      <c r="X715">
        <v>9.6</v>
      </c>
      <c r="Y715">
        <v>36.6</v>
      </c>
      <c r="Z715">
        <v>328239523</v>
      </c>
      <c r="AA715">
        <v>37.090240000000001</v>
      </c>
      <c r="AB715">
        <v>-95.712890999999999</v>
      </c>
    </row>
    <row r="716" spans="1:28" hidden="1">
      <c r="A716">
        <v>699</v>
      </c>
      <c r="B716">
        <v>4000</v>
      </c>
      <c r="C716" t="s">
        <v>68</v>
      </c>
      <c r="D716" t="s">
        <v>1698</v>
      </c>
      <c r="E716">
        <v>68</v>
      </c>
      <c r="G716" t="s">
        <v>164</v>
      </c>
      <c r="H716" t="s">
        <v>538</v>
      </c>
      <c r="I716" t="s">
        <v>68</v>
      </c>
      <c r="J716" t="s">
        <v>68</v>
      </c>
      <c r="K716" t="s">
        <v>342</v>
      </c>
      <c r="M716" t="b">
        <v>1</v>
      </c>
      <c r="N716" t="s">
        <v>42</v>
      </c>
      <c r="O716" t="s">
        <v>33</v>
      </c>
      <c r="Q716">
        <v>110.62</v>
      </c>
      <c r="R716">
        <v>0.6</v>
      </c>
      <c r="S716" t="s">
        <v>539</v>
      </c>
      <c r="T716">
        <v>61.9</v>
      </c>
      <c r="V716">
        <v>101.9</v>
      </c>
      <c r="W716">
        <v>82.9</v>
      </c>
      <c r="X716">
        <v>24.3</v>
      </c>
      <c r="Y716">
        <v>59.1</v>
      </c>
      <c r="Z716">
        <v>60297396</v>
      </c>
      <c r="AA716">
        <v>41.871940000000002</v>
      </c>
      <c r="AB716">
        <v>12.56738</v>
      </c>
    </row>
    <row r="717" spans="1:28" hidden="1">
      <c r="A717">
        <v>699</v>
      </c>
      <c r="B717">
        <v>4000</v>
      </c>
      <c r="C717" t="s">
        <v>63</v>
      </c>
      <c r="D717" t="s">
        <v>1699</v>
      </c>
      <c r="E717">
        <v>76</v>
      </c>
      <c r="G717" t="s">
        <v>38</v>
      </c>
      <c r="H717" t="s">
        <v>1700</v>
      </c>
      <c r="I717" t="s">
        <v>1701</v>
      </c>
      <c r="J717" t="s">
        <v>63</v>
      </c>
      <c r="K717" t="s">
        <v>38</v>
      </c>
      <c r="M717" t="b">
        <v>1</v>
      </c>
      <c r="N717" t="s">
        <v>32</v>
      </c>
      <c r="O717" t="s">
        <v>33</v>
      </c>
      <c r="Q717">
        <v>117.24</v>
      </c>
      <c r="R717">
        <v>7.5</v>
      </c>
      <c r="S717" t="s">
        <v>44</v>
      </c>
      <c r="T717">
        <v>88.2</v>
      </c>
      <c r="V717">
        <v>101.8</v>
      </c>
      <c r="W717">
        <v>78.5</v>
      </c>
      <c r="X717">
        <v>9.6</v>
      </c>
      <c r="Y717">
        <v>36.6</v>
      </c>
      <c r="Z717">
        <v>328239523</v>
      </c>
      <c r="AA717">
        <v>37.090240000000001</v>
      </c>
      <c r="AB717">
        <v>-95.712890999999999</v>
      </c>
    </row>
    <row r="718" spans="1:28" hidden="1">
      <c r="A718">
        <v>699</v>
      </c>
      <c r="B718">
        <v>4000</v>
      </c>
      <c r="C718" t="s">
        <v>288</v>
      </c>
      <c r="D718" t="s">
        <v>1702</v>
      </c>
      <c r="E718">
        <v>75</v>
      </c>
      <c r="G718" t="s">
        <v>1108</v>
      </c>
      <c r="H718" t="s">
        <v>1703</v>
      </c>
      <c r="I718" t="s">
        <v>418</v>
      </c>
      <c r="J718" t="s">
        <v>288</v>
      </c>
      <c r="K718" t="s">
        <v>1108</v>
      </c>
      <c r="M718" t="b">
        <v>1</v>
      </c>
      <c r="N718" t="s">
        <v>419</v>
      </c>
      <c r="O718" t="s">
        <v>33</v>
      </c>
      <c r="Q718">
        <v>114.11</v>
      </c>
      <c r="R718">
        <v>2.2000000000000002</v>
      </c>
      <c r="S718" t="s">
        <v>1110</v>
      </c>
      <c r="T718">
        <v>67.8</v>
      </c>
      <c r="V718">
        <v>100</v>
      </c>
      <c r="W718">
        <v>77.599999999999994</v>
      </c>
      <c r="X718">
        <v>17.399999999999999</v>
      </c>
      <c r="Y718">
        <v>40.799999999999997</v>
      </c>
      <c r="Z718">
        <v>37970874</v>
      </c>
      <c r="AA718">
        <v>51.919438</v>
      </c>
      <c r="AB718">
        <v>19.145136000000001</v>
      </c>
    </row>
    <row r="719" spans="1:28" hidden="1">
      <c r="A719">
        <v>699</v>
      </c>
      <c r="B719">
        <v>4000</v>
      </c>
      <c r="C719" t="s">
        <v>250</v>
      </c>
      <c r="D719" t="s">
        <v>1704</v>
      </c>
      <c r="E719">
        <v>69</v>
      </c>
      <c r="G719" t="s">
        <v>156</v>
      </c>
      <c r="H719" t="s">
        <v>211</v>
      </c>
      <c r="I719" t="s">
        <v>1705</v>
      </c>
      <c r="J719" t="s">
        <v>250</v>
      </c>
      <c r="K719" t="s">
        <v>397</v>
      </c>
      <c r="M719" t="b">
        <v>1</v>
      </c>
      <c r="N719" t="s">
        <v>32</v>
      </c>
      <c r="O719" t="s">
        <v>33</v>
      </c>
      <c r="Q719">
        <v>99.55</v>
      </c>
      <c r="R719">
        <v>0.4</v>
      </c>
      <c r="S719" t="s">
        <v>159</v>
      </c>
      <c r="T719">
        <v>59.6</v>
      </c>
      <c r="V719">
        <v>105.2</v>
      </c>
      <c r="W719">
        <v>83.6</v>
      </c>
      <c r="X719">
        <v>10.1</v>
      </c>
      <c r="Y719">
        <v>28.8</v>
      </c>
      <c r="Z719">
        <v>8574832</v>
      </c>
      <c r="AA719">
        <v>46.818187999999999</v>
      </c>
      <c r="AB719">
        <v>8.2275120000000008</v>
      </c>
    </row>
    <row r="720" spans="1:28" hidden="1">
      <c r="A720">
        <v>699</v>
      </c>
      <c r="B720">
        <v>4000</v>
      </c>
      <c r="C720" t="s">
        <v>236</v>
      </c>
      <c r="D720" t="s">
        <v>1706</v>
      </c>
      <c r="E720">
        <v>74</v>
      </c>
      <c r="G720" t="s">
        <v>70</v>
      </c>
      <c r="H720" t="s">
        <v>71</v>
      </c>
      <c r="I720" t="s">
        <v>362</v>
      </c>
      <c r="J720" t="s">
        <v>236</v>
      </c>
      <c r="K720" t="s">
        <v>70</v>
      </c>
      <c r="M720" t="b">
        <v>1</v>
      </c>
      <c r="N720" t="s">
        <v>32</v>
      </c>
      <c r="O720" t="s">
        <v>33</v>
      </c>
      <c r="Q720">
        <v>141.54</v>
      </c>
      <c r="R720">
        <v>3.6</v>
      </c>
      <c r="S720" t="s">
        <v>74</v>
      </c>
      <c r="T720">
        <v>40.200000000000003</v>
      </c>
      <c r="V720">
        <v>105.8</v>
      </c>
      <c r="W720">
        <v>75</v>
      </c>
      <c r="X720">
        <v>13.1</v>
      </c>
      <c r="Y720">
        <v>55.1</v>
      </c>
      <c r="Z720">
        <v>126014024</v>
      </c>
      <c r="AA720">
        <v>23.634501</v>
      </c>
      <c r="AB720">
        <v>-102.552784</v>
      </c>
    </row>
    <row r="721" spans="1:28" hidden="1">
      <c r="A721">
        <v>699</v>
      </c>
      <c r="B721">
        <v>4000</v>
      </c>
      <c r="C721" t="s">
        <v>75</v>
      </c>
      <c r="D721" t="s">
        <v>1707</v>
      </c>
      <c r="E721">
        <v>73</v>
      </c>
      <c r="G721" t="s">
        <v>103</v>
      </c>
      <c r="H721" t="s">
        <v>1708</v>
      </c>
      <c r="I721" t="s">
        <v>1709</v>
      </c>
      <c r="J721" t="s">
        <v>75</v>
      </c>
      <c r="K721" t="s">
        <v>103</v>
      </c>
      <c r="M721" t="b">
        <v>1</v>
      </c>
      <c r="N721" t="s">
        <v>32</v>
      </c>
      <c r="O721" t="s">
        <v>33</v>
      </c>
      <c r="Q721">
        <v>125.08</v>
      </c>
      <c r="R721">
        <v>2.9</v>
      </c>
      <c r="S721" t="s">
        <v>106</v>
      </c>
      <c r="T721">
        <v>50.6</v>
      </c>
      <c r="V721">
        <v>100.2</v>
      </c>
      <c r="W721">
        <v>77</v>
      </c>
      <c r="X721">
        <v>9.4</v>
      </c>
      <c r="Y721">
        <v>59.2</v>
      </c>
      <c r="Z721">
        <v>1397715000</v>
      </c>
      <c r="AA721">
        <v>35.861660000000001</v>
      </c>
      <c r="AB721">
        <v>104.195397</v>
      </c>
    </row>
    <row r="722" spans="1:28" hidden="1">
      <c r="A722">
        <v>721</v>
      </c>
      <c r="B722">
        <v>3900</v>
      </c>
      <c r="C722" t="s">
        <v>217</v>
      </c>
      <c r="D722" t="s">
        <v>1710</v>
      </c>
      <c r="E722">
        <v>76</v>
      </c>
      <c r="G722" t="s">
        <v>148</v>
      </c>
      <c r="H722" t="s">
        <v>1711</v>
      </c>
      <c r="I722" t="s">
        <v>506</v>
      </c>
      <c r="J722" t="s">
        <v>217</v>
      </c>
      <c r="K722" t="s">
        <v>148</v>
      </c>
      <c r="M722" t="b">
        <v>0</v>
      </c>
      <c r="N722" t="s">
        <v>42</v>
      </c>
      <c r="O722" t="s">
        <v>33</v>
      </c>
      <c r="Q722">
        <v>112.85</v>
      </c>
      <c r="R722">
        <v>1.4</v>
      </c>
      <c r="S722" t="s">
        <v>151</v>
      </c>
      <c r="T722">
        <v>70.2</v>
      </c>
      <c r="V722">
        <v>104</v>
      </c>
      <c r="W722">
        <v>80.900000000000006</v>
      </c>
      <c r="X722">
        <v>11.5</v>
      </c>
      <c r="Y722">
        <v>48.8</v>
      </c>
      <c r="Z722">
        <v>83132799</v>
      </c>
      <c r="AA722">
        <v>51.165691000000002</v>
      </c>
      <c r="AB722">
        <v>10.451525999999999</v>
      </c>
    </row>
    <row r="723" spans="1:28" hidden="1">
      <c r="A723">
        <v>721</v>
      </c>
      <c r="B723">
        <v>3900</v>
      </c>
      <c r="C723" t="s">
        <v>101</v>
      </c>
      <c r="D723" t="s">
        <v>1712</v>
      </c>
      <c r="E723">
        <v>72</v>
      </c>
      <c r="G723" t="s">
        <v>38</v>
      </c>
      <c r="H723" t="s">
        <v>1713</v>
      </c>
      <c r="I723" t="s">
        <v>959</v>
      </c>
      <c r="J723" t="s">
        <v>101</v>
      </c>
      <c r="K723" t="s">
        <v>38</v>
      </c>
      <c r="M723" t="b">
        <v>0</v>
      </c>
      <c r="N723" t="s">
        <v>42</v>
      </c>
      <c r="O723" t="s">
        <v>33</v>
      </c>
      <c r="Q723">
        <v>117.24</v>
      </c>
      <c r="R723">
        <v>7.5</v>
      </c>
      <c r="S723" t="s">
        <v>44</v>
      </c>
      <c r="T723">
        <v>88.2</v>
      </c>
      <c r="V723">
        <v>101.8</v>
      </c>
      <c r="W723">
        <v>78.5</v>
      </c>
      <c r="X723">
        <v>9.6</v>
      </c>
      <c r="Y723">
        <v>36.6</v>
      </c>
      <c r="Z723">
        <v>328239523</v>
      </c>
      <c r="AA723">
        <v>37.090240000000001</v>
      </c>
      <c r="AB723">
        <v>-95.712890999999999</v>
      </c>
    </row>
    <row r="724" spans="1:28" hidden="1">
      <c r="A724">
        <v>721</v>
      </c>
      <c r="B724">
        <v>3900</v>
      </c>
      <c r="C724" t="s">
        <v>101</v>
      </c>
      <c r="D724" t="s">
        <v>1714</v>
      </c>
      <c r="E724">
        <v>73</v>
      </c>
      <c r="G724" t="s">
        <v>38</v>
      </c>
      <c r="H724" t="s">
        <v>1715</v>
      </c>
      <c r="I724" t="s">
        <v>959</v>
      </c>
      <c r="J724" t="s">
        <v>101</v>
      </c>
      <c r="K724" t="s">
        <v>38</v>
      </c>
      <c r="M724" t="b">
        <v>0</v>
      </c>
      <c r="N724" t="s">
        <v>42</v>
      </c>
      <c r="O724" t="s">
        <v>33</v>
      </c>
      <c r="Q724">
        <v>117.24</v>
      </c>
      <c r="R724">
        <v>7.5</v>
      </c>
      <c r="S724" t="s">
        <v>44</v>
      </c>
      <c r="T724">
        <v>88.2</v>
      </c>
      <c r="V724">
        <v>101.8</v>
      </c>
      <c r="W724">
        <v>78.5</v>
      </c>
      <c r="X724">
        <v>9.6</v>
      </c>
      <c r="Y724">
        <v>36.6</v>
      </c>
      <c r="Z724">
        <v>328239523</v>
      </c>
      <c r="AA724">
        <v>37.090240000000001</v>
      </c>
      <c r="AB724">
        <v>-95.712890999999999</v>
      </c>
    </row>
    <row r="725" spans="1:28" hidden="1">
      <c r="A725">
        <v>721</v>
      </c>
      <c r="B725">
        <v>3900</v>
      </c>
      <c r="C725" t="s">
        <v>54</v>
      </c>
      <c r="D725" t="s">
        <v>1716</v>
      </c>
      <c r="E725">
        <v>91</v>
      </c>
      <c r="G725" t="s">
        <v>429</v>
      </c>
      <c r="H725" t="s">
        <v>430</v>
      </c>
      <c r="I725" t="s">
        <v>1717</v>
      </c>
      <c r="J725" t="s">
        <v>54</v>
      </c>
      <c r="K725" t="s">
        <v>429</v>
      </c>
      <c r="M725" t="b">
        <v>1</v>
      </c>
      <c r="N725" t="s">
        <v>32</v>
      </c>
      <c r="O725" t="s">
        <v>33</v>
      </c>
      <c r="Q725">
        <v>113.27</v>
      </c>
      <c r="R725">
        <v>0.7</v>
      </c>
      <c r="S725" t="s">
        <v>431</v>
      </c>
      <c r="T725">
        <v>49.3</v>
      </c>
      <c r="V725">
        <v>99.8</v>
      </c>
      <c r="W725">
        <v>76.900000000000006</v>
      </c>
      <c r="X725">
        <v>14.9</v>
      </c>
      <c r="Y725">
        <v>29.5</v>
      </c>
      <c r="Z725">
        <v>69625582</v>
      </c>
      <c r="AA725">
        <v>15.870032</v>
      </c>
      <c r="AB725">
        <v>100.992541</v>
      </c>
    </row>
    <row r="726" spans="1:28" hidden="1">
      <c r="A726">
        <v>721</v>
      </c>
      <c r="B726">
        <v>3900</v>
      </c>
      <c r="C726" t="s">
        <v>54</v>
      </c>
      <c r="D726" t="s">
        <v>1718</v>
      </c>
      <c r="E726">
        <v>65</v>
      </c>
      <c r="G726" t="s">
        <v>103</v>
      </c>
      <c r="H726" t="s">
        <v>143</v>
      </c>
      <c r="I726" t="s">
        <v>782</v>
      </c>
      <c r="J726" t="s">
        <v>54</v>
      </c>
      <c r="K726" t="s">
        <v>103</v>
      </c>
      <c r="M726" t="b">
        <v>1</v>
      </c>
      <c r="N726" t="s">
        <v>32</v>
      </c>
      <c r="O726" t="s">
        <v>33</v>
      </c>
      <c r="Q726">
        <v>125.08</v>
      </c>
      <c r="R726">
        <v>2.9</v>
      </c>
      <c r="S726" t="s">
        <v>106</v>
      </c>
      <c r="T726">
        <v>50.6</v>
      </c>
      <c r="V726">
        <v>100.2</v>
      </c>
      <c r="W726">
        <v>77</v>
      </c>
      <c r="X726">
        <v>9.4</v>
      </c>
      <c r="Y726">
        <v>59.2</v>
      </c>
      <c r="Z726">
        <v>1397715000</v>
      </c>
      <c r="AA726">
        <v>35.861660000000001</v>
      </c>
      <c r="AB726">
        <v>104.195397</v>
      </c>
    </row>
    <row r="727" spans="1:28" hidden="1">
      <c r="A727">
        <v>721</v>
      </c>
      <c r="B727">
        <v>3900</v>
      </c>
      <c r="C727" t="s">
        <v>36</v>
      </c>
      <c r="D727" t="s">
        <v>1719</v>
      </c>
      <c r="E727">
        <v>85</v>
      </c>
      <c r="G727" t="s">
        <v>611</v>
      </c>
      <c r="H727" t="s">
        <v>612</v>
      </c>
      <c r="I727" t="s">
        <v>1720</v>
      </c>
      <c r="J727" t="s">
        <v>36</v>
      </c>
      <c r="K727" t="s">
        <v>611</v>
      </c>
      <c r="M727" t="b">
        <v>0</v>
      </c>
      <c r="N727" t="s">
        <v>42</v>
      </c>
      <c r="O727" t="s">
        <v>33</v>
      </c>
      <c r="Q727">
        <v>115.16</v>
      </c>
      <c r="R727">
        <v>0.4</v>
      </c>
      <c r="S727" t="s">
        <v>615</v>
      </c>
      <c r="T727">
        <v>94.3</v>
      </c>
      <c r="V727">
        <v>98.1</v>
      </c>
      <c r="W727">
        <v>82.6</v>
      </c>
      <c r="X727">
        <v>15.6</v>
      </c>
      <c r="Y727">
        <v>33.200000000000003</v>
      </c>
      <c r="Z727">
        <v>51709098</v>
      </c>
      <c r="AA727">
        <v>35.907756999999997</v>
      </c>
      <c r="AB727">
        <v>127.76692199999999</v>
      </c>
    </row>
    <row r="728" spans="1:28" hidden="1">
      <c r="A728">
        <v>721</v>
      </c>
      <c r="B728">
        <v>3900</v>
      </c>
      <c r="C728" t="s">
        <v>54</v>
      </c>
      <c r="D728" t="s">
        <v>1721</v>
      </c>
      <c r="E728">
        <v>67</v>
      </c>
      <c r="G728" t="s">
        <v>1166</v>
      </c>
      <c r="H728" t="s">
        <v>1722</v>
      </c>
      <c r="I728" t="s">
        <v>231</v>
      </c>
      <c r="J728" t="s">
        <v>54</v>
      </c>
      <c r="K728" t="s">
        <v>1723</v>
      </c>
      <c r="M728" t="b">
        <v>0</v>
      </c>
      <c r="N728" t="s">
        <v>32</v>
      </c>
      <c r="O728" t="s">
        <v>33</v>
      </c>
    </row>
    <row r="729" spans="1:28" hidden="1">
      <c r="A729">
        <v>721</v>
      </c>
      <c r="B729">
        <v>3900</v>
      </c>
      <c r="C729" t="s">
        <v>26</v>
      </c>
      <c r="D729" t="s">
        <v>1724</v>
      </c>
      <c r="E729">
        <v>83</v>
      </c>
      <c r="G729" t="s">
        <v>164</v>
      </c>
      <c r="H729" t="s">
        <v>1725</v>
      </c>
      <c r="I729" t="s">
        <v>1726</v>
      </c>
      <c r="J729" t="s">
        <v>26</v>
      </c>
      <c r="K729" t="s">
        <v>164</v>
      </c>
      <c r="M729" t="b">
        <v>0</v>
      </c>
      <c r="N729" t="s">
        <v>42</v>
      </c>
      <c r="O729" t="s">
        <v>33</v>
      </c>
      <c r="Q729">
        <v>110.62</v>
      </c>
      <c r="R729">
        <v>0.6</v>
      </c>
      <c r="S729" t="s">
        <v>539</v>
      </c>
      <c r="T729">
        <v>61.9</v>
      </c>
      <c r="V729">
        <v>101.9</v>
      </c>
      <c r="W729">
        <v>82.9</v>
      </c>
      <c r="X729">
        <v>24.3</v>
      </c>
      <c r="Y729">
        <v>59.1</v>
      </c>
      <c r="Z729">
        <v>60297396</v>
      </c>
      <c r="AA729">
        <v>41.871940000000002</v>
      </c>
      <c r="AB729">
        <v>12.56738</v>
      </c>
    </row>
    <row r="730" spans="1:28" hidden="1">
      <c r="A730">
        <v>721</v>
      </c>
      <c r="B730">
        <v>3900</v>
      </c>
      <c r="C730" t="s">
        <v>288</v>
      </c>
      <c r="D730" t="s">
        <v>1727</v>
      </c>
      <c r="E730">
        <v>83</v>
      </c>
      <c r="G730" t="s">
        <v>148</v>
      </c>
      <c r="H730" t="s">
        <v>683</v>
      </c>
      <c r="I730" t="s">
        <v>1728</v>
      </c>
      <c r="J730" t="s">
        <v>288</v>
      </c>
      <c r="K730" t="s">
        <v>148</v>
      </c>
      <c r="M730" t="b">
        <v>1</v>
      </c>
      <c r="N730" t="s">
        <v>42</v>
      </c>
      <c r="O730" t="s">
        <v>33</v>
      </c>
      <c r="Q730">
        <v>112.85</v>
      </c>
      <c r="R730">
        <v>1.4</v>
      </c>
      <c r="S730" t="s">
        <v>151</v>
      </c>
      <c r="T730">
        <v>70.2</v>
      </c>
      <c r="V730">
        <v>104</v>
      </c>
      <c r="W730">
        <v>80.900000000000006</v>
      </c>
      <c r="X730">
        <v>11.5</v>
      </c>
      <c r="Y730">
        <v>48.8</v>
      </c>
      <c r="Z730">
        <v>83132799</v>
      </c>
      <c r="AA730">
        <v>51.165691000000002</v>
      </c>
      <c r="AB730">
        <v>10.451525999999999</v>
      </c>
    </row>
    <row r="731" spans="1:28" hidden="1">
      <c r="A731">
        <v>721</v>
      </c>
      <c r="B731">
        <v>3900</v>
      </c>
      <c r="C731" t="s">
        <v>250</v>
      </c>
      <c r="D731" t="s">
        <v>1729</v>
      </c>
      <c r="E731">
        <v>94</v>
      </c>
      <c r="G731" t="s">
        <v>38</v>
      </c>
      <c r="H731" t="s">
        <v>480</v>
      </c>
      <c r="I731" t="s">
        <v>325</v>
      </c>
      <c r="J731" t="s">
        <v>250</v>
      </c>
      <c r="K731" t="s">
        <v>38</v>
      </c>
      <c r="M731" t="b">
        <v>0</v>
      </c>
      <c r="N731" t="s">
        <v>42</v>
      </c>
      <c r="O731" t="s">
        <v>33</v>
      </c>
      <c r="P731" t="s">
        <v>468</v>
      </c>
      <c r="Q731">
        <v>117.24</v>
      </c>
      <c r="R731">
        <v>7.5</v>
      </c>
      <c r="S731" t="s">
        <v>44</v>
      </c>
      <c r="T731">
        <v>88.2</v>
      </c>
      <c r="V731">
        <v>101.8</v>
      </c>
      <c r="W731">
        <v>78.5</v>
      </c>
      <c r="X731">
        <v>9.6</v>
      </c>
      <c r="Y731">
        <v>36.6</v>
      </c>
      <c r="Z731">
        <v>328239523</v>
      </c>
      <c r="AA731">
        <v>37.090240000000001</v>
      </c>
      <c r="AB731">
        <v>-95.712890999999999</v>
      </c>
    </row>
    <row r="732" spans="1:28">
      <c r="A732">
        <v>721</v>
      </c>
      <c r="B732">
        <v>3900</v>
      </c>
      <c r="C732" t="s">
        <v>478</v>
      </c>
      <c r="D732" t="s">
        <v>1730</v>
      </c>
      <c r="E732">
        <v>63</v>
      </c>
      <c r="F732" t="str">
        <f>IF(E732&gt;=90,"90-100",IF(E732&gt;=80,"80-90",IF(E732&gt;=70,"70-80",IF(E732&gt;=60,"60-70",IF(E732&gt;=50,"50-60",IF(E732&gt;=40,"40-50",IF(E732&gt;=30,"30-40","20-30")))))))</f>
        <v>60-70</v>
      </c>
      <c r="G732" t="s">
        <v>38</v>
      </c>
      <c r="H732" t="s">
        <v>1731</v>
      </c>
      <c r="I732" t="s">
        <v>1732</v>
      </c>
      <c r="J732" t="s">
        <v>478</v>
      </c>
      <c r="K732" t="s">
        <v>38</v>
      </c>
      <c r="L732" t="s">
        <v>1732</v>
      </c>
      <c r="M732" t="b">
        <v>0</v>
      </c>
      <c r="N732" t="s">
        <v>32</v>
      </c>
      <c r="O732" t="s">
        <v>4867</v>
      </c>
      <c r="P732" t="s">
        <v>43</v>
      </c>
      <c r="Q732">
        <v>117.24</v>
      </c>
      <c r="R732">
        <v>7.5</v>
      </c>
      <c r="S732" t="s">
        <v>44</v>
      </c>
      <c r="T732">
        <v>88.2</v>
      </c>
      <c r="U732" t="str">
        <f>IF(T732&gt;=100,"above 100",IF(T732&gt;=80,"80-100",IF(T732&gt;=60,"60-80",IF(T732&gt;=40,"40-60",IF(T732&gt;=20,"20-60","0-20")))))</f>
        <v>80-100</v>
      </c>
      <c r="V732">
        <v>101.8</v>
      </c>
      <c r="W732">
        <v>78.5</v>
      </c>
      <c r="X732">
        <v>9.6</v>
      </c>
      <c r="Y732">
        <v>36.6</v>
      </c>
      <c r="Z732">
        <v>328239523</v>
      </c>
      <c r="AA732">
        <v>37.090240000000001</v>
      </c>
      <c r="AB732">
        <v>-95.712890999999999</v>
      </c>
    </row>
    <row r="733" spans="1:28" hidden="1">
      <c r="A733">
        <v>721</v>
      </c>
      <c r="B733">
        <v>3900</v>
      </c>
      <c r="C733" t="s">
        <v>75</v>
      </c>
      <c r="D733" t="s">
        <v>1733</v>
      </c>
      <c r="G733" t="s">
        <v>429</v>
      </c>
      <c r="H733" t="s">
        <v>430</v>
      </c>
      <c r="I733" t="s">
        <v>75</v>
      </c>
      <c r="J733" t="s">
        <v>75</v>
      </c>
      <c r="K733" t="s">
        <v>429</v>
      </c>
      <c r="M733" t="b">
        <v>0</v>
      </c>
      <c r="N733" t="s">
        <v>192</v>
      </c>
      <c r="O733" t="s">
        <v>88</v>
      </c>
      <c r="Q733">
        <v>113.27</v>
      </c>
      <c r="R733">
        <v>0.7</v>
      </c>
      <c r="S733" t="s">
        <v>431</v>
      </c>
      <c r="T733">
        <v>49.3</v>
      </c>
      <c r="V733">
        <v>99.8</v>
      </c>
      <c r="W733">
        <v>76.900000000000006</v>
      </c>
      <c r="X733">
        <v>14.9</v>
      </c>
      <c r="Y733">
        <v>29.5</v>
      </c>
      <c r="Z733">
        <v>69625582</v>
      </c>
      <c r="AA733">
        <v>15.870032</v>
      </c>
      <c r="AB733">
        <v>100.992541</v>
      </c>
    </row>
    <row r="734" spans="1:28" hidden="1">
      <c r="A734">
        <v>721</v>
      </c>
      <c r="B734">
        <v>3900</v>
      </c>
      <c r="C734" t="s">
        <v>101</v>
      </c>
      <c r="D734" t="s">
        <v>1734</v>
      </c>
      <c r="E734">
        <v>69</v>
      </c>
      <c r="G734" t="s">
        <v>38</v>
      </c>
      <c r="H734" t="s">
        <v>1735</v>
      </c>
      <c r="I734" t="s">
        <v>959</v>
      </c>
      <c r="J734" t="s">
        <v>101</v>
      </c>
      <c r="K734" t="s">
        <v>38</v>
      </c>
      <c r="M734" t="b">
        <v>0</v>
      </c>
      <c r="N734" t="s">
        <v>42</v>
      </c>
      <c r="O734" t="s">
        <v>88</v>
      </c>
      <c r="Q734">
        <v>117.24</v>
      </c>
      <c r="R734">
        <v>7.5</v>
      </c>
      <c r="S734" t="s">
        <v>44</v>
      </c>
      <c r="T734">
        <v>88.2</v>
      </c>
      <c r="V734">
        <v>101.8</v>
      </c>
      <c r="W734">
        <v>78.5</v>
      </c>
      <c r="X734">
        <v>9.6</v>
      </c>
      <c r="Y734">
        <v>36.6</v>
      </c>
      <c r="Z734">
        <v>328239523</v>
      </c>
      <c r="AA734">
        <v>37.090240000000001</v>
      </c>
      <c r="AB734">
        <v>-95.712890999999999</v>
      </c>
    </row>
    <row r="735" spans="1:28" hidden="1">
      <c r="A735">
        <v>721</v>
      </c>
      <c r="B735">
        <v>3900</v>
      </c>
      <c r="C735" t="s">
        <v>288</v>
      </c>
      <c r="D735" t="s">
        <v>1736</v>
      </c>
      <c r="E735">
        <v>78</v>
      </c>
      <c r="G735" t="s">
        <v>384</v>
      </c>
      <c r="H735" t="s">
        <v>1650</v>
      </c>
      <c r="I735" t="s">
        <v>328</v>
      </c>
      <c r="J735" t="s">
        <v>288</v>
      </c>
      <c r="K735" t="s">
        <v>384</v>
      </c>
      <c r="M735" t="b">
        <v>1</v>
      </c>
      <c r="N735" t="s">
        <v>42</v>
      </c>
      <c r="O735" t="s">
        <v>33</v>
      </c>
      <c r="Q735">
        <v>167.4</v>
      </c>
      <c r="R735">
        <v>3.7</v>
      </c>
      <c r="S735" t="s">
        <v>563</v>
      </c>
      <c r="T735">
        <v>51.3</v>
      </c>
      <c r="V735">
        <v>115.4</v>
      </c>
      <c r="W735">
        <v>75.7</v>
      </c>
      <c r="X735">
        <v>14.2</v>
      </c>
      <c r="Y735">
        <v>65.099999999999994</v>
      </c>
      <c r="Z735">
        <v>212559417</v>
      </c>
      <c r="AA735">
        <v>-14.235004</v>
      </c>
      <c r="AB735">
        <v>-51.925280000000001</v>
      </c>
    </row>
    <row r="736" spans="1:28" hidden="1">
      <c r="A736">
        <v>721</v>
      </c>
      <c r="B736">
        <v>3900</v>
      </c>
      <c r="C736" t="s">
        <v>75</v>
      </c>
      <c r="D736" t="s">
        <v>1737</v>
      </c>
      <c r="E736">
        <v>76</v>
      </c>
      <c r="G736" t="s">
        <v>384</v>
      </c>
      <c r="H736" t="s">
        <v>562</v>
      </c>
      <c r="I736" t="s">
        <v>1651</v>
      </c>
      <c r="J736" t="s">
        <v>75</v>
      </c>
      <c r="K736" t="s">
        <v>384</v>
      </c>
      <c r="M736" t="b">
        <v>0</v>
      </c>
      <c r="N736" t="s">
        <v>32</v>
      </c>
      <c r="O736" t="s">
        <v>33</v>
      </c>
      <c r="Q736">
        <v>167.4</v>
      </c>
      <c r="R736">
        <v>3.7</v>
      </c>
      <c r="S736" t="s">
        <v>563</v>
      </c>
      <c r="T736">
        <v>51.3</v>
      </c>
      <c r="V736">
        <v>115.4</v>
      </c>
      <c r="W736">
        <v>75.7</v>
      </c>
      <c r="X736">
        <v>14.2</v>
      </c>
      <c r="Y736">
        <v>65.099999999999994</v>
      </c>
      <c r="Z736">
        <v>212559417</v>
      </c>
      <c r="AA736">
        <v>-14.235004</v>
      </c>
      <c r="AB736">
        <v>-51.925280000000001</v>
      </c>
    </row>
    <row r="737" spans="1:28" hidden="1">
      <c r="A737">
        <v>721</v>
      </c>
      <c r="B737">
        <v>3900</v>
      </c>
      <c r="C737" t="s">
        <v>75</v>
      </c>
      <c r="D737" t="s">
        <v>1738</v>
      </c>
      <c r="E737">
        <v>63</v>
      </c>
      <c r="G737" t="s">
        <v>384</v>
      </c>
      <c r="H737" t="s">
        <v>562</v>
      </c>
      <c r="I737" t="s">
        <v>1651</v>
      </c>
      <c r="J737" t="s">
        <v>75</v>
      </c>
      <c r="K737" t="s">
        <v>384</v>
      </c>
      <c r="M737" t="b">
        <v>0</v>
      </c>
      <c r="N737" t="s">
        <v>32</v>
      </c>
      <c r="O737" t="s">
        <v>33</v>
      </c>
      <c r="Q737">
        <v>167.4</v>
      </c>
      <c r="R737">
        <v>3.7</v>
      </c>
      <c r="S737" t="s">
        <v>563</v>
      </c>
      <c r="T737">
        <v>51.3</v>
      </c>
      <c r="V737">
        <v>115.4</v>
      </c>
      <c r="W737">
        <v>75.7</v>
      </c>
      <c r="X737">
        <v>14.2</v>
      </c>
      <c r="Y737">
        <v>65.099999999999994</v>
      </c>
      <c r="Z737">
        <v>212559417</v>
      </c>
      <c r="AA737">
        <v>-14.235004</v>
      </c>
      <c r="AB737">
        <v>-51.925280000000001</v>
      </c>
    </row>
    <row r="738" spans="1:28">
      <c r="A738">
        <v>721</v>
      </c>
      <c r="B738">
        <v>3900</v>
      </c>
      <c r="C738" t="s">
        <v>179</v>
      </c>
      <c r="D738" t="s">
        <v>1739</v>
      </c>
      <c r="E738">
        <v>60</v>
      </c>
      <c r="F738" t="str">
        <f>IF(E738&gt;=90,"90-100",IF(E738&gt;=80,"80-90",IF(E738&gt;=70,"70-80",IF(E738&gt;=60,"60-70",IF(E738&gt;=50,"50-60",IF(E738&gt;=40,"40-50",IF(E738&gt;=30,"30-40","20-30")))))))</f>
        <v>60-70</v>
      </c>
      <c r="G738" t="s">
        <v>38</v>
      </c>
      <c r="H738" t="s">
        <v>269</v>
      </c>
      <c r="I738" t="s">
        <v>1740</v>
      </c>
      <c r="J738" t="s">
        <v>179</v>
      </c>
      <c r="K738" t="s">
        <v>38</v>
      </c>
      <c r="L738" t="s">
        <v>1741</v>
      </c>
      <c r="M738" t="b">
        <v>1</v>
      </c>
      <c r="N738" t="s">
        <v>419</v>
      </c>
      <c r="O738" t="s">
        <v>4867</v>
      </c>
      <c r="P738" t="s">
        <v>1742</v>
      </c>
      <c r="Q738">
        <v>117.24</v>
      </c>
      <c r="R738">
        <v>7.5</v>
      </c>
      <c r="S738" t="s">
        <v>44</v>
      </c>
      <c r="T738">
        <v>88.2</v>
      </c>
      <c r="U738" t="str">
        <f>IF(T738&gt;=100,"above 100",IF(T738&gt;=80,"80-100",IF(T738&gt;=60,"60-80",IF(T738&gt;=40,"40-60",IF(T738&gt;=20,"20-60","0-20")))))</f>
        <v>80-100</v>
      </c>
      <c r="V738">
        <v>101.8</v>
      </c>
      <c r="W738">
        <v>78.5</v>
      </c>
      <c r="X738">
        <v>9.6</v>
      </c>
      <c r="Y738">
        <v>36.6</v>
      </c>
      <c r="Z738">
        <v>328239523</v>
      </c>
      <c r="AA738">
        <v>37.090240000000001</v>
      </c>
      <c r="AB738">
        <v>-95.712890999999999</v>
      </c>
    </row>
    <row r="739" spans="1:28" hidden="1">
      <c r="A739">
        <v>721</v>
      </c>
      <c r="B739">
        <v>3900</v>
      </c>
      <c r="C739" t="s">
        <v>26</v>
      </c>
      <c r="D739" t="s">
        <v>1743</v>
      </c>
      <c r="E739">
        <v>56</v>
      </c>
      <c r="G739" t="s">
        <v>148</v>
      </c>
      <c r="H739" t="s">
        <v>1744</v>
      </c>
      <c r="I739" t="s">
        <v>1260</v>
      </c>
      <c r="J739" t="s">
        <v>26</v>
      </c>
      <c r="K739" t="s">
        <v>148</v>
      </c>
      <c r="M739" t="b">
        <v>0</v>
      </c>
      <c r="N739" t="s">
        <v>32</v>
      </c>
      <c r="O739" t="s">
        <v>33</v>
      </c>
      <c r="Q739">
        <v>112.85</v>
      </c>
      <c r="R739">
        <v>1.4</v>
      </c>
      <c r="S739" t="s">
        <v>151</v>
      </c>
      <c r="T739">
        <v>70.2</v>
      </c>
      <c r="V739">
        <v>104</v>
      </c>
      <c r="W739">
        <v>80.900000000000006</v>
      </c>
      <c r="X739">
        <v>11.5</v>
      </c>
      <c r="Y739">
        <v>48.8</v>
      </c>
      <c r="Z739">
        <v>83132799</v>
      </c>
      <c r="AA739">
        <v>51.165691000000002</v>
      </c>
      <c r="AB739">
        <v>10.451525999999999</v>
      </c>
    </row>
    <row r="740" spans="1:28" hidden="1">
      <c r="A740">
        <v>721</v>
      </c>
      <c r="B740">
        <v>3900</v>
      </c>
      <c r="C740" t="s">
        <v>26</v>
      </c>
      <c r="D740" t="s">
        <v>1745</v>
      </c>
      <c r="E740">
        <v>50</v>
      </c>
      <c r="G740" t="s">
        <v>148</v>
      </c>
      <c r="H740" t="s">
        <v>1744</v>
      </c>
      <c r="I740" t="s">
        <v>1260</v>
      </c>
      <c r="J740" t="s">
        <v>26</v>
      </c>
      <c r="K740" t="s">
        <v>148</v>
      </c>
      <c r="M740" t="b">
        <v>0</v>
      </c>
      <c r="N740" t="s">
        <v>32</v>
      </c>
      <c r="O740" t="s">
        <v>33</v>
      </c>
      <c r="Q740">
        <v>112.85</v>
      </c>
      <c r="R740">
        <v>1.4</v>
      </c>
      <c r="S740" t="s">
        <v>151</v>
      </c>
      <c r="T740">
        <v>70.2</v>
      </c>
      <c r="V740">
        <v>104</v>
      </c>
      <c r="W740">
        <v>80.900000000000006</v>
      </c>
      <c r="X740">
        <v>11.5</v>
      </c>
      <c r="Y740">
        <v>48.8</v>
      </c>
      <c r="Z740">
        <v>83132799</v>
      </c>
      <c r="AA740">
        <v>51.165691000000002</v>
      </c>
      <c r="AB740">
        <v>10.451525999999999</v>
      </c>
    </row>
    <row r="741" spans="1:28" hidden="1">
      <c r="A741">
        <v>721</v>
      </c>
      <c r="B741">
        <v>3900</v>
      </c>
      <c r="C741" t="s">
        <v>26</v>
      </c>
      <c r="D741" t="s">
        <v>1746</v>
      </c>
      <c r="E741">
        <v>44</v>
      </c>
      <c r="G741" t="s">
        <v>148</v>
      </c>
      <c r="H741" t="s">
        <v>1744</v>
      </c>
      <c r="I741" t="s">
        <v>1260</v>
      </c>
      <c r="J741" t="s">
        <v>26</v>
      </c>
      <c r="K741" t="s">
        <v>148</v>
      </c>
      <c r="M741" t="b">
        <v>0</v>
      </c>
      <c r="N741" t="s">
        <v>32</v>
      </c>
      <c r="O741" t="s">
        <v>88</v>
      </c>
      <c r="Q741">
        <v>112.85</v>
      </c>
      <c r="R741">
        <v>1.4</v>
      </c>
      <c r="S741" t="s">
        <v>151</v>
      </c>
      <c r="T741">
        <v>70.2</v>
      </c>
      <c r="V741">
        <v>104</v>
      </c>
      <c r="W741">
        <v>80.900000000000006</v>
      </c>
      <c r="X741">
        <v>11.5</v>
      </c>
      <c r="Y741">
        <v>48.8</v>
      </c>
      <c r="Z741">
        <v>83132799</v>
      </c>
      <c r="AA741">
        <v>51.165691000000002</v>
      </c>
      <c r="AB741">
        <v>10.451525999999999</v>
      </c>
    </row>
    <row r="742" spans="1:28" hidden="1">
      <c r="A742">
        <v>721</v>
      </c>
      <c r="B742">
        <v>3900</v>
      </c>
      <c r="C742" t="s">
        <v>217</v>
      </c>
      <c r="D742" t="s">
        <v>1747</v>
      </c>
      <c r="E742">
        <v>62</v>
      </c>
      <c r="G742" t="s">
        <v>103</v>
      </c>
      <c r="H742" t="s">
        <v>1748</v>
      </c>
      <c r="I742" t="s">
        <v>1749</v>
      </c>
      <c r="J742" t="s">
        <v>217</v>
      </c>
      <c r="K742" t="s">
        <v>103</v>
      </c>
      <c r="M742" t="b">
        <v>1</v>
      </c>
      <c r="N742" t="s">
        <v>42</v>
      </c>
      <c r="O742" t="s">
        <v>33</v>
      </c>
      <c r="Q742">
        <v>125.08</v>
      </c>
      <c r="R742">
        <v>2.9</v>
      </c>
      <c r="S742" t="s">
        <v>106</v>
      </c>
      <c r="T742">
        <v>50.6</v>
      </c>
      <c r="V742">
        <v>100.2</v>
      </c>
      <c r="W742">
        <v>77</v>
      </c>
      <c r="X742">
        <v>9.4</v>
      </c>
      <c r="Y742">
        <v>59.2</v>
      </c>
      <c r="Z742">
        <v>1397715000</v>
      </c>
      <c r="AA742">
        <v>35.861660000000001</v>
      </c>
      <c r="AB742">
        <v>104.195397</v>
      </c>
    </row>
    <row r="743" spans="1:28" hidden="1">
      <c r="A743">
        <v>721</v>
      </c>
      <c r="B743">
        <v>3900</v>
      </c>
      <c r="C743" t="s">
        <v>54</v>
      </c>
      <c r="D743" t="s">
        <v>1750</v>
      </c>
      <c r="E743">
        <v>63</v>
      </c>
      <c r="G743" t="s">
        <v>38</v>
      </c>
      <c r="H743" t="s">
        <v>1751</v>
      </c>
      <c r="I743" t="s">
        <v>699</v>
      </c>
      <c r="J743" t="s">
        <v>54</v>
      </c>
      <c r="K743" t="s">
        <v>38</v>
      </c>
      <c r="M743" t="b">
        <v>1</v>
      </c>
      <c r="N743" t="s">
        <v>42</v>
      </c>
      <c r="O743" t="s">
        <v>33</v>
      </c>
      <c r="Q743">
        <v>117.24</v>
      </c>
      <c r="R743">
        <v>7.5</v>
      </c>
      <c r="S743" t="s">
        <v>44</v>
      </c>
      <c r="T743">
        <v>88.2</v>
      </c>
      <c r="V743">
        <v>101.8</v>
      </c>
      <c r="W743">
        <v>78.5</v>
      </c>
      <c r="X743">
        <v>9.6</v>
      </c>
      <c r="Y743">
        <v>36.6</v>
      </c>
      <c r="Z743">
        <v>328239523</v>
      </c>
      <c r="AA743">
        <v>37.090240000000001</v>
      </c>
      <c r="AB743">
        <v>-95.712890999999999</v>
      </c>
    </row>
    <row r="744" spans="1:28" hidden="1">
      <c r="A744">
        <v>721</v>
      </c>
      <c r="B744">
        <v>3900</v>
      </c>
      <c r="C744" t="s">
        <v>54</v>
      </c>
      <c r="D744" t="s">
        <v>1752</v>
      </c>
      <c r="E744">
        <v>70</v>
      </c>
      <c r="G744" t="s">
        <v>810</v>
      </c>
      <c r="H744" t="s">
        <v>811</v>
      </c>
      <c r="I744" t="s">
        <v>1152</v>
      </c>
      <c r="J744" t="s">
        <v>54</v>
      </c>
      <c r="K744" t="s">
        <v>810</v>
      </c>
      <c r="M744" t="b">
        <v>0</v>
      </c>
      <c r="N744" t="s">
        <v>42</v>
      </c>
      <c r="O744" t="s">
        <v>33</v>
      </c>
    </row>
    <row r="745" spans="1:28" hidden="1">
      <c r="A745">
        <v>721</v>
      </c>
      <c r="B745">
        <v>3900</v>
      </c>
      <c r="C745" t="s">
        <v>101</v>
      </c>
      <c r="D745" t="s">
        <v>1753</v>
      </c>
      <c r="E745">
        <v>79</v>
      </c>
      <c r="G745" t="s">
        <v>77</v>
      </c>
      <c r="H745" t="s">
        <v>78</v>
      </c>
      <c r="I745" t="s">
        <v>1260</v>
      </c>
      <c r="J745" t="s">
        <v>101</v>
      </c>
      <c r="K745" t="s">
        <v>77</v>
      </c>
      <c r="M745" t="b">
        <v>0</v>
      </c>
      <c r="N745" t="s">
        <v>32</v>
      </c>
      <c r="O745" t="s">
        <v>33</v>
      </c>
      <c r="Q745">
        <v>180.44</v>
      </c>
      <c r="R745">
        <v>7.7</v>
      </c>
      <c r="S745" t="s">
        <v>81</v>
      </c>
      <c r="T745">
        <v>28.1</v>
      </c>
      <c r="V745">
        <v>113</v>
      </c>
      <c r="W745">
        <v>69.400000000000006</v>
      </c>
      <c r="X745">
        <v>11.2</v>
      </c>
      <c r="Y745">
        <v>49.7</v>
      </c>
      <c r="Z745">
        <v>1366417754</v>
      </c>
      <c r="AA745">
        <v>20.593684</v>
      </c>
      <c r="AB745">
        <v>78.962879999999998</v>
      </c>
    </row>
    <row r="746" spans="1:28" hidden="1">
      <c r="A746">
        <v>721</v>
      </c>
      <c r="B746">
        <v>3900</v>
      </c>
      <c r="C746" t="s">
        <v>288</v>
      </c>
      <c r="D746" t="s">
        <v>1754</v>
      </c>
      <c r="E746">
        <v>73</v>
      </c>
      <c r="G746" t="s">
        <v>103</v>
      </c>
      <c r="H746" t="s">
        <v>1755</v>
      </c>
      <c r="I746" t="s">
        <v>418</v>
      </c>
      <c r="J746" t="s">
        <v>288</v>
      </c>
      <c r="K746" t="s">
        <v>103</v>
      </c>
      <c r="M746" t="b">
        <v>1</v>
      </c>
      <c r="N746" t="s">
        <v>419</v>
      </c>
      <c r="O746" t="s">
        <v>33</v>
      </c>
      <c r="Q746">
        <v>125.08</v>
      </c>
      <c r="R746">
        <v>2.9</v>
      </c>
      <c r="S746" t="s">
        <v>106</v>
      </c>
      <c r="T746">
        <v>50.6</v>
      </c>
      <c r="V746">
        <v>100.2</v>
      </c>
      <c r="W746">
        <v>77</v>
      </c>
      <c r="X746">
        <v>9.4</v>
      </c>
      <c r="Y746">
        <v>59.2</v>
      </c>
      <c r="Z746">
        <v>1397715000</v>
      </c>
      <c r="AA746">
        <v>35.861660000000001</v>
      </c>
      <c r="AB746">
        <v>104.195397</v>
      </c>
    </row>
    <row r="747" spans="1:28" hidden="1">
      <c r="A747">
        <v>721</v>
      </c>
      <c r="B747">
        <v>3900</v>
      </c>
      <c r="C747" t="s">
        <v>217</v>
      </c>
      <c r="D747" t="s">
        <v>1756</v>
      </c>
      <c r="E747">
        <v>57</v>
      </c>
      <c r="G747" t="s">
        <v>103</v>
      </c>
      <c r="H747" t="s">
        <v>633</v>
      </c>
      <c r="I747" t="s">
        <v>312</v>
      </c>
      <c r="J747" t="s">
        <v>217</v>
      </c>
      <c r="K747" t="s">
        <v>103</v>
      </c>
      <c r="M747" t="b">
        <v>1</v>
      </c>
      <c r="N747" t="s">
        <v>42</v>
      </c>
      <c r="O747" t="s">
        <v>33</v>
      </c>
      <c r="Q747">
        <v>125.08</v>
      </c>
      <c r="R747">
        <v>2.9</v>
      </c>
      <c r="S747" t="s">
        <v>106</v>
      </c>
      <c r="T747">
        <v>50.6</v>
      </c>
      <c r="V747">
        <v>100.2</v>
      </c>
      <c r="W747">
        <v>77</v>
      </c>
      <c r="X747">
        <v>9.4</v>
      </c>
      <c r="Y747">
        <v>59.2</v>
      </c>
      <c r="Z747">
        <v>1397715000</v>
      </c>
      <c r="AA747">
        <v>35.861660000000001</v>
      </c>
      <c r="AB747">
        <v>104.195397</v>
      </c>
    </row>
    <row r="748" spans="1:28" hidden="1">
      <c r="A748">
        <v>721</v>
      </c>
      <c r="B748">
        <v>3900</v>
      </c>
      <c r="C748" t="s">
        <v>288</v>
      </c>
      <c r="D748" t="s">
        <v>1757</v>
      </c>
      <c r="E748">
        <v>60</v>
      </c>
      <c r="G748" t="s">
        <v>103</v>
      </c>
      <c r="H748" t="s">
        <v>176</v>
      </c>
      <c r="I748" t="s">
        <v>418</v>
      </c>
      <c r="J748" t="s">
        <v>288</v>
      </c>
      <c r="K748" t="s">
        <v>103</v>
      </c>
      <c r="M748" t="b">
        <v>1</v>
      </c>
      <c r="N748" t="s">
        <v>42</v>
      </c>
      <c r="O748" t="s">
        <v>33</v>
      </c>
      <c r="Q748">
        <v>125.08</v>
      </c>
      <c r="R748">
        <v>2.9</v>
      </c>
      <c r="S748" t="s">
        <v>106</v>
      </c>
      <c r="T748">
        <v>50.6</v>
      </c>
      <c r="V748">
        <v>100.2</v>
      </c>
      <c r="W748">
        <v>77</v>
      </c>
      <c r="X748">
        <v>9.4</v>
      </c>
      <c r="Y748">
        <v>59.2</v>
      </c>
      <c r="Z748">
        <v>1397715000</v>
      </c>
      <c r="AA748">
        <v>35.861660000000001</v>
      </c>
      <c r="AB748">
        <v>104.195397</v>
      </c>
    </row>
    <row r="749" spans="1:28" hidden="1">
      <c r="A749">
        <v>748</v>
      </c>
      <c r="B749">
        <v>3800</v>
      </c>
      <c r="C749" t="s">
        <v>308</v>
      </c>
      <c r="D749" t="s">
        <v>1758</v>
      </c>
      <c r="E749">
        <v>63</v>
      </c>
      <c r="G749" t="s">
        <v>77</v>
      </c>
      <c r="H749" t="s">
        <v>248</v>
      </c>
      <c r="I749" t="s">
        <v>1759</v>
      </c>
      <c r="J749" t="s">
        <v>308</v>
      </c>
      <c r="K749" t="s">
        <v>77</v>
      </c>
      <c r="M749" t="b">
        <v>0</v>
      </c>
      <c r="N749" t="s">
        <v>212</v>
      </c>
      <c r="O749" t="s">
        <v>33</v>
      </c>
      <c r="Q749">
        <v>180.44</v>
      </c>
      <c r="R749">
        <v>7.7</v>
      </c>
      <c r="S749" t="s">
        <v>81</v>
      </c>
      <c r="T749">
        <v>28.1</v>
      </c>
      <c r="V749">
        <v>113</v>
      </c>
      <c r="W749">
        <v>69.400000000000006</v>
      </c>
      <c r="X749">
        <v>11.2</v>
      </c>
      <c r="Y749">
        <v>49.7</v>
      </c>
      <c r="Z749">
        <v>1366417754</v>
      </c>
      <c r="AA749">
        <v>20.593684</v>
      </c>
      <c r="AB749">
        <v>78.962879999999998</v>
      </c>
    </row>
    <row r="750" spans="1:28" hidden="1">
      <c r="A750">
        <v>748</v>
      </c>
      <c r="B750">
        <v>3800</v>
      </c>
      <c r="C750" t="s">
        <v>469</v>
      </c>
      <c r="D750" t="s">
        <v>1760</v>
      </c>
      <c r="E750">
        <v>80</v>
      </c>
      <c r="G750" t="s">
        <v>164</v>
      </c>
      <c r="H750" t="s">
        <v>1761</v>
      </c>
      <c r="I750" t="s">
        <v>1762</v>
      </c>
      <c r="J750" t="s">
        <v>469</v>
      </c>
      <c r="K750" t="s">
        <v>164</v>
      </c>
      <c r="M750" t="b">
        <v>1</v>
      </c>
      <c r="N750" t="s">
        <v>42</v>
      </c>
      <c r="O750" t="s">
        <v>33</v>
      </c>
      <c r="Q750">
        <v>110.62</v>
      </c>
      <c r="R750">
        <v>0.6</v>
      </c>
      <c r="S750" t="s">
        <v>539</v>
      </c>
      <c r="T750">
        <v>61.9</v>
      </c>
      <c r="V750">
        <v>101.9</v>
      </c>
      <c r="W750">
        <v>82.9</v>
      </c>
      <c r="X750">
        <v>24.3</v>
      </c>
      <c r="Y750">
        <v>59.1</v>
      </c>
      <c r="Z750">
        <v>60297396</v>
      </c>
      <c r="AA750">
        <v>41.871940000000002</v>
      </c>
      <c r="AB750">
        <v>12.56738</v>
      </c>
    </row>
    <row r="751" spans="1:28" hidden="1">
      <c r="A751">
        <v>748</v>
      </c>
      <c r="B751">
        <v>3800</v>
      </c>
      <c r="C751" t="s">
        <v>63</v>
      </c>
      <c r="D751" t="s">
        <v>1763</v>
      </c>
      <c r="E751">
        <v>81</v>
      </c>
      <c r="G751" t="s">
        <v>38</v>
      </c>
      <c r="H751" t="s">
        <v>65</v>
      </c>
      <c r="I751" t="s">
        <v>1764</v>
      </c>
      <c r="J751" t="s">
        <v>63</v>
      </c>
      <c r="K751" t="s">
        <v>38</v>
      </c>
      <c r="M751" t="b">
        <v>1</v>
      </c>
      <c r="N751" t="s">
        <v>42</v>
      </c>
      <c r="O751" t="s">
        <v>33</v>
      </c>
      <c r="Q751">
        <v>117.24</v>
      </c>
      <c r="R751">
        <v>7.5</v>
      </c>
      <c r="S751" t="s">
        <v>44</v>
      </c>
      <c r="T751">
        <v>88.2</v>
      </c>
      <c r="V751">
        <v>101.8</v>
      </c>
      <c r="W751">
        <v>78.5</v>
      </c>
      <c r="X751">
        <v>9.6</v>
      </c>
      <c r="Y751">
        <v>36.6</v>
      </c>
      <c r="Z751">
        <v>328239523</v>
      </c>
      <c r="AA751">
        <v>37.090240000000001</v>
      </c>
      <c r="AB751">
        <v>-95.712890999999999</v>
      </c>
    </row>
    <row r="752" spans="1:28" hidden="1">
      <c r="A752">
        <v>748</v>
      </c>
      <c r="B752">
        <v>3800</v>
      </c>
      <c r="C752" t="s">
        <v>54</v>
      </c>
      <c r="D752" t="s">
        <v>1765</v>
      </c>
      <c r="E752">
        <v>61</v>
      </c>
      <c r="G752" t="s">
        <v>38</v>
      </c>
      <c r="H752" t="s">
        <v>65</v>
      </c>
      <c r="I752" t="s">
        <v>231</v>
      </c>
      <c r="J752" t="s">
        <v>54</v>
      </c>
      <c r="K752" t="s">
        <v>38</v>
      </c>
      <c r="M752" t="b">
        <v>1</v>
      </c>
      <c r="N752" t="s">
        <v>32</v>
      </c>
      <c r="O752" t="s">
        <v>33</v>
      </c>
      <c r="Q752">
        <v>117.24</v>
      </c>
      <c r="R752">
        <v>7.5</v>
      </c>
      <c r="S752" t="s">
        <v>44</v>
      </c>
      <c r="T752">
        <v>88.2</v>
      </c>
      <c r="V752">
        <v>101.8</v>
      </c>
      <c r="W752">
        <v>78.5</v>
      </c>
      <c r="X752">
        <v>9.6</v>
      </c>
      <c r="Y752">
        <v>36.6</v>
      </c>
      <c r="Z752">
        <v>328239523</v>
      </c>
      <c r="AA752">
        <v>37.090240000000001</v>
      </c>
      <c r="AB752">
        <v>-95.712890999999999</v>
      </c>
    </row>
    <row r="753" spans="1:28">
      <c r="A753">
        <v>748</v>
      </c>
      <c r="B753">
        <v>3800</v>
      </c>
      <c r="C753" t="s">
        <v>54</v>
      </c>
      <c r="D753" t="s">
        <v>1766</v>
      </c>
      <c r="E753">
        <v>63</v>
      </c>
      <c r="F753" t="str">
        <f>IF(E753&gt;=90,"90-100",IF(E753&gt;=80,"80-90",IF(E753&gt;=70,"70-80",IF(E753&gt;=60,"60-70",IF(E753&gt;=50,"50-60",IF(E753&gt;=40,"40-50",IF(E753&gt;=30,"30-40","20-30")))))))</f>
        <v>60-70</v>
      </c>
      <c r="G753" t="s">
        <v>38</v>
      </c>
      <c r="H753" t="s">
        <v>65</v>
      </c>
      <c r="I753" t="s">
        <v>613</v>
      </c>
      <c r="J753" t="s">
        <v>54</v>
      </c>
      <c r="K753" t="s">
        <v>38</v>
      </c>
      <c r="L753" t="s">
        <v>1767</v>
      </c>
      <c r="M753" t="b">
        <v>1</v>
      </c>
      <c r="N753" t="s">
        <v>32</v>
      </c>
      <c r="O753" t="s">
        <v>4867</v>
      </c>
      <c r="P753" t="s">
        <v>1768</v>
      </c>
      <c r="Q753">
        <v>117.24</v>
      </c>
      <c r="R753">
        <v>7.5</v>
      </c>
      <c r="S753" t="s">
        <v>44</v>
      </c>
      <c r="T753">
        <v>88.2</v>
      </c>
      <c r="U753" t="str">
        <f>IF(T753&gt;=100,"above 100",IF(T753&gt;=80,"80-100",IF(T753&gt;=60,"60-80",IF(T753&gt;=40,"40-60",IF(T753&gt;=20,"20-60","0-20")))))</f>
        <v>80-100</v>
      </c>
      <c r="V753">
        <v>101.8</v>
      </c>
      <c r="W753">
        <v>78.5</v>
      </c>
      <c r="X753">
        <v>9.6</v>
      </c>
      <c r="Y753">
        <v>36.6</v>
      </c>
      <c r="Z753">
        <v>328239523</v>
      </c>
      <c r="AA753">
        <v>37.090240000000001</v>
      </c>
      <c r="AB753">
        <v>-95.712890999999999</v>
      </c>
    </row>
    <row r="754" spans="1:28" hidden="1">
      <c r="A754">
        <v>748</v>
      </c>
      <c r="B754">
        <v>3800</v>
      </c>
      <c r="C754" t="s">
        <v>308</v>
      </c>
      <c r="D754" t="s">
        <v>1769</v>
      </c>
      <c r="E754">
        <v>69</v>
      </c>
      <c r="G754" t="s">
        <v>38</v>
      </c>
      <c r="H754" t="s">
        <v>184</v>
      </c>
      <c r="I754" t="s">
        <v>1770</v>
      </c>
      <c r="J754" t="s">
        <v>308</v>
      </c>
      <c r="K754" t="s">
        <v>38</v>
      </c>
      <c r="M754" t="b">
        <v>1</v>
      </c>
      <c r="N754" t="s">
        <v>42</v>
      </c>
      <c r="O754" t="s">
        <v>33</v>
      </c>
      <c r="Q754">
        <v>117.24</v>
      </c>
      <c r="R754">
        <v>7.5</v>
      </c>
      <c r="S754" t="s">
        <v>44</v>
      </c>
      <c r="T754">
        <v>88.2</v>
      </c>
      <c r="V754">
        <v>101.8</v>
      </c>
      <c r="W754">
        <v>78.5</v>
      </c>
      <c r="X754">
        <v>9.6</v>
      </c>
      <c r="Y754">
        <v>36.6</v>
      </c>
      <c r="Z754">
        <v>328239523</v>
      </c>
      <c r="AA754">
        <v>37.090240000000001</v>
      </c>
      <c r="AB754">
        <v>-95.712890999999999</v>
      </c>
    </row>
    <row r="755" spans="1:28" hidden="1">
      <c r="A755">
        <v>748</v>
      </c>
      <c r="B755">
        <v>3800</v>
      </c>
      <c r="C755" t="s">
        <v>101</v>
      </c>
      <c r="D755" t="s">
        <v>1771</v>
      </c>
      <c r="E755">
        <v>61</v>
      </c>
      <c r="G755" t="s">
        <v>38</v>
      </c>
      <c r="H755" t="s">
        <v>307</v>
      </c>
      <c r="I755" t="s">
        <v>1772</v>
      </c>
      <c r="J755" t="s">
        <v>101</v>
      </c>
      <c r="K755" t="s">
        <v>38</v>
      </c>
      <c r="M755" t="b">
        <v>1</v>
      </c>
      <c r="N755" t="s">
        <v>32</v>
      </c>
      <c r="O755" t="s">
        <v>33</v>
      </c>
      <c r="Q755">
        <v>117.24</v>
      </c>
      <c r="R755">
        <v>7.5</v>
      </c>
      <c r="S755" t="s">
        <v>44</v>
      </c>
      <c r="T755">
        <v>88.2</v>
      </c>
      <c r="V755">
        <v>101.8</v>
      </c>
      <c r="W755">
        <v>78.5</v>
      </c>
      <c r="X755">
        <v>9.6</v>
      </c>
      <c r="Y755">
        <v>36.6</v>
      </c>
      <c r="Z755">
        <v>328239523</v>
      </c>
      <c r="AA755">
        <v>37.090240000000001</v>
      </c>
      <c r="AB755">
        <v>-95.712890999999999</v>
      </c>
    </row>
    <row r="756" spans="1:28">
      <c r="A756">
        <v>748</v>
      </c>
      <c r="B756">
        <v>3800</v>
      </c>
      <c r="C756" t="s">
        <v>63</v>
      </c>
      <c r="D756" t="s">
        <v>1773</v>
      </c>
      <c r="E756">
        <v>87</v>
      </c>
      <c r="F756" t="str">
        <f>IF(E756&gt;=90,"90-100",IF(E756&gt;=80,"80-90",IF(E756&gt;=70,"70-80",IF(E756&gt;=60,"60-70",IF(E756&gt;=50,"50-60",IF(E756&gt;=40,"40-50",IF(E756&gt;=30,"30-40","20-30")))))))</f>
        <v>80-90</v>
      </c>
      <c r="G756" t="s">
        <v>38</v>
      </c>
      <c r="H756" t="s">
        <v>327</v>
      </c>
      <c r="I756" t="s">
        <v>1774</v>
      </c>
      <c r="J756" t="s">
        <v>63</v>
      </c>
      <c r="K756" t="s">
        <v>38</v>
      </c>
      <c r="L756" t="s">
        <v>1775</v>
      </c>
      <c r="M756" t="b">
        <v>0</v>
      </c>
      <c r="N756" t="s">
        <v>42</v>
      </c>
      <c r="O756" t="s">
        <v>4866</v>
      </c>
      <c r="P756" t="s">
        <v>1776</v>
      </c>
      <c r="Q756">
        <v>117.24</v>
      </c>
      <c r="R756">
        <v>7.5</v>
      </c>
      <c r="S756" t="s">
        <v>44</v>
      </c>
      <c r="T756">
        <v>88.2</v>
      </c>
      <c r="U756" t="str">
        <f>IF(T756&gt;=100,"above 100",IF(T756&gt;=80,"80-100",IF(T756&gt;=60,"60-80",IF(T756&gt;=40,"40-60",IF(T756&gt;=20,"20-60","0-20")))))</f>
        <v>80-100</v>
      </c>
      <c r="V756">
        <v>101.8</v>
      </c>
      <c r="W756">
        <v>78.5</v>
      </c>
      <c r="X756">
        <v>9.6</v>
      </c>
      <c r="Y756">
        <v>36.6</v>
      </c>
      <c r="Z756">
        <v>328239523</v>
      </c>
      <c r="AA756">
        <v>37.090240000000001</v>
      </c>
      <c r="AB756">
        <v>-95.712890999999999</v>
      </c>
    </row>
    <row r="757" spans="1:28" hidden="1">
      <c r="A757">
        <v>748</v>
      </c>
      <c r="B757">
        <v>3800</v>
      </c>
      <c r="C757" t="s">
        <v>36</v>
      </c>
      <c r="D757" t="s">
        <v>1777</v>
      </c>
      <c r="E757">
        <v>41</v>
      </c>
      <c r="G757" t="s">
        <v>103</v>
      </c>
      <c r="H757" t="s">
        <v>143</v>
      </c>
      <c r="I757" t="s">
        <v>1778</v>
      </c>
      <c r="J757" t="s">
        <v>36</v>
      </c>
      <c r="K757" t="s">
        <v>103</v>
      </c>
      <c r="M757" t="b">
        <v>1</v>
      </c>
      <c r="N757" t="s">
        <v>42</v>
      </c>
      <c r="O757" t="s">
        <v>33</v>
      </c>
      <c r="Q757">
        <v>125.08</v>
      </c>
      <c r="R757">
        <v>2.9</v>
      </c>
      <c r="S757" t="s">
        <v>106</v>
      </c>
      <c r="T757">
        <v>50.6</v>
      </c>
      <c r="V757">
        <v>100.2</v>
      </c>
      <c r="W757">
        <v>77</v>
      </c>
      <c r="X757">
        <v>9.4</v>
      </c>
      <c r="Y757">
        <v>59.2</v>
      </c>
      <c r="Z757">
        <v>1397715000</v>
      </c>
      <c r="AA757">
        <v>35.861660000000001</v>
      </c>
      <c r="AB757">
        <v>104.195397</v>
      </c>
    </row>
    <row r="758" spans="1:28" hidden="1">
      <c r="A758">
        <v>748</v>
      </c>
      <c r="B758">
        <v>3800</v>
      </c>
      <c r="C758" t="s">
        <v>221</v>
      </c>
      <c r="D758" t="s">
        <v>1779</v>
      </c>
      <c r="E758">
        <v>64</v>
      </c>
      <c r="G758" t="s">
        <v>38</v>
      </c>
      <c r="H758" t="s">
        <v>480</v>
      </c>
      <c r="I758" t="s">
        <v>223</v>
      </c>
      <c r="J758" t="s">
        <v>221</v>
      </c>
      <c r="K758" t="s">
        <v>38</v>
      </c>
      <c r="M758" t="b">
        <v>0</v>
      </c>
      <c r="N758" t="s">
        <v>32</v>
      </c>
      <c r="O758" t="s">
        <v>33</v>
      </c>
      <c r="Q758">
        <v>117.24</v>
      </c>
      <c r="R758">
        <v>7.5</v>
      </c>
      <c r="S758" t="s">
        <v>44</v>
      </c>
      <c r="T758">
        <v>88.2</v>
      </c>
      <c r="V758">
        <v>101.8</v>
      </c>
      <c r="W758">
        <v>78.5</v>
      </c>
      <c r="X758">
        <v>9.6</v>
      </c>
      <c r="Y758">
        <v>36.6</v>
      </c>
      <c r="Z758">
        <v>328239523</v>
      </c>
      <c r="AA758">
        <v>37.090240000000001</v>
      </c>
      <c r="AB758">
        <v>-95.712890999999999</v>
      </c>
    </row>
    <row r="759" spans="1:28" hidden="1">
      <c r="A759">
        <v>748</v>
      </c>
      <c r="B759">
        <v>3800</v>
      </c>
      <c r="C759" t="s">
        <v>221</v>
      </c>
      <c r="D759" t="s">
        <v>1780</v>
      </c>
      <c r="E759">
        <v>82</v>
      </c>
      <c r="G759" t="s">
        <v>77</v>
      </c>
      <c r="H759" t="s">
        <v>78</v>
      </c>
      <c r="I759" t="s">
        <v>223</v>
      </c>
      <c r="J759" t="s">
        <v>221</v>
      </c>
      <c r="K759" t="s">
        <v>77</v>
      </c>
      <c r="M759" t="b">
        <v>0</v>
      </c>
      <c r="N759" t="s">
        <v>32</v>
      </c>
      <c r="O759" t="s">
        <v>33</v>
      </c>
      <c r="Q759">
        <v>180.44</v>
      </c>
      <c r="R759">
        <v>7.7</v>
      </c>
      <c r="S759" t="s">
        <v>81</v>
      </c>
      <c r="T759">
        <v>28.1</v>
      </c>
      <c r="V759">
        <v>113</v>
      </c>
      <c r="W759">
        <v>69.400000000000006</v>
      </c>
      <c r="X759">
        <v>11.2</v>
      </c>
      <c r="Y759">
        <v>49.7</v>
      </c>
      <c r="Z759">
        <v>1366417754</v>
      </c>
      <c r="AA759">
        <v>20.593684</v>
      </c>
      <c r="AB759">
        <v>78.962879999999998</v>
      </c>
    </row>
    <row r="760" spans="1:28" hidden="1">
      <c r="A760">
        <v>748</v>
      </c>
      <c r="B760">
        <v>3800</v>
      </c>
      <c r="C760" t="s">
        <v>250</v>
      </c>
      <c r="D760" t="s">
        <v>1781</v>
      </c>
      <c r="E760">
        <v>71</v>
      </c>
      <c r="G760" t="s">
        <v>38</v>
      </c>
      <c r="H760" t="s">
        <v>480</v>
      </c>
      <c r="I760" t="s">
        <v>351</v>
      </c>
      <c r="J760" t="s">
        <v>250</v>
      </c>
      <c r="K760" t="s">
        <v>38</v>
      </c>
      <c r="M760" t="b">
        <v>1</v>
      </c>
      <c r="N760" t="s">
        <v>42</v>
      </c>
      <c r="O760" t="s">
        <v>33</v>
      </c>
      <c r="Q760">
        <v>117.24</v>
      </c>
      <c r="R760">
        <v>7.5</v>
      </c>
      <c r="S760" t="s">
        <v>44</v>
      </c>
      <c r="T760">
        <v>88.2</v>
      </c>
      <c r="V760">
        <v>101.8</v>
      </c>
      <c r="W760">
        <v>78.5</v>
      </c>
      <c r="X760">
        <v>9.6</v>
      </c>
      <c r="Y760">
        <v>36.6</v>
      </c>
      <c r="Z760">
        <v>328239523</v>
      </c>
      <c r="AA760">
        <v>37.090240000000001</v>
      </c>
      <c r="AB760">
        <v>-95.712890999999999</v>
      </c>
    </row>
    <row r="761" spans="1:28" hidden="1">
      <c r="A761">
        <v>748</v>
      </c>
      <c r="B761">
        <v>3800</v>
      </c>
      <c r="C761" t="s">
        <v>68</v>
      </c>
      <c r="D761" t="s">
        <v>1782</v>
      </c>
      <c r="E761">
        <v>58</v>
      </c>
      <c r="G761" t="s">
        <v>198</v>
      </c>
      <c r="H761" t="s">
        <v>199</v>
      </c>
      <c r="I761" t="s">
        <v>1783</v>
      </c>
      <c r="J761" t="s">
        <v>68</v>
      </c>
      <c r="K761" t="s">
        <v>198</v>
      </c>
      <c r="M761" t="b">
        <v>1</v>
      </c>
      <c r="N761" t="s">
        <v>32</v>
      </c>
      <c r="O761" t="s">
        <v>33</v>
      </c>
      <c r="Q761">
        <v>105.48</v>
      </c>
      <c r="R761">
        <v>0.5</v>
      </c>
      <c r="S761" t="s">
        <v>201</v>
      </c>
      <c r="T761">
        <v>63.2</v>
      </c>
      <c r="V761">
        <v>98.8</v>
      </c>
      <c r="W761">
        <v>84.2</v>
      </c>
      <c r="X761">
        <v>11.9</v>
      </c>
      <c r="Y761">
        <v>46.7</v>
      </c>
      <c r="Z761">
        <v>126226568</v>
      </c>
      <c r="AA761">
        <v>36.204824000000002</v>
      </c>
      <c r="AB761">
        <v>138.25292400000001</v>
      </c>
    </row>
    <row r="762" spans="1:28" hidden="1">
      <c r="A762">
        <v>748</v>
      </c>
      <c r="B762">
        <v>3800</v>
      </c>
      <c r="C762" t="s">
        <v>288</v>
      </c>
      <c r="D762" t="s">
        <v>1784</v>
      </c>
      <c r="E762">
        <v>54</v>
      </c>
      <c r="G762" t="s">
        <v>103</v>
      </c>
      <c r="H762" t="s">
        <v>1785</v>
      </c>
      <c r="I762" t="s">
        <v>288</v>
      </c>
      <c r="J762" t="s">
        <v>288</v>
      </c>
      <c r="K762" t="s">
        <v>103</v>
      </c>
      <c r="M762" t="b">
        <v>1</v>
      </c>
      <c r="N762" t="s">
        <v>192</v>
      </c>
      <c r="O762" t="s">
        <v>33</v>
      </c>
      <c r="Q762">
        <v>125.08</v>
      </c>
      <c r="R762">
        <v>2.9</v>
      </c>
      <c r="S762" t="s">
        <v>106</v>
      </c>
      <c r="T762">
        <v>50.6</v>
      </c>
      <c r="V762">
        <v>100.2</v>
      </c>
      <c r="W762">
        <v>77</v>
      </c>
      <c r="X762">
        <v>9.4</v>
      </c>
      <c r="Y762">
        <v>59.2</v>
      </c>
      <c r="Z762">
        <v>1397715000</v>
      </c>
      <c r="AA762">
        <v>35.861660000000001</v>
      </c>
      <c r="AB762">
        <v>104.195397</v>
      </c>
    </row>
    <row r="763" spans="1:28" hidden="1">
      <c r="A763">
        <v>748</v>
      </c>
      <c r="B763">
        <v>3800</v>
      </c>
      <c r="C763" t="s">
        <v>54</v>
      </c>
      <c r="D763" t="s">
        <v>1786</v>
      </c>
      <c r="E763">
        <v>73</v>
      </c>
      <c r="G763" t="s">
        <v>810</v>
      </c>
      <c r="H763" t="s">
        <v>811</v>
      </c>
      <c r="I763" t="s">
        <v>1152</v>
      </c>
      <c r="J763" t="s">
        <v>54</v>
      </c>
      <c r="K763" t="s">
        <v>810</v>
      </c>
      <c r="M763" t="b">
        <v>0</v>
      </c>
      <c r="N763" t="s">
        <v>42</v>
      </c>
      <c r="O763" t="s">
        <v>33</v>
      </c>
    </row>
    <row r="764" spans="1:28">
      <c r="A764">
        <v>748</v>
      </c>
      <c r="B764">
        <v>3800</v>
      </c>
      <c r="C764" t="s">
        <v>308</v>
      </c>
      <c r="D764" t="s">
        <v>1787</v>
      </c>
      <c r="E764">
        <v>77</v>
      </c>
      <c r="F764" t="str">
        <f>IF(E764&gt;=90,"90-100",IF(E764&gt;=80,"80-90",IF(E764&gt;=70,"70-80",IF(E764&gt;=60,"60-70",IF(E764&gt;=50,"50-60",IF(E764&gt;=40,"40-50",IF(E764&gt;=30,"30-40","20-30")))))))</f>
        <v>70-80</v>
      </c>
      <c r="G764" t="s">
        <v>38</v>
      </c>
      <c r="H764" t="s">
        <v>1788</v>
      </c>
      <c r="I764" t="s">
        <v>1789</v>
      </c>
      <c r="J764" t="s">
        <v>308</v>
      </c>
      <c r="K764" t="s">
        <v>38</v>
      </c>
      <c r="L764" t="s">
        <v>1790</v>
      </c>
      <c r="M764" t="b">
        <v>1</v>
      </c>
      <c r="N764" t="s">
        <v>42</v>
      </c>
      <c r="O764" t="s">
        <v>4867</v>
      </c>
      <c r="P764" t="s">
        <v>1791</v>
      </c>
      <c r="Q764">
        <v>117.24</v>
      </c>
      <c r="R764">
        <v>7.5</v>
      </c>
      <c r="S764" t="s">
        <v>44</v>
      </c>
      <c r="T764">
        <v>88.2</v>
      </c>
      <c r="U764" t="str">
        <f>IF(T764&gt;=100,"above 100",IF(T764&gt;=80,"80-100",IF(T764&gt;=60,"60-80",IF(T764&gt;=40,"40-60",IF(T764&gt;=20,"20-60","0-20")))))</f>
        <v>80-100</v>
      </c>
      <c r="V764">
        <v>101.8</v>
      </c>
      <c r="W764">
        <v>78.5</v>
      </c>
      <c r="X764">
        <v>9.6</v>
      </c>
      <c r="Y764">
        <v>36.6</v>
      </c>
      <c r="Z764">
        <v>328239523</v>
      </c>
      <c r="AA764">
        <v>37.090240000000001</v>
      </c>
      <c r="AB764">
        <v>-95.712890999999999</v>
      </c>
    </row>
    <row r="765" spans="1:28" hidden="1">
      <c r="A765">
        <v>748</v>
      </c>
      <c r="B765">
        <v>3800</v>
      </c>
      <c r="C765" t="s">
        <v>217</v>
      </c>
      <c r="D765" t="s">
        <v>1792</v>
      </c>
      <c r="E765">
        <v>77</v>
      </c>
      <c r="G765" t="s">
        <v>38</v>
      </c>
      <c r="H765" t="s">
        <v>1793</v>
      </c>
      <c r="I765" t="s">
        <v>1794</v>
      </c>
      <c r="J765" t="s">
        <v>217</v>
      </c>
      <c r="K765" t="s">
        <v>38</v>
      </c>
      <c r="M765" t="b">
        <v>1</v>
      </c>
      <c r="N765" t="s">
        <v>192</v>
      </c>
      <c r="O765" t="s">
        <v>88</v>
      </c>
      <c r="P765" t="s">
        <v>628</v>
      </c>
      <c r="Q765">
        <v>117.24</v>
      </c>
      <c r="R765">
        <v>7.5</v>
      </c>
      <c r="S765" t="s">
        <v>44</v>
      </c>
      <c r="T765">
        <v>88.2</v>
      </c>
      <c r="V765">
        <v>101.8</v>
      </c>
      <c r="W765">
        <v>78.5</v>
      </c>
      <c r="X765">
        <v>9.6</v>
      </c>
      <c r="Y765">
        <v>36.6</v>
      </c>
      <c r="Z765">
        <v>328239523</v>
      </c>
      <c r="AA765">
        <v>37.090240000000001</v>
      </c>
      <c r="AB765">
        <v>-95.712890999999999</v>
      </c>
    </row>
    <row r="766" spans="1:28" hidden="1">
      <c r="A766">
        <v>748</v>
      </c>
      <c r="B766">
        <v>3800</v>
      </c>
      <c r="C766" t="s">
        <v>217</v>
      </c>
      <c r="D766" t="s">
        <v>1795</v>
      </c>
      <c r="E766">
        <v>77</v>
      </c>
      <c r="G766" t="s">
        <v>38</v>
      </c>
      <c r="H766" t="s">
        <v>1793</v>
      </c>
      <c r="I766" t="s">
        <v>1794</v>
      </c>
      <c r="J766" t="s">
        <v>217</v>
      </c>
      <c r="K766" t="s">
        <v>38</v>
      </c>
      <c r="M766" t="b">
        <v>1</v>
      </c>
      <c r="N766" t="s">
        <v>192</v>
      </c>
      <c r="O766" t="s">
        <v>33</v>
      </c>
      <c r="Q766">
        <v>117.24</v>
      </c>
      <c r="R766">
        <v>7.5</v>
      </c>
      <c r="S766" t="s">
        <v>44</v>
      </c>
      <c r="T766">
        <v>88.2</v>
      </c>
      <c r="V766">
        <v>101.8</v>
      </c>
      <c r="W766">
        <v>78.5</v>
      </c>
      <c r="X766">
        <v>9.6</v>
      </c>
      <c r="Y766">
        <v>36.6</v>
      </c>
      <c r="Z766">
        <v>328239523</v>
      </c>
      <c r="AA766">
        <v>37.090240000000001</v>
      </c>
      <c r="AB766">
        <v>-95.712890999999999</v>
      </c>
    </row>
    <row r="767" spans="1:28" hidden="1">
      <c r="A767">
        <v>766</v>
      </c>
      <c r="B767">
        <v>3700</v>
      </c>
      <c r="C767" t="s">
        <v>54</v>
      </c>
      <c r="D767" t="s">
        <v>1796</v>
      </c>
      <c r="E767">
        <v>51</v>
      </c>
      <c r="G767" t="s">
        <v>38</v>
      </c>
      <c r="H767" t="s">
        <v>39</v>
      </c>
      <c r="I767" t="s">
        <v>909</v>
      </c>
      <c r="J767" t="s">
        <v>54</v>
      </c>
      <c r="K767" t="s">
        <v>38</v>
      </c>
      <c r="M767" t="b">
        <v>1</v>
      </c>
      <c r="N767" t="s">
        <v>192</v>
      </c>
      <c r="O767" t="s">
        <v>33</v>
      </c>
      <c r="Q767">
        <v>117.24</v>
      </c>
      <c r="R767">
        <v>7.5</v>
      </c>
      <c r="S767" t="s">
        <v>44</v>
      </c>
      <c r="T767">
        <v>88.2</v>
      </c>
      <c r="V767">
        <v>101.8</v>
      </c>
      <c r="W767">
        <v>78.5</v>
      </c>
      <c r="X767">
        <v>9.6</v>
      </c>
      <c r="Y767">
        <v>36.6</v>
      </c>
      <c r="Z767">
        <v>328239523</v>
      </c>
      <c r="AA767">
        <v>37.090240000000001</v>
      </c>
      <c r="AB767">
        <v>-95.712890999999999</v>
      </c>
    </row>
    <row r="768" spans="1:28">
      <c r="A768">
        <v>766</v>
      </c>
      <c r="B768">
        <v>3700</v>
      </c>
      <c r="C768" t="s">
        <v>54</v>
      </c>
      <c r="D768" t="s">
        <v>1797</v>
      </c>
      <c r="E768">
        <v>76</v>
      </c>
      <c r="F768" t="str">
        <f>IF(E768&gt;=90,"90-100",IF(E768&gt;=80,"80-90",IF(E768&gt;=70,"70-80",IF(E768&gt;=60,"60-70",IF(E768&gt;=50,"50-60",IF(E768&gt;=40,"40-50",IF(E768&gt;=30,"30-40","20-30")))))))</f>
        <v>70-80</v>
      </c>
      <c r="G768" t="s">
        <v>38</v>
      </c>
      <c r="H768" t="s">
        <v>1798</v>
      </c>
      <c r="I768" t="s">
        <v>782</v>
      </c>
      <c r="J768" t="s">
        <v>54</v>
      </c>
      <c r="K768" t="s">
        <v>38</v>
      </c>
      <c r="L768" t="s">
        <v>1799</v>
      </c>
      <c r="M768" t="b">
        <v>1</v>
      </c>
      <c r="N768" t="s">
        <v>419</v>
      </c>
      <c r="O768" t="s">
        <v>4867</v>
      </c>
      <c r="P768" t="s">
        <v>34</v>
      </c>
      <c r="Q768">
        <v>117.24</v>
      </c>
      <c r="R768">
        <v>7.5</v>
      </c>
      <c r="S768" t="s">
        <v>44</v>
      </c>
      <c r="T768">
        <v>88.2</v>
      </c>
      <c r="U768" t="str">
        <f>IF(T768&gt;=100,"above 100",IF(T768&gt;=80,"80-100",IF(T768&gt;=60,"60-80",IF(T768&gt;=40,"40-60",IF(T768&gt;=20,"20-60","0-20")))))</f>
        <v>80-100</v>
      </c>
      <c r="V768">
        <v>101.8</v>
      </c>
      <c r="W768">
        <v>78.5</v>
      </c>
      <c r="X768">
        <v>9.6</v>
      </c>
      <c r="Y768">
        <v>36.6</v>
      </c>
      <c r="Z768">
        <v>328239523</v>
      </c>
      <c r="AA768">
        <v>37.090240000000001</v>
      </c>
      <c r="AB768">
        <v>-95.712890999999999</v>
      </c>
    </row>
    <row r="769" spans="1:28" hidden="1">
      <c r="A769">
        <v>766</v>
      </c>
      <c r="B769">
        <v>3700</v>
      </c>
      <c r="C769" t="s">
        <v>221</v>
      </c>
      <c r="D769" t="s">
        <v>1800</v>
      </c>
      <c r="E769">
        <v>71</v>
      </c>
      <c r="G769" t="s">
        <v>38</v>
      </c>
      <c r="H769" t="s">
        <v>65</v>
      </c>
      <c r="I769" t="s">
        <v>223</v>
      </c>
      <c r="J769" t="s">
        <v>221</v>
      </c>
      <c r="K769" t="s">
        <v>38</v>
      </c>
      <c r="M769" t="b">
        <v>0</v>
      </c>
      <c r="N769" t="s">
        <v>32</v>
      </c>
      <c r="O769" t="s">
        <v>33</v>
      </c>
      <c r="Q769">
        <v>117.24</v>
      </c>
      <c r="R769">
        <v>7.5</v>
      </c>
      <c r="S769" t="s">
        <v>44</v>
      </c>
      <c r="T769">
        <v>88.2</v>
      </c>
      <c r="V769">
        <v>101.8</v>
      </c>
      <c r="W769">
        <v>78.5</v>
      </c>
      <c r="X769">
        <v>9.6</v>
      </c>
      <c r="Y769">
        <v>36.6</v>
      </c>
      <c r="Z769">
        <v>328239523</v>
      </c>
      <c r="AA769">
        <v>37.090240000000001</v>
      </c>
      <c r="AB769">
        <v>-95.712890999999999</v>
      </c>
    </row>
    <row r="770" spans="1:28" hidden="1">
      <c r="A770">
        <v>766</v>
      </c>
      <c r="B770">
        <v>3700</v>
      </c>
      <c r="C770" t="s">
        <v>221</v>
      </c>
      <c r="D770" t="s">
        <v>1801</v>
      </c>
      <c r="E770">
        <v>56</v>
      </c>
      <c r="G770" t="s">
        <v>203</v>
      </c>
      <c r="H770" t="s">
        <v>204</v>
      </c>
      <c r="I770" t="s">
        <v>223</v>
      </c>
      <c r="J770" t="s">
        <v>221</v>
      </c>
      <c r="K770" t="s">
        <v>467</v>
      </c>
      <c r="M770" t="b">
        <v>1</v>
      </c>
      <c r="N770" t="s">
        <v>42</v>
      </c>
      <c r="O770" t="s">
        <v>33</v>
      </c>
      <c r="Q770">
        <v>119.62</v>
      </c>
      <c r="R770">
        <v>1.7</v>
      </c>
      <c r="S770" t="s">
        <v>206</v>
      </c>
      <c r="T770">
        <v>60</v>
      </c>
      <c r="V770">
        <v>101.2</v>
      </c>
      <c r="W770">
        <v>81.3</v>
      </c>
      <c r="X770">
        <v>25.5</v>
      </c>
      <c r="Y770">
        <v>30.6</v>
      </c>
      <c r="Z770">
        <v>66834405</v>
      </c>
      <c r="AA770">
        <v>55.378050999999999</v>
      </c>
      <c r="AB770">
        <v>-3.4359730000000002</v>
      </c>
    </row>
    <row r="771" spans="1:28" hidden="1">
      <c r="A771">
        <v>766</v>
      </c>
      <c r="B771">
        <v>3700</v>
      </c>
      <c r="C771" t="s">
        <v>45</v>
      </c>
      <c r="D771" t="s">
        <v>1802</v>
      </c>
      <c r="E771">
        <v>59</v>
      </c>
      <c r="G771" t="s">
        <v>103</v>
      </c>
      <c r="H771" t="s">
        <v>1494</v>
      </c>
      <c r="I771" t="s">
        <v>1803</v>
      </c>
      <c r="J771" t="s">
        <v>45</v>
      </c>
      <c r="K771" t="s">
        <v>103</v>
      </c>
      <c r="M771" t="b">
        <v>1</v>
      </c>
      <c r="N771" t="s">
        <v>42</v>
      </c>
      <c r="O771" t="s">
        <v>33</v>
      </c>
      <c r="Q771">
        <v>125.08</v>
      </c>
      <c r="R771">
        <v>2.9</v>
      </c>
      <c r="S771" t="s">
        <v>106</v>
      </c>
      <c r="T771">
        <v>50.6</v>
      </c>
      <c r="V771">
        <v>100.2</v>
      </c>
      <c r="W771">
        <v>77</v>
      </c>
      <c r="X771">
        <v>9.4</v>
      </c>
      <c r="Y771">
        <v>59.2</v>
      </c>
      <c r="Z771">
        <v>1397715000</v>
      </c>
      <c r="AA771">
        <v>35.861660000000001</v>
      </c>
      <c r="AB771">
        <v>104.195397</v>
      </c>
    </row>
    <row r="772" spans="1:28" hidden="1">
      <c r="A772">
        <v>766</v>
      </c>
      <c r="B772">
        <v>3700</v>
      </c>
      <c r="C772" t="s">
        <v>154</v>
      </c>
      <c r="D772" t="s">
        <v>1804</v>
      </c>
      <c r="E772">
        <v>66</v>
      </c>
      <c r="G772" t="s">
        <v>38</v>
      </c>
      <c r="H772" t="s">
        <v>331</v>
      </c>
      <c r="I772" t="s">
        <v>154</v>
      </c>
      <c r="J772" t="s">
        <v>154</v>
      </c>
      <c r="K772" t="s">
        <v>38</v>
      </c>
      <c r="M772" t="b">
        <v>1</v>
      </c>
      <c r="N772" t="s">
        <v>419</v>
      </c>
      <c r="O772" t="s">
        <v>33</v>
      </c>
      <c r="Q772">
        <v>117.24</v>
      </c>
      <c r="R772">
        <v>7.5</v>
      </c>
      <c r="S772" t="s">
        <v>44</v>
      </c>
      <c r="T772">
        <v>88.2</v>
      </c>
      <c r="V772">
        <v>101.8</v>
      </c>
      <c r="W772">
        <v>78.5</v>
      </c>
      <c r="X772">
        <v>9.6</v>
      </c>
      <c r="Y772">
        <v>36.6</v>
      </c>
      <c r="Z772">
        <v>328239523</v>
      </c>
      <c r="AA772">
        <v>37.090240000000001</v>
      </c>
      <c r="AB772">
        <v>-95.712890999999999</v>
      </c>
    </row>
    <row r="773" spans="1:28" hidden="1">
      <c r="A773">
        <v>766</v>
      </c>
      <c r="B773">
        <v>3700</v>
      </c>
      <c r="C773" t="s">
        <v>221</v>
      </c>
      <c r="D773" t="s">
        <v>1805</v>
      </c>
      <c r="E773">
        <v>56</v>
      </c>
      <c r="G773" t="s">
        <v>103</v>
      </c>
      <c r="H773" t="s">
        <v>215</v>
      </c>
      <c r="I773" t="s">
        <v>1806</v>
      </c>
      <c r="J773" t="s">
        <v>221</v>
      </c>
      <c r="K773" t="s">
        <v>103</v>
      </c>
      <c r="M773" t="b">
        <v>1</v>
      </c>
      <c r="N773" t="s">
        <v>32</v>
      </c>
      <c r="O773" t="s">
        <v>33</v>
      </c>
      <c r="Q773">
        <v>125.08</v>
      </c>
      <c r="R773">
        <v>2.9</v>
      </c>
      <c r="S773" t="s">
        <v>106</v>
      </c>
      <c r="T773">
        <v>50.6</v>
      </c>
      <c r="V773">
        <v>100.2</v>
      </c>
      <c r="W773">
        <v>77</v>
      </c>
      <c r="X773">
        <v>9.4</v>
      </c>
      <c r="Y773">
        <v>59.2</v>
      </c>
      <c r="Z773">
        <v>1397715000</v>
      </c>
      <c r="AA773">
        <v>35.861660000000001</v>
      </c>
      <c r="AB773">
        <v>104.195397</v>
      </c>
    </row>
    <row r="774" spans="1:28" hidden="1">
      <c r="A774">
        <v>766</v>
      </c>
      <c r="B774">
        <v>3700</v>
      </c>
      <c r="C774" t="s">
        <v>63</v>
      </c>
      <c r="D774" t="s">
        <v>1807</v>
      </c>
      <c r="E774">
        <v>50</v>
      </c>
      <c r="G774" t="s">
        <v>103</v>
      </c>
      <c r="H774" t="s">
        <v>215</v>
      </c>
      <c r="I774" t="s">
        <v>1808</v>
      </c>
      <c r="J774" t="s">
        <v>63</v>
      </c>
      <c r="K774" t="s">
        <v>395</v>
      </c>
      <c r="M774" t="b">
        <v>1</v>
      </c>
      <c r="N774" t="s">
        <v>42</v>
      </c>
      <c r="O774" t="s">
        <v>33</v>
      </c>
      <c r="Q774">
        <v>125.08</v>
      </c>
      <c r="R774">
        <v>2.9</v>
      </c>
      <c r="S774" t="s">
        <v>106</v>
      </c>
      <c r="T774">
        <v>50.6</v>
      </c>
      <c r="V774">
        <v>100.2</v>
      </c>
      <c r="W774">
        <v>77</v>
      </c>
      <c r="X774">
        <v>9.4</v>
      </c>
      <c r="Y774">
        <v>59.2</v>
      </c>
      <c r="Z774">
        <v>1397715000</v>
      </c>
      <c r="AA774">
        <v>35.861660000000001</v>
      </c>
      <c r="AB774">
        <v>104.195397</v>
      </c>
    </row>
    <row r="775" spans="1:28" hidden="1">
      <c r="A775">
        <v>766</v>
      </c>
      <c r="B775">
        <v>3700</v>
      </c>
      <c r="C775" t="s">
        <v>45</v>
      </c>
      <c r="D775" t="s">
        <v>1809</v>
      </c>
      <c r="E775">
        <v>60</v>
      </c>
      <c r="G775" t="s">
        <v>38</v>
      </c>
      <c r="H775" t="s">
        <v>958</v>
      </c>
      <c r="I775" t="s">
        <v>1143</v>
      </c>
      <c r="J775" t="s">
        <v>45</v>
      </c>
      <c r="K775" t="s">
        <v>38</v>
      </c>
      <c r="M775" t="b">
        <v>1</v>
      </c>
      <c r="N775" t="s">
        <v>32</v>
      </c>
      <c r="O775" t="s">
        <v>33</v>
      </c>
      <c r="Q775">
        <v>117.24</v>
      </c>
      <c r="R775">
        <v>7.5</v>
      </c>
      <c r="S775" t="s">
        <v>44</v>
      </c>
      <c r="T775">
        <v>88.2</v>
      </c>
      <c r="V775">
        <v>101.8</v>
      </c>
      <c r="W775">
        <v>78.5</v>
      </c>
      <c r="X775">
        <v>9.6</v>
      </c>
      <c r="Y775">
        <v>36.6</v>
      </c>
      <c r="Z775">
        <v>328239523</v>
      </c>
      <c r="AA775">
        <v>37.090240000000001</v>
      </c>
      <c r="AB775">
        <v>-95.712890999999999</v>
      </c>
    </row>
    <row r="776" spans="1:28" hidden="1">
      <c r="A776">
        <v>766</v>
      </c>
      <c r="B776">
        <v>3700</v>
      </c>
      <c r="C776" t="s">
        <v>221</v>
      </c>
      <c r="D776" t="s">
        <v>1810</v>
      </c>
      <c r="E776">
        <v>77</v>
      </c>
      <c r="G776" t="s">
        <v>38</v>
      </c>
      <c r="H776" t="s">
        <v>65</v>
      </c>
      <c r="I776" t="s">
        <v>223</v>
      </c>
      <c r="J776" t="s">
        <v>221</v>
      </c>
      <c r="K776" t="s">
        <v>38</v>
      </c>
      <c r="M776" t="b">
        <v>0</v>
      </c>
      <c r="N776" t="s">
        <v>419</v>
      </c>
      <c r="O776" t="s">
        <v>33</v>
      </c>
      <c r="Q776">
        <v>117.24</v>
      </c>
      <c r="R776">
        <v>7.5</v>
      </c>
      <c r="S776" t="s">
        <v>44</v>
      </c>
      <c r="T776">
        <v>88.2</v>
      </c>
      <c r="V776">
        <v>101.8</v>
      </c>
      <c r="W776">
        <v>78.5</v>
      </c>
      <c r="X776">
        <v>9.6</v>
      </c>
      <c r="Y776">
        <v>36.6</v>
      </c>
      <c r="Z776">
        <v>328239523</v>
      </c>
      <c r="AA776">
        <v>37.090240000000001</v>
      </c>
      <c r="AB776">
        <v>-95.712890999999999</v>
      </c>
    </row>
    <row r="777" spans="1:28" hidden="1">
      <c r="A777">
        <v>766</v>
      </c>
      <c r="B777">
        <v>3700</v>
      </c>
      <c r="C777" t="s">
        <v>54</v>
      </c>
      <c r="D777" t="s">
        <v>1811</v>
      </c>
      <c r="E777">
        <v>47</v>
      </c>
      <c r="G777" t="s">
        <v>1462</v>
      </c>
      <c r="H777" t="s">
        <v>1463</v>
      </c>
      <c r="I777" t="s">
        <v>909</v>
      </c>
      <c r="J777" t="s">
        <v>54</v>
      </c>
      <c r="K777" t="s">
        <v>742</v>
      </c>
      <c r="M777" t="b">
        <v>1</v>
      </c>
      <c r="N777" t="s">
        <v>32</v>
      </c>
      <c r="O777" t="s">
        <v>33</v>
      </c>
      <c r="Q777">
        <v>182.75</v>
      </c>
      <c r="R777">
        <v>5.2</v>
      </c>
      <c r="S777" t="s">
        <v>1464</v>
      </c>
      <c r="T777">
        <v>61.7</v>
      </c>
      <c r="V777">
        <v>104.4</v>
      </c>
      <c r="W777">
        <v>73.2</v>
      </c>
      <c r="X777">
        <v>11.7</v>
      </c>
      <c r="Y777">
        <v>28.4</v>
      </c>
      <c r="Z777">
        <v>18513930</v>
      </c>
      <c r="AA777">
        <v>48.019573000000001</v>
      </c>
      <c r="AB777">
        <v>66.923683999999994</v>
      </c>
    </row>
    <row r="778" spans="1:28" hidden="1">
      <c r="A778">
        <v>766</v>
      </c>
      <c r="B778">
        <v>3700</v>
      </c>
      <c r="C778" t="s">
        <v>26</v>
      </c>
      <c r="D778" t="s">
        <v>1812</v>
      </c>
      <c r="E778">
        <v>68</v>
      </c>
      <c r="G778" t="s">
        <v>203</v>
      </c>
      <c r="H778" t="s">
        <v>1813</v>
      </c>
      <c r="I778" t="s">
        <v>150</v>
      </c>
      <c r="J778" t="s">
        <v>26</v>
      </c>
      <c r="K778" t="s">
        <v>203</v>
      </c>
      <c r="M778" t="b">
        <v>1</v>
      </c>
      <c r="N778" t="s">
        <v>32</v>
      </c>
      <c r="O778" t="s">
        <v>33</v>
      </c>
      <c r="Q778">
        <v>119.62</v>
      </c>
      <c r="R778">
        <v>1.7</v>
      </c>
      <c r="S778" t="s">
        <v>206</v>
      </c>
      <c r="T778">
        <v>60</v>
      </c>
      <c r="V778">
        <v>101.2</v>
      </c>
      <c r="W778">
        <v>81.3</v>
      </c>
      <c r="X778">
        <v>25.5</v>
      </c>
      <c r="Y778">
        <v>30.6</v>
      </c>
      <c r="Z778">
        <v>66834405</v>
      </c>
      <c r="AA778">
        <v>55.378050999999999</v>
      </c>
      <c r="AB778">
        <v>-3.4359730000000002</v>
      </c>
    </row>
    <row r="779" spans="1:28" hidden="1">
      <c r="A779">
        <v>766</v>
      </c>
      <c r="B779">
        <v>3700</v>
      </c>
      <c r="C779" t="s">
        <v>217</v>
      </c>
      <c r="D779" t="s">
        <v>1814</v>
      </c>
      <c r="E779">
        <v>78</v>
      </c>
      <c r="G779" t="s">
        <v>198</v>
      </c>
      <c r="H779" t="s">
        <v>1815</v>
      </c>
      <c r="I779" t="s">
        <v>1816</v>
      </c>
      <c r="J779" t="s">
        <v>217</v>
      </c>
      <c r="K779" t="s">
        <v>198</v>
      </c>
      <c r="M779" t="b">
        <v>1</v>
      </c>
      <c r="N779" t="s">
        <v>42</v>
      </c>
      <c r="O779" t="s">
        <v>33</v>
      </c>
      <c r="Q779">
        <v>105.48</v>
      </c>
      <c r="R779">
        <v>0.5</v>
      </c>
      <c r="S779" t="s">
        <v>201</v>
      </c>
      <c r="T779">
        <v>63.2</v>
      </c>
      <c r="V779">
        <v>98.8</v>
      </c>
      <c r="W779">
        <v>84.2</v>
      </c>
      <c r="X779">
        <v>11.9</v>
      </c>
      <c r="Y779">
        <v>46.7</v>
      </c>
      <c r="Z779">
        <v>126226568</v>
      </c>
      <c r="AA779">
        <v>36.204824000000002</v>
      </c>
      <c r="AB779">
        <v>138.25292400000001</v>
      </c>
    </row>
    <row r="780" spans="1:28">
      <c r="A780">
        <v>766</v>
      </c>
      <c r="B780">
        <v>3700</v>
      </c>
      <c r="C780" t="s">
        <v>54</v>
      </c>
      <c r="D780" t="s">
        <v>1817</v>
      </c>
      <c r="E780">
        <v>62</v>
      </c>
      <c r="F780" t="str">
        <f>IF(E780&gt;=90,"90-100",IF(E780&gt;=80,"80-90",IF(E780&gt;=70,"70-80",IF(E780&gt;=60,"60-70",IF(E780&gt;=50,"50-60",IF(E780&gt;=40,"40-50",IF(E780&gt;=30,"30-40","20-30")))))))</f>
        <v>60-70</v>
      </c>
      <c r="G780" t="s">
        <v>38</v>
      </c>
      <c r="H780" t="s">
        <v>789</v>
      </c>
      <c r="I780" t="s">
        <v>185</v>
      </c>
      <c r="J780" t="s">
        <v>54</v>
      </c>
      <c r="K780" t="s">
        <v>38</v>
      </c>
      <c r="L780" t="s">
        <v>1818</v>
      </c>
      <c r="M780" t="b">
        <v>1</v>
      </c>
      <c r="N780" t="s">
        <v>42</v>
      </c>
      <c r="O780" t="s">
        <v>4867</v>
      </c>
      <c r="P780" t="s">
        <v>146</v>
      </c>
      <c r="Q780">
        <v>117.24</v>
      </c>
      <c r="R780">
        <v>7.5</v>
      </c>
      <c r="S780" t="s">
        <v>44</v>
      </c>
      <c r="T780">
        <v>88.2</v>
      </c>
      <c r="U780" t="str">
        <f>IF(T780&gt;=100,"above 100",IF(T780&gt;=80,"80-100",IF(T780&gt;=60,"60-80",IF(T780&gt;=40,"40-60",IF(T780&gt;=20,"20-60","0-20")))))</f>
        <v>80-100</v>
      </c>
      <c r="V780">
        <v>101.8</v>
      </c>
      <c r="W780">
        <v>78.5</v>
      </c>
      <c r="X780">
        <v>9.6</v>
      </c>
      <c r="Y780">
        <v>36.6</v>
      </c>
      <c r="Z780">
        <v>328239523</v>
      </c>
      <c r="AA780">
        <v>37.090240000000001</v>
      </c>
      <c r="AB780">
        <v>-95.712890999999999</v>
      </c>
    </row>
    <row r="781" spans="1:28" hidden="1">
      <c r="A781">
        <v>766</v>
      </c>
      <c r="B781">
        <v>3700</v>
      </c>
      <c r="C781" t="s">
        <v>26</v>
      </c>
      <c r="D781" t="s">
        <v>1819</v>
      </c>
      <c r="E781">
        <v>88</v>
      </c>
      <c r="G781" t="s">
        <v>282</v>
      </c>
      <c r="H781" t="s">
        <v>283</v>
      </c>
      <c r="I781" t="s">
        <v>150</v>
      </c>
      <c r="J781" t="s">
        <v>26</v>
      </c>
      <c r="K781" t="s">
        <v>282</v>
      </c>
      <c r="M781" t="b">
        <v>1</v>
      </c>
      <c r="N781" t="s">
        <v>32</v>
      </c>
      <c r="O781" t="s">
        <v>33</v>
      </c>
      <c r="Q781">
        <v>131.91</v>
      </c>
      <c r="R781">
        <v>2.6</v>
      </c>
      <c r="S781" t="s">
        <v>284</v>
      </c>
      <c r="T781">
        <v>88.5</v>
      </c>
      <c r="V781">
        <v>101.4</v>
      </c>
      <c r="W781">
        <v>80</v>
      </c>
      <c r="X781">
        <v>18.2</v>
      </c>
      <c r="Y781">
        <v>34</v>
      </c>
      <c r="Z781">
        <v>18952038</v>
      </c>
      <c r="AA781">
        <v>-35.675147000000003</v>
      </c>
      <c r="AB781">
        <v>-71.542968999999999</v>
      </c>
    </row>
    <row r="782" spans="1:28" hidden="1">
      <c r="A782">
        <v>766</v>
      </c>
      <c r="B782">
        <v>3700</v>
      </c>
      <c r="C782" t="s">
        <v>308</v>
      </c>
      <c r="D782" t="s">
        <v>1820</v>
      </c>
      <c r="E782">
        <v>62</v>
      </c>
      <c r="G782" t="s">
        <v>38</v>
      </c>
      <c r="H782" t="s">
        <v>635</v>
      </c>
      <c r="I782" t="s">
        <v>1193</v>
      </c>
      <c r="J782" t="s">
        <v>308</v>
      </c>
      <c r="K782" t="s">
        <v>38</v>
      </c>
      <c r="M782" t="b">
        <v>0</v>
      </c>
      <c r="N782" t="s">
        <v>419</v>
      </c>
      <c r="O782" t="s">
        <v>33</v>
      </c>
      <c r="Q782">
        <v>117.24</v>
      </c>
      <c r="R782">
        <v>7.5</v>
      </c>
      <c r="S782" t="s">
        <v>44</v>
      </c>
      <c r="T782">
        <v>88.2</v>
      </c>
      <c r="V782">
        <v>101.8</v>
      </c>
      <c r="W782">
        <v>78.5</v>
      </c>
      <c r="X782">
        <v>9.6</v>
      </c>
      <c r="Y782">
        <v>36.6</v>
      </c>
      <c r="Z782">
        <v>328239523</v>
      </c>
      <c r="AA782">
        <v>37.090240000000001</v>
      </c>
      <c r="AB782">
        <v>-95.712890999999999</v>
      </c>
    </row>
    <row r="783" spans="1:28">
      <c r="A783">
        <v>766</v>
      </c>
      <c r="B783">
        <v>3700</v>
      </c>
      <c r="C783" t="s">
        <v>45</v>
      </c>
      <c r="D783" t="s">
        <v>1821</v>
      </c>
      <c r="E783">
        <v>75</v>
      </c>
      <c r="F783" t="str">
        <f>IF(E783&gt;=90,"90-100",IF(E783&gt;=80,"80-90",IF(E783&gt;=70,"70-80",IF(E783&gt;=60,"60-70",IF(E783&gt;=50,"50-60",IF(E783&gt;=40,"40-50",IF(E783&gt;=30,"30-40","20-30")))))))</f>
        <v>70-80</v>
      </c>
      <c r="G783" t="s">
        <v>38</v>
      </c>
      <c r="H783" t="s">
        <v>863</v>
      </c>
      <c r="I783" t="s">
        <v>572</v>
      </c>
      <c r="J783" t="s">
        <v>45</v>
      </c>
      <c r="K783" t="s">
        <v>38</v>
      </c>
      <c r="L783" t="s">
        <v>864</v>
      </c>
      <c r="M783" t="b">
        <v>1</v>
      </c>
      <c r="N783" t="s">
        <v>32</v>
      </c>
      <c r="O783" t="s">
        <v>4867</v>
      </c>
      <c r="P783" t="s">
        <v>1822</v>
      </c>
      <c r="Q783">
        <v>117.24</v>
      </c>
      <c r="R783">
        <v>7.5</v>
      </c>
      <c r="S783" t="s">
        <v>44</v>
      </c>
      <c r="T783">
        <v>88.2</v>
      </c>
      <c r="U783" t="str">
        <f>IF(T783&gt;=100,"above 100",IF(T783&gt;=80,"80-100",IF(T783&gt;=60,"60-80",IF(T783&gt;=40,"40-60",IF(T783&gt;=20,"20-60","0-20")))))</f>
        <v>80-100</v>
      </c>
      <c r="V783">
        <v>101.8</v>
      </c>
      <c r="W783">
        <v>78.5</v>
      </c>
      <c r="X783">
        <v>9.6</v>
      </c>
      <c r="Y783">
        <v>36.6</v>
      </c>
      <c r="Z783">
        <v>328239523</v>
      </c>
      <c r="AA783">
        <v>37.090240000000001</v>
      </c>
      <c r="AB783">
        <v>-95.712890999999999</v>
      </c>
    </row>
    <row r="784" spans="1:28" hidden="1">
      <c r="A784">
        <v>766</v>
      </c>
      <c r="B784">
        <v>3700</v>
      </c>
      <c r="C784" t="s">
        <v>101</v>
      </c>
      <c r="D784" t="s">
        <v>1823</v>
      </c>
      <c r="E784">
        <v>69</v>
      </c>
      <c r="G784" t="s">
        <v>38</v>
      </c>
      <c r="H784" t="s">
        <v>269</v>
      </c>
      <c r="I784" t="s">
        <v>1824</v>
      </c>
      <c r="J784" t="s">
        <v>101</v>
      </c>
      <c r="K784" t="s">
        <v>38</v>
      </c>
      <c r="M784" t="b">
        <v>1</v>
      </c>
      <c r="N784" t="s">
        <v>42</v>
      </c>
      <c r="O784" t="s">
        <v>33</v>
      </c>
      <c r="Q784">
        <v>117.24</v>
      </c>
      <c r="R784">
        <v>7.5</v>
      </c>
      <c r="S784" t="s">
        <v>44</v>
      </c>
      <c r="T784">
        <v>88.2</v>
      </c>
      <c r="V784">
        <v>101.8</v>
      </c>
      <c r="W784">
        <v>78.5</v>
      </c>
      <c r="X784">
        <v>9.6</v>
      </c>
      <c r="Y784">
        <v>36.6</v>
      </c>
      <c r="Z784">
        <v>328239523</v>
      </c>
      <c r="AA784">
        <v>37.090240000000001</v>
      </c>
      <c r="AB784">
        <v>-95.712890999999999</v>
      </c>
    </row>
    <row r="785" spans="1:28">
      <c r="A785">
        <v>766</v>
      </c>
      <c r="B785">
        <v>3700</v>
      </c>
      <c r="C785" t="s">
        <v>26</v>
      </c>
      <c r="D785" t="s">
        <v>1825</v>
      </c>
      <c r="E785">
        <v>82</v>
      </c>
      <c r="F785" t="str">
        <f>IF(E785&gt;=90,"90-100",IF(E785&gt;=80,"80-90",IF(E785&gt;=70,"70-80",IF(E785&gt;=60,"60-70",IF(E785&gt;=50,"50-60",IF(E785&gt;=40,"40-50",IF(E785&gt;=30,"30-40","20-30")))))))</f>
        <v>80-90</v>
      </c>
      <c r="G785" t="s">
        <v>38</v>
      </c>
      <c r="H785" t="s">
        <v>505</v>
      </c>
      <c r="I785" t="s">
        <v>1826</v>
      </c>
      <c r="J785" t="s">
        <v>26</v>
      </c>
      <c r="K785" t="s">
        <v>38</v>
      </c>
      <c r="L785" t="s">
        <v>1827</v>
      </c>
      <c r="M785" t="b">
        <v>1</v>
      </c>
      <c r="N785" t="s">
        <v>42</v>
      </c>
      <c r="O785" t="s">
        <v>4867</v>
      </c>
      <c r="P785" t="s">
        <v>131</v>
      </c>
      <c r="Q785">
        <v>117.24</v>
      </c>
      <c r="R785">
        <v>7.5</v>
      </c>
      <c r="S785" t="s">
        <v>44</v>
      </c>
      <c r="T785">
        <v>88.2</v>
      </c>
      <c r="U785" t="str">
        <f>IF(T785&gt;=100,"above 100",IF(T785&gt;=80,"80-100",IF(T785&gt;=60,"60-80",IF(T785&gt;=40,"40-60",IF(T785&gt;=20,"20-60","0-20")))))</f>
        <v>80-100</v>
      </c>
      <c r="V785">
        <v>101.8</v>
      </c>
      <c r="W785">
        <v>78.5</v>
      </c>
      <c r="X785">
        <v>9.6</v>
      </c>
      <c r="Y785">
        <v>36.6</v>
      </c>
      <c r="Z785">
        <v>328239523</v>
      </c>
      <c r="AA785">
        <v>37.090240000000001</v>
      </c>
      <c r="AB785">
        <v>-95.712890999999999</v>
      </c>
    </row>
    <row r="786" spans="1:28" hidden="1">
      <c r="A786">
        <v>766</v>
      </c>
      <c r="B786">
        <v>3700</v>
      </c>
      <c r="C786" t="s">
        <v>221</v>
      </c>
      <c r="D786" t="s">
        <v>1828</v>
      </c>
      <c r="E786">
        <v>74</v>
      </c>
      <c r="G786" t="s">
        <v>342</v>
      </c>
      <c r="H786" t="s">
        <v>1829</v>
      </c>
      <c r="I786" t="s">
        <v>223</v>
      </c>
      <c r="J786" t="s">
        <v>221</v>
      </c>
      <c r="K786" t="s">
        <v>342</v>
      </c>
      <c r="M786" t="b">
        <v>1</v>
      </c>
      <c r="N786" t="s">
        <v>42</v>
      </c>
      <c r="O786" t="s">
        <v>33</v>
      </c>
      <c r="Q786">
        <v>108.15</v>
      </c>
      <c r="R786">
        <v>0.8</v>
      </c>
      <c r="S786" t="s">
        <v>532</v>
      </c>
      <c r="T786">
        <v>63.4</v>
      </c>
      <c r="V786">
        <v>104.9</v>
      </c>
      <c r="W786">
        <v>82.8</v>
      </c>
      <c r="X786">
        <v>23.1</v>
      </c>
      <c r="Y786">
        <v>25.3</v>
      </c>
      <c r="Z786">
        <v>9053300</v>
      </c>
      <c r="AA786">
        <v>31.046050999999999</v>
      </c>
      <c r="AB786">
        <v>34.851612000000003</v>
      </c>
    </row>
    <row r="787" spans="1:28" hidden="1">
      <c r="A787">
        <v>766</v>
      </c>
      <c r="B787">
        <v>3700</v>
      </c>
      <c r="C787" t="s">
        <v>217</v>
      </c>
      <c r="D787" t="s">
        <v>1830</v>
      </c>
      <c r="E787">
        <v>56</v>
      </c>
      <c r="G787" t="s">
        <v>103</v>
      </c>
      <c r="H787" t="s">
        <v>1831</v>
      </c>
      <c r="I787" t="s">
        <v>1673</v>
      </c>
      <c r="J787" t="s">
        <v>217</v>
      </c>
      <c r="K787" t="s">
        <v>103</v>
      </c>
      <c r="M787" t="b">
        <v>1</v>
      </c>
      <c r="N787" t="s">
        <v>42</v>
      </c>
      <c r="O787" t="s">
        <v>33</v>
      </c>
      <c r="Q787">
        <v>125.08</v>
      </c>
      <c r="R787">
        <v>2.9</v>
      </c>
      <c r="S787" t="s">
        <v>106</v>
      </c>
      <c r="T787">
        <v>50.6</v>
      </c>
      <c r="V787">
        <v>100.2</v>
      </c>
      <c r="W787">
        <v>77</v>
      </c>
      <c r="X787">
        <v>9.4</v>
      </c>
      <c r="Y787">
        <v>59.2</v>
      </c>
      <c r="Z787">
        <v>1397715000</v>
      </c>
      <c r="AA787">
        <v>35.861660000000001</v>
      </c>
      <c r="AB787">
        <v>104.195397</v>
      </c>
    </row>
    <row r="788" spans="1:28" hidden="1">
      <c r="A788">
        <v>787</v>
      </c>
      <c r="B788">
        <v>3600</v>
      </c>
      <c r="C788" t="s">
        <v>75</v>
      </c>
      <c r="D788" t="s">
        <v>1832</v>
      </c>
      <c r="E788">
        <v>56</v>
      </c>
      <c r="G788" t="s">
        <v>77</v>
      </c>
      <c r="H788" t="s">
        <v>290</v>
      </c>
      <c r="I788" t="s">
        <v>75</v>
      </c>
      <c r="J788" t="s">
        <v>75</v>
      </c>
      <c r="K788" t="s">
        <v>77</v>
      </c>
      <c r="M788" t="b">
        <v>0</v>
      </c>
      <c r="N788" t="s">
        <v>212</v>
      </c>
      <c r="O788" t="s">
        <v>33</v>
      </c>
      <c r="Q788">
        <v>180.44</v>
      </c>
      <c r="R788">
        <v>7.7</v>
      </c>
      <c r="S788" t="s">
        <v>81</v>
      </c>
      <c r="T788">
        <v>28.1</v>
      </c>
      <c r="V788">
        <v>113</v>
      </c>
      <c r="W788">
        <v>69.400000000000006</v>
      </c>
      <c r="X788">
        <v>11.2</v>
      </c>
      <c r="Y788">
        <v>49.7</v>
      </c>
      <c r="Z788">
        <v>1366417754</v>
      </c>
      <c r="AA788">
        <v>20.593684</v>
      </c>
      <c r="AB788">
        <v>78.962879999999998</v>
      </c>
    </row>
    <row r="789" spans="1:28" hidden="1">
      <c r="A789">
        <v>787</v>
      </c>
      <c r="B789">
        <v>3600</v>
      </c>
      <c r="C789" t="s">
        <v>75</v>
      </c>
      <c r="D789" t="s">
        <v>1833</v>
      </c>
      <c r="E789">
        <v>53</v>
      </c>
      <c r="G789" t="s">
        <v>77</v>
      </c>
      <c r="H789" t="s">
        <v>290</v>
      </c>
      <c r="I789" t="s">
        <v>75</v>
      </c>
      <c r="J789" t="s">
        <v>75</v>
      </c>
      <c r="K789" t="s">
        <v>77</v>
      </c>
      <c r="M789" t="b">
        <v>0</v>
      </c>
      <c r="N789" t="s">
        <v>212</v>
      </c>
      <c r="O789" t="s">
        <v>33</v>
      </c>
      <c r="Q789">
        <v>180.44</v>
      </c>
      <c r="R789">
        <v>7.7</v>
      </c>
      <c r="S789" t="s">
        <v>81</v>
      </c>
      <c r="T789">
        <v>28.1</v>
      </c>
      <c r="V789">
        <v>113</v>
      </c>
      <c r="W789">
        <v>69.400000000000006</v>
      </c>
      <c r="X789">
        <v>11.2</v>
      </c>
      <c r="Y789">
        <v>49.7</v>
      </c>
      <c r="Z789">
        <v>1366417754</v>
      </c>
      <c r="AA789">
        <v>20.593684</v>
      </c>
      <c r="AB789">
        <v>78.962879999999998</v>
      </c>
    </row>
    <row r="790" spans="1:28" hidden="1">
      <c r="A790">
        <v>787</v>
      </c>
      <c r="B790">
        <v>3600</v>
      </c>
      <c r="C790" t="s">
        <v>54</v>
      </c>
      <c r="D790" t="s">
        <v>1834</v>
      </c>
      <c r="E790">
        <v>71</v>
      </c>
      <c r="G790" t="s">
        <v>164</v>
      </c>
      <c r="H790" t="s">
        <v>1835</v>
      </c>
      <c r="I790" t="s">
        <v>699</v>
      </c>
      <c r="J790" t="s">
        <v>54</v>
      </c>
      <c r="K790" t="s">
        <v>127</v>
      </c>
      <c r="M790" t="b">
        <v>1</v>
      </c>
      <c r="N790" t="s">
        <v>42</v>
      </c>
      <c r="O790" t="s">
        <v>33</v>
      </c>
      <c r="Q790">
        <v>110.62</v>
      </c>
      <c r="R790">
        <v>0.6</v>
      </c>
      <c r="S790" t="s">
        <v>539</v>
      </c>
      <c r="T790">
        <v>61.9</v>
      </c>
      <c r="V790">
        <v>101.9</v>
      </c>
      <c r="W790">
        <v>82.9</v>
      </c>
      <c r="X790">
        <v>24.3</v>
      </c>
      <c r="Y790">
        <v>59.1</v>
      </c>
      <c r="Z790">
        <v>60297396</v>
      </c>
      <c r="AA790">
        <v>41.871940000000002</v>
      </c>
      <c r="AB790">
        <v>12.56738</v>
      </c>
    </row>
    <row r="791" spans="1:28" hidden="1">
      <c r="A791">
        <v>787</v>
      </c>
      <c r="B791">
        <v>3600</v>
      </c>
      <c r="C791" t="s">
        <v>54</v>
      </c>
      <c r="D791" t="s">
        <v>1836</v>
      </c>
      <c r="E791">
        <v>63</v>
      </c>
      <c r="G791" t="s">
        <v>38</v>
      </c>
      <c r="H791" t="s">
        <v>652</v>
      </c>
      <c r="I791" t="s">
        <v>613</v>
      </c>
      <c r="J791" t="s">
        <v>54</v>
      </c>
      <c r="K791" t="s">
        <v>38</v>
      </c>
      <c r="M791" t="b">
        <v>1</v>
      </c>
      <c r="N791" t="s">
        <v>32</v>
      </c>
      <c r="O791" t="s">
        <v>33</v>
      </c>
      <c r="Q791">
        <v>117.24</v>
      </c>
      <c r="R791">
        <v>7.5</v>
      </c>
      <c r="S791" t="s">
        <v>44</v>
      </c>
      <c r="T791">
        <v>88.2</v>
      </c>
      <c r="V791">
        <v>101.8</v>
      </c>
      <c r="W791">
        <v>78.5</v>
      </c>
      <c r="X791">
        <v>9.6</v>
      </c>
      <c r="Y791">
        <v>36.6</v>
      </c>
      <c r="Z791">
        <v>328239523</v>
      </c>
      <c r="AA791">
        <v>37.090240000000001</v>
      </c>
      <c r="AB791">
        <v>-95.712890999999999</v>
      </c>
    </row>
    <row r="792" spans="1:28" hidden="1">
      <c r="A792">
        <v>787</v>
      </c>
      <c r="B792">
        <v>3600</v>
      </c>
      <c r="C792" t="s">
        <v>36</v>
      </c>
      <c r="D792" t="s">
        <v>1837</v>
      </c>
      <c r="E792">
        <v>47</v>
      </c>
      <c r="G792" t="s">
        <v>156</v>
      </c>
      <c r="H792" t="s">
        <v>1838</v>
      </c>
      <c r="I792" t="s">
        <v>1839</v>
      </c>
      <c r="J792" t="s">
        <v>36</v>
      </c>
      <c r="K792" t="s">
        <v>161</v>
      </c>
      <c r="M792" t="b">
        <v>0</v>
      </c>
      <c r="N792" t="s">
        <v>192</v>
      </c>
      <c r="O792" t="s">
        <v>33</v>
      </c>
      <c r="Q792">
        <v>99.55</v>
      </c>
      <c r="R792">
        <v>0.4</v>
      </c>
      <c r="S792" t="s">
        <v>159</v>
      </c>
      <c r="T792">
        <v>59.6</v>
      </c>
      <c r="V792">
        <v>105.2</v>
      </c>
      <c r="W792">
        <v>83.6</v>
      </c>
      <c r="X792">
        <v>10.1</v>
      </c>
      <c r="Y792">
        <v>28.8</v>
      </c>
      <c r="Z792">
        <v>8574832</v>
      </c>
      <c r="AA792">
        <v>46.818187999999999</v>
      </c>
      <c r="AB792">
        <v>8.2275120000000008</v>
      </c>
    </row>
    <row r="793" spans="1:28" hidden="1">
      <c r="A793">
        <v>787</v>
      </c>
      <c r="B793">
        <v>3600</v>
      </c>
      <c r="C793" t="s">
        <v>101</v>
      </c>
      <c r="D793" t="s">
        <v>1840</v>
      </c>
      <c r="E793">
        <v>84</v>
      </c>
      <c r="G793" t="s">
        <v>1841</v>
      </c>
      <c r="I793" t="s">
        <v>414</v>
      </c>
      <c r="J793" t="s">
        <v>101</v>
      </c>
      <c r="K793" t="s">
        <v>1077</v>
      </c>
      <c r="M793" t="b">
        <v>0</v>
      </c>
      <c r="N793" t="s">
        <v>32</v>
      </c>
      <c r="O793" t="s">
        <v>88</v>
      </c>
    </row>
    <row r="794" spans="1:28" hidden="1">
      <c r="A794">
        <v>787</v>
      </c>
      <c r="B794">
        <v>3600</v>
      </c>
      <c r="C794" t="s">
        <v>221</v>
      </c>
      <c r="D794" t="s">
        <v>1842</v>
      </c>
      <c r="E794">
        <v>82</v>
      </c>
      <c r="G794" t="s">
        <v>127</v>
      </c>
      <c r="H794" t="s">
        <v>643</v>
      </c>
      <c r="I794" t="s">
        <v>1843</v>
      </c>
      <c r="J794" t="s">
        <v>221</v>
      </c>
      <c r="K794" t="s">
        <v>127</v>
      </c>
      <c r="M794" t="b">
        <v>1</v>
      </c>
      <c r="N794" t="s">
        <v>32</v>
      </c>
      <c r="O794" t="s">
        <v>33</v>
      </c>
      <c r="Q794">
        <v>116.76</v>
      </c>
      <c r="R794">
        <v>1.9</v>
      </c>
      <c r="S794" t="s">
        <v>132</v>
      </c>
      <c r="T794">
        <v>68.900000000000006</v>
      </c>
      <c r="V794">
        <v>100.9</v>
      </c>
      <c r="W794">
        <v>81.900000000000006</v>
      </c>
      <c r="X794">
        <v>12.8</v>
      </c>
      <c r="Y794">
        <v>24.5</v>
      </c>
      <c r="Z794">
        <v>36991981</v>
      </c>
      <c r="AA794">
        <v>56.130366000000002</v>
      </c>
      <c r="AB794">
        <v>-106.346771</v>
      </c>
    </row>
    <row r="795" spans="1:28" hidden="1">
      <c r="A795">
        <v>787</v>
      </c>
      <c r="B795">
        <v>3600</v>
      </c>
      <c r="C795" t="s">
        <v>54</v>
      </c>
      <c r="D795" t="s">
        <v>1844</v>
      </c>
      <c r="E795">
        <v>65</v>
      </c>
      <c r="G795" t="s">
        <v>203</v>
      </c>
      <c r="H795" t="s">
        <v>204</v>
      </c>
      <c r="I795" t="s">
        <v>383</v>
      </c>
      <c r="J795" t="s">
        <v>54</v>
      </c>
      <c r="K795" t="s">
        <v>1077</v>
      </c>
      <c r="M795" t="b">
        <v>0</v>
      </c>
      <c r="N795" t="s">
        <v>42</v>
      </c>
      <c r="O795" t="s">
        <v>33</v>
      </c>
      <c r="P795" t="s">
        <v>468</v>
      </c>
      <c r="Q795">
        <v>119.62</v>
      </c>
      <c r="R795">
        <v>1.7</v>
      </c>
      <c r="S795" t="s">
        <v>206</v>
      </c>
      <c r="T795">
        <v>60</v>
      </c>
      <c r="V795">
        <v>101.2</v>
      </c>
      <c r="W795">
        <v>81.3</v>
      </c>
      <c r="X795">
        <v>25.5</v>
      </c>
      <c r="Y795">
        <v>30.6</v>
      </c>
      <c r="Z795">
        <v>66834405</v>
      </c>
      <c r="AA795">
        <v>55.378050999999999</v>
      </c>
      <c r="AB795">
        <v>-3.4359730000000002</v>
      </c>
    </row>
    <row r="796" spans="1:28" hidden="1">
      <c r="A796">
        <v>787</v>
      </c>
      <c r="B796">
        <v>3600</v>
      </c>
      <c r="C796" t="s">
        <v>179</v>
      </c>
      <c r="D796" t="s">
        <v>1845</v>
      </c>
      <c r="E796">
        <v>60</v>
      </c>
      <c r="G796" t="s">
        <v>172</v>
      </c>
      <c r="H796" t="s">
        <v>172</v>
      </c>
      <c r="I796" t="s">
        <v>182</v>
      </c>
      <c r="J796" t="s">
        <v>179</v>
      </c>
      <c r="K796" t="s">
        <v>172</v>
      </c>
      <c r="M796" t="b">
        <v>0</v>
      </c>
      <c r="N796" t="s">
        <v>32</v>
      </c>
      <c r="O796" t="s">
        <v>88</v>
      </c>
    </row>
    <row r="797" spans="1:28">
      <c r="A797">
        <v>787</v>
      </c>
      <c r="B797">
        <v>3600</v>
      </c>
      <c r="C797" t="s">
        <v>54</v>
      </c>
      <c r="D797" t="s">
        <v>1846</v>
      </c>
      <c r="E797">
        <v>59</v>
      </c>
      <c r="F797" t="str">
        <f>IF(E797&gt;=90,"90-100",IF(E797&gt;=80,"80-90",IF(E797&gt;=70,"70-80",IF(E797&gt;=60,"60-70",IF(E797&gt;=50,"50-60",IF(E797&gt;=40,"40-50",IF(E797&gt;=30,"30-40","20-30")))))))</f>
        <v>50-60</v>
      </c>
      <c r="G797" t="s">
        <v>156</v>
      </c>
      <c r="H797" t="s">
        <v>211</v>
      </c>
      <c r="I797" t="s">
        <v>185</v>
      </c>
      <c r="J797" t="s">
        <v>54</v>
      </c>
      <c r="K797" t="s">
        <v>203</v>
      </c>
      <c r="L797" t="s">
        <v>1847</v>
      </c>
      <c r="M797" t="b">
        <v>1</v>
      </c>
      <c r="N797" t="s">
        <v>32</v>
      </c>
      <c r="O797" t="s">
        <v>4867</v>
      </c>
      <c r="P797" t="s">
        <v>146</v>
      </c>
      <c r="Q797">
        <v>99.55</v>
      </c>
      <c r="R797">
        <v>0.4</v>
      </c>
      <c r="S797" t="s">
        <v>159</v>
      </c>
      <c r="T797">
        <v>59.6</v>
      </c>
      <c r="U797" t="str">
        <f>IF(T797&gt;=100,"above 100",IF(T797&gt;=80,"80-100",IF(T797&gt;=60,"60-80",IF(T797&gt;=40,"40-60",IF(T797&gt;=20,"20-60","0-20")))))</f>
        <v>40-60</v>
      </c>
      <c r="V797">
        <v>105.2</v>
      </c>
      <c r="W797">
        <v>83.6</v>
      </c>
      <c r="X797">
        <v>10.1</v>
      </c>
      <c r="Y797">
        <v>28.8</v>
      </c>
      <c r="Z797">
        <v>8574832</v>
      </c>
      <c r="AA797">
        <v>46.818187999999999</v>
      </c>
      <c r="AB797">
        <v>8.2275120000000008</v>
      </c>
    </row>
    <row r="798" spans="1:28" hidden="1">
      <c r="A798">
        <v>787</v>
      </c>
      <c r="B798">
        <v>3600</v>
      </c>
      <c r="C798" t="s">
        <v>36</v>
      </c>
      <c r="D798" t="s">
        <v>1848</v>
      </c>
      <c r="E798">
        <v>61</v>
      </c>
      <c r="G798" t="s">
        <v>103</v>
      </c>
      <c r="H798" t="s">
        <v>143</v>
      </c>
      <c r="I798" t="s">
        <v>1689</v>
      </c>
      <c r="J798" t="s">
        <v>36</v>
      </c>
      <c r="K798" t="s">
        <v>172</v>
      </c>
      <c r="M798" t="b">
        <v>1</v>
      </c>
      <c r="N798" t="s">
        <v>42</v>
      </c>
      <c r="O798" t="s">
        <v>33</v>
      </c>
      <c r="Q798">
        <v>125.08</v>
      </c>
      <c r="R798">
        <v>2.9</v>
      </c>
      <c r="S798" t="s">
        <v>106</v>
      </c>
      <c r="T798">
        <v>50.6</v>
      </c>
      <c r="V798">
        <v>100.2</v>
      </c>
      <c r="W798">
        <v>77</v>
      </c>
      <c r="X798">
        <v>9.4</v>
      </c>
      <c r="Y798">
        <v>59.2</v>
      </c>
      <c r="Z798">
        <v>1397715000</v>
      </c>
      <c r="AA798">
        <v>35.861660000000001</v>
      </c>
      <c r="AB798">
        <v>104.195397</v>
      </c>
    </row>
    <row r="799" spans="1:28" hidden="1">
      <c r="A799">
        <v>787</v>
      </c>
      <c r="B799">
        <v>3600</v>
      </c>
      <c r="C799" t="s">
        <v>54</v>
      </c>
      <c r="D799" t="s">
        <v>1849</v>
      </c>
      <c r="E799">
        <v>80</v>
      </c>
      <c r="G799" t="s">
        <v>38</v>
      </c>
      <c r="H799" t="s">
        <v>1850</v>
      </c>
      <c r="I799" t="s">
        <v>231</v>
      </c>
      <c r="J799" t="s">
        <v>54</v>
      </c>
      <c r="K799" t="s">
        <v>38</v>
      </c>
      <c r="M799" t="b">
        <v>0</v>
      </c>
      <c r="N799" t="s">
        <v>419</v>
      </c>
      <c r="O799" t="s">
        <v>33</v>
      </c>
      <c r="Q799">
        <v>117.24</v>
      </c>
      <c r="R799">
        <v>7.5</v>
      </c>
      <c r="S799" t="s">
        <v>44</v>
      </c>
      <c r="T799">
        <v>88.2</v>
      </c>
      <c r="V799">
        <v>101.8</v>
      </c>
      <c r="W799">
        <v>78.5</v>
      </c>
      <c r="X799">
        <v>9.6</v>
      </c>
      <c r="Y799">
        <v>36.6</v>
      </c>
      <c r="Z799">
        <v>328239523</v>
      </c>
      <c r="AA799">
        <v>37.090240000000001</v>
      </c>
      <c r="AB799">
        <v>-95.712890999999999</v>
      </c>
    </row>
    <row r="800" spans="1:28" hidden="1">
      <c r="A800">
        <v>787</v>
      </c>
      <c r="B800">
        <v>3600</v>
      </c>
      <c r="C800" t="s">
        <v>54</v>
      </c>
      <c r="D800" t="s">
        <v>1851</v>
      </c>
      <c r="E800">
        <v>53</v>
      </c>
      <c r="G800" t="s">
        <v>1462</v>
      </c>
      <c r="H800" t="s">
        <v>1463</v>
      </c>
      <c r="I800" t="s">
        <v>909</v>
      </c>
      <c r="J800" t="s">
        <v>54</v>
      </c>
      <c r="K800" t="s">
        <v>1462</v>
      </c>
      <c r="M800" t="b">
        <v>1</v>
      </c>
      <c r="N800" t="s">
        <v>32</v>
      </c>
      <c r="O800" t="s">
        <v>33</v>
      </c>
      <c r="Q800">
        <v>182.75</v>
      </c>
      <c r="R800">
        <v>5.2</v>
      </c>
      <c r="S800" t="s">
        <v>1464</v>
      </c>
      <c r="T800">
        <v>61.7</v>
      </c>
      <c r="V800">
        <v>104.4</v>
      </c>
      <c r="W800">
        <v>73.2</v>
      </c>
      <c r="X800">
        <v>11.7</v>
      </c>
      <c r="Y800">
        <v>28.4</v>
      </c>
      <c r="Z800">
        <v>18513930</v>
      </c>
      <c r="AA800">
        <v>48.019573000000001</v>
      </c>
      <c r="AB800">
        <v>66.923683999999994</v>
      </c>
    </row>
    <row r="801" spans="1:28">
      <c r="A801">
        <v>787</v>
      </c>
      <c r="B801">
        <v>3600</v>
      </c>
      <c r="C801" t="s">
        <v>54</v>
      </c>
      <c r="D801" t="s">
        <v>1852</v>
      </c>
      <c r="E801">
        <v>37</v>
      </c>
      <c r="F801" t="str">
        <f>IF(E801&gt;=90,"90-100",IF(E801&gt;=80,"80-90",IF(E801&gt;=70,"70-80",IF(E801&gt;=60,"60-70",IF(E801&gt;=50,"50-60",IF(E801&gt;=40,"40-50",IF(E801&gt;=30,"30-40","20-30")))))))</f>
        <v>30-40</v>
      </c>
      <c r="G801" t="s">
        <v>38</v>
      </c>
      <c r="H801" t="s">
        <v>1853</v>
      </c>
      <c r="I801" t="s">
        <v>699</v>
      </c>
      <c r="J801" t="s">
        <v>54</v>
      </c>
      <c r="K801" t="s">
        <v>38</v>
      </c>
      <c r="L801" t="s">
        <v>1854</v>
      </c>
      <c r="M801" t="b">
        <v>1</v>
      </c>
      <c r="N801" t="s">
        <v>32</v>
      </c>
      <c r="O801" t="s">
        <v>4867</v>
      </c>
      <c r="P801" t="s">
        <v>1855</v>
      </c>
      <c r="Q801">
        <v>117.24</v>
      </c>
      <c r="R801">
        <v>7.5</v>
      </c>
      <c r="S801" t="s">
        <v>44</v>
      </c>
      <c r="T801">
        <v>88.2</v>
      </c>
      <c r="U801" t="str">
        <f>IF(T801&gt;=100,"above 100",IF(T801&gt;=80,"80-100",IF(T801&gt;=60,"60-80",IF(T801&gt;=40,"40-60",IF(T801&gt;=20,"20-60","0-20")))))</f>
        <v>80-100</v>
      </c>
      <c r="V801">
        <v>101.8</v>
      </c>
      <c r="W801">
        <v>78.5</v>
      </c>
      <c r="X801">
        <v>9.6</v>
      </c>
      <c r="Y801">
        <v>36.6</v>
      </c>
      <c r="Z801">
        <v>328239523</v>
      </c>
      <c r="AA801">
        <v>37.090240000000001</v>
      </c>
      <c r="AB801">
        <v>-95.712890999999999</v>
      </c>
    </row>
    <row r="802" spans="1:28" hidden="1">
      <c r="A802">
        <v>787</v>
      </c>
      <c r="B802">
        <v>3600</v>
      </c>
      <c r="C802" t="s">
        <v>221</v>
      </c>
      <c r="D802" t="s">
        <v>1856</v>
      </c>
      <c r="E802">
        <v>83</v>
      </c>
      <c r="G802" t="s">
        <v>172</v>
      </c>
      <c r="H802" t="s">
        <v>172</v>
      </c>
      <c r="I802" t="s">
        <v>223</v>
      </c>
      <c r="J802" t="s">
        <v>221</v>
      </c>
      <c r="K802" t="s">
        <v>172</v>
      </c>
      <c r="M802" t="b">
        <v>0</v>
      </c>
      <c r="N802" t="s">
        <v>42</v>
      </c>
      <c r="O802" t="s">
        <v>33</v>
      </c>
    </row>
    <row r="803" spans="1:28" hidden="1">
      <c r="A803">
        <v>787</v>
      </c>
      <c r="B803">
        <v>3600</v>
      </c>
      <c r="C803" t="s">
        <v>221</v>
      </c>
      <c r="D803" t="s">
        <v>1857</v>
      </c>
      <c r="E803">
        <v>71</v>
      </c>
      <c r="G803" t="s">
        <v>172</v>
      </c>
      <c r="H803" t="s">
        <v>172</v>
      </c>
      <c r="I803" t="s">
        <v>223</v>
      </c>
      <c r="J803" t="s">
        <v>221</v>
      </c>
      <c r="K803" t="s">
        <v>172</v>
      </c>
      <c r="M803" t="b">
        <v>1</v>
      </c>
      <c r="N803" t="s">
        <v>42</v>
      </c>
      <c r="O803" t="s">
        <v>33</v>
      </c>
    </row>
    <row r="804" spans="1:28">
      <c r="A804">
        <v>787</v>
      </c>
      <c r="B804">
        <v>3600</v>
      </c>
      <c r="C804" t="s">
        <v>54</v>
      </c>
      <c r="D804" t="s">
        <v>1858</v>
      </c>
      <c r="E804">
        <v>67</v>
      </c>
      <c r="F804" t="str">
        <f>IF(E804&gt;=90,"90-100",IF(E804&gt;=80,"80-90",IF(E804&gt;=70,"70-80",IF(E804&gt;=60,"60-70",IF(E804&gt;=50,"50-60",IF(E804&gt;=40,"40-50",IF(E804&gt;=30,"30-40","20-30")))))))</f>
        <v>60-70</v>
      </c>
      <c r="G804" t="s">
        <v>38</v>
      </c>
      <c r="H804" t="s">
        <v>331</v>
      </c>
      <c r="I804" t="s">
        <v>185</v>
      </c>
      <c r="J804" t="s">
        <v>54</v>
      </c>
      <c r="K804" t="s">
        <v>38</v>
      </c>
      <c r="L804" t="s">
        <v>1859</v>
      </c>
      <c r="M804" t="b">
        <v>1</v>
      </c>
      <c r="N804" t="s">
        <v>42</v>
      </c>
      <c r="O804" t="s">
        <v>4867</v>
      </c>
      <c r="P804" t="s">
        <v>146</v>
      </c>
      <c r="Q804">
        <v>117.24</v>
      </c>
      <c r="R804">
        <v>7.5</v>
      </c>
      <c r="S804" t="s">
        <v>44</v>
      </c>
      <c r="T804">
        <v>88.2</v>
      </c>
      <c r="U804" t="str">
        <f>IF(T804&gt;=100,"above 100",IF(T804&gt;=80,"80-100",IF(T804&gt;=60,"60-80",IF(T804&gt;=40,"40-60",IF(T804&gt;=20,"20-60","0-20")))))</f>
        <v>80-100</v>
      </c>
      <c r="V804">
        <v>101.8</v>
      </c>
      <c r="W804">
        <v>78.5</v>
      </c>
      <c r="X804">
        <v>9.6</v>
      </c>
      <c r="Y804">
        <v>36.6</v>
      </c>
      <c r="Z804">
        <v>328239523</v>
      </c>
      <c r="AA804">
        <v>37.090240000000001</v>
      </c>
      <c r="AB804">
        <v>-95.712890999999999</v>
      </c>
    </row>
    <row r="805" spans="1:28" hidden="1">
      <c r="A805">
        <v>787</v>
      </c>
      <c r="B805">
        <v>3600</v>
      </c>
      <c r="C805" t="s">
        <v>75</v>
      </c>
      <c r="D805" t="s">
        <v>1860</v>
      </c>
      <c r="E805">
        <v>75</v>
      </c>
      <c r="G805" t="s">
        <v>203</v>
      </c>
      <c r="H805" t="s">
        <v>204</v>
      </c>
      <c r="I805" t="s">
        <v>75</v>
      </c>
      <c r="J805" t="s">
        <v>75</v>
      </c>
      <c r="K805" t="s">
        <v>874</v>
      </c>
      <c r="M805" t="b">
        <v>1</v>
      </c>
      <c r="N805" t="s">
        <v>32</v>
      </c>
      <c r="O805" t="s">
        <v>33</v>
      </c>
      <c r="Q805">
        <v>119.62</v>
      </c>
      <c r="R805">
        <v>1.7</v>
      </c>
      <c r="S805" t="s">
        <v>206</v>
      </c>
      <c r="T805">
        <v>60</v>
      </c>
      <c r="V805">
        <v>101.2</v>
      </c>
      <c r="W805">
        <v>81.3</v>
      </c>
      <c r="X805">
        <v>25.5</v>
      </c>
      <c r="Y805">
        <v>30.6</v>
      </c>
      <c r="Z805">
        <v>66834405</v>
      </c>
      <c r="AA805">
        <v>55.378050999999999</v>
      </c>
      <c r="AB805">
        <v>-3.4359730000000002</v>
      </c>
    </row>
    <row r="806" spans="1:28" hidden="1">
      <c r="A806">
        <v>787</v>
      </c>
      <c r="B806">
        <v>3600</v>
      </c>
      <c r="C806" t="s">
        <v>26</v>
      </c>
      <c r="D806" t="s">
        <v>1861</v>
      </c>
      <c r="E806">
        <v>67</v>
      </c>
      <c r="G806" t="s">
        <v>198</v>
      </c>
      <c r="H806" t="s">
        <v>199</v>
      </c>
      <c r="I806" t="s">
        <v>818</v>
      </c>
      <c r="J806" t="s">
        <v>26</v>
      </c>
      <c r="K806" t="s">
        <v>198</v>
      </c>
      <c r="M806" t="b">
        <v>1</v>
      </c>
      <c r="N806" t="s">
        <v>32</v>
      </c>
      <c r="O806" t="s">
        <v>33</v>
      </c>
      <c r="Q806">
        <v>105.48</v>
      </c>
      <c r="R806">
        <v>0.5</v>
      </c>
      <c r="S806" t="s">
        <v>201</v>
      </c>
      <c r="T806">
        <v>63.2</v>
      </c>
      <c r="V806">
        <v>98.8</v>
      </c>
      <c r="W806">
        <v>84.2</v>
      </c>
      <c r="X806">
        <v>11.9</v>
      </c>
      <c r="Y806">
        <v>46.7</v>
      </c>
      <c r="Z806">
        <v>126226568</v>
      </c>
      <c r="AA806">
        <v>36.204824000000002</v>
      </c>
      <c r="AB806">
        <v>138.25292400000001</v>
      </c>
    </row>
    <row r="807" spans="1:28" hidden="1">
      <c r="A807">
        <v>787</v>
      </c>
      <c r="B807">
        <v>3600</v>
      </c>
      <c r="C807" t="s">
        <v>45</v>
      </c>
      <c r="D807" t="s">
        <v>1862</v>
      </c>
      <c r="E807">
        <v>84</v>
      </c>
      <c r="G807" t="s">
        <v>198</v>
      </c>
      <c r="H807" t="s">
        <v>199</v>
      </c>
      <c r="I807" t="s">
        <v>572</v>
      </c>
      <c r="J807" t="s">
        <v>45</v>
      </c>
      <c r="K807" t="s">
        <v>198</v>
      </c>
      <c r="M807" t="b">
        <v>1</v>
      </c>
      <c r="N807" t="s">
        <v>32</v>
      </c>
      <c r="O807" t="s">
        <v>33</v>
      </c>
      <c r="Q807">
        <v>105.48</v>
      </c>
      <c r="R807">
        <v>0.5</v>
      </c>
      <c r="S807" t="s">
        <v>201</v>
      </c>
      <c r="T807">
        <v>63.2</v>
      </c>
      <c r="V807">
        <v>98.8</v>
      </c>
      <c r="W807">
        <v>84.2</v>
      </c>
      <c r="X807">
        <v>11.9</v>
      </c>
      <c r="Y807">
        <v>46.7</v>
      </c>
      <c r="Z807">
        <v>126226568</v>
      </c>
      <c r="AA807">
        <v>36.204824000000002</v>
      </c>
      <c r="AB807">
        <v>138.25292400000001</v>
      </c>
    </row>
    <row r="808" spans="1:28" hidden="1">
      <c r="A808">
        <v>787</v>
      </c>
      <c r="B808">
        <v>3600</v>
      </c>
      <c r="C808" t="s">
        <v>45</v>
      </c>
      <c r="D808" t="s">
        <v>1863</v>
      </c>
      <c r="E808">
        <v>37</v>
      </c>
      <c r="G808" t="s">
        <v>238</v>
      </c>
      <c r="H808" t="s">
        <v>492</v>
      </c>
      <c r="I808" t="s">
        <v>572</v>
      </c>
      <c r="J808" t="s">
        <v>45</v>
      </c>
      <c r="K808" t="s">
        <v>238</v>
      </c>
      <c r="M808" t="b">
        <v>1</v>
      </c>
      <c r="N808" t="s">
        <v>42</v>
      </c>
      <c r="O808" t="s">
        <v>33</v>
      </c>
      <c r="Q808">
        <v>119.8</v>
      </c>
      <c r="R808">
        <v>1.6</v>
      </c>
      <c r="S808" t="s">
        <v>243</v>
      </c>
      <c r="T808">
        <v>113.1</v>
      </c>
      <c r="V808">
        <v>100.3</v>
      </c>
      <c r="W808">
        <v>82.7</v>
      </c>
      <c r="X808">
        <v>23</v>
      </c>
      <c r="Y808">
        <v>47.4</v>
      </c>
      <c r="Z808">
        <v>25766605</v>
      </c>
      <c r="AA808">
        <v>-25.274398000000001</v>
      </c>
      <c r="AB808">
        <v>133.775136</v>
      </c>
    </row>
    <row r="809" spans="1:28">
      <c r="A809">
        <v>787</v>
      </c>
      <c r="B809">
        <v>3600</v>
      </c>
      <c r="C809" t="s">
        <v>45</v>
      </c>
      <c r="D809" t="s">
        <v>1864</v>
      </c>
      <c r="E809">
        <v>35</v>
      </c>
      <c r="F809" t="str">
        <f>IF(E809&gt;=90,"90-100",IF(E809&gt;=80,"80-90",IF(E809&gt;=70,"70-80",IF(E809&gt;=60,"60-70",IF(E809&gt;=50,"50-60",IF(E809&gt;=40,"40-50",IF(E809&gt;=30,"30-40","20-30")))))))</f>
        <v>30-40</v>
      </c>
      <c r="G809" t="s">
        <v>238</v>
      </c>
      <c r="H809" t="s">
        <v>492</v>
      </c>
      <c r="I809" t="s">
        <v>572</v>
      </c>
      <c r="J809" t="s">
        <v>45</v>
      </c>
      <c r="K809" t="s">
        <v>238</v>
      </c>
      <c r="L809" t="s">
        <v>1865</v>
      </c>
      <c r="M809" t="b">
        <v>1</v>
      </c>
      <c r="N809" t="s">
        <v>42</v>
      </c>
      <c r="O809" t="s">
        <v>4866</v>
      </c>
      <c r="P809" t="s">
        <v>1866</v>
      </c>
      <c r="Q809">
        <v>119.8</v>
      </c>
      <c r="R809">
        <v>1.6</v>
      </c>
      <c r="S809" t="s">
        <v>243</v>
      </c>
      <c r="T809">
        <v>113.1</v>
      </c>
      <c r="U809" t="str">
        <f>IF(T809&gt;=100,"above 100",IF(T809&gt;=80,"80-100",IF(T809&gt;=60,"60-80",IF(T809&gt;=40,"40-60",IF(T809&gt;=20,"20-60","0-20")))))</f>
        <v>above 100</v>
      </c>
      <c r="V809">
        <v>100.3</v>
      </c>
      <c r="W809">
        <v>82.7</v>
      </c>
      <c r="X809">
        <v>23</v>
      </c>
      <c r="Y809">
        <v>47.4</v>
      </c>
      <c r="Z809">
        <v>25766605</v>
      </c>
      <c r="AA809">
        <v>-25.274398000000001</v>
      </c>
      <c r="AB809">
        <v>133.775136</v>
      </c>
    </row>
    <row r="810" spans="1:28" hidden="1">
      <c r="A810">
        <v>787</v>
      </c>
      <c r="B810">
        <v>3600</v>
      </c>
      <c r="C810" t="s">
        <v>54</v>
      </c>
      <c r="D810" t="s">
        <v>1867</v>
      </c>
      <c r="E810">
        <v>58</v>
      </c>
      <c r="G810" t="s">
        <v>38</v>
      </c>
      <c r="H810" t="s">
        <v>752</v>
      </c>
      <c r="I810" t="s">
        <v>1193</v>
      </c>
      <c r="J810" t="s">
        <v>54</v>
      </c>
      <c r="K810" t="s">
        <v>38</v>
      </c>
      <c r="M810" t="b">
        <v>0</v>
      </c>
      <c r="N810" t="s">
        <v>419</v>
      </c>
      <c r="O810" t="s">
        <v>33</v>
      </c>
      <c r="Q810">
        <v>117.24</v>
      </c>
      <c r="R810">
        <v>7.5</v>
      </c>
      <c r="S810" t="s">
        <v>44</v>
      </c>
      <c r="T810">
        <v>88.2</v>
      </c>
      <c r="V810">
        <v>101.8</v>
      </c>
      <c r="W810">
        <v>78.5</v>
      </c>
      <c r="X810">
        <v>9.6</v>
      </c>
      <c r="Y810">
        <v>36.6</v>
      </c>
      <c r="Z810">
        <v>328239523</v>
      </c>
      <c r="AA810">
        <v>37.090240000000001</v>
      </c>
      <c r="AB810">
        <v>-95.712890999999999</v>
      </c>
    </row>
    <row r="811" spans="1:28" hidden="1">
      <c r="A811">
        <v>787</v>
      </c>
      <c r="B811">
        <v>3600</v>
      </c>
      <c r="C811" t="s">
        <v>26</v>
      </c>
      <c r="D811" t="s">
        <v>1868</v>
      </c>
      <c r="E811">
        <v>73</v>
      </c>
      <c r="G811" t="s">
        <v>95</v>
      </c>
      <c r="H811" t="s">
        <v>1869</v>
      </c>
      <c r="I811" t="s">
        <v>410</v>
      </c>
      <c r="J811" t="s">
        <v>26</v>
      </c>
      <c r="K811" t="s">
        <v>95</v>
      </c>
      <c r="M811" t="b">
        <v>0</v>
      </c>
      <c r="N811" t="s">
        <v>42</v>
      </c>
      <c r="O811" t="s">
        <v>33</v>
      </c>
      <c r="Q811">
        <v>110.96</v>
      </c>
      <c r="R811">
        <v>0.7</v>
      </c>
      <c r="S811" t="s">
        <v>98</v>
      </c>
      <c r="T811">
        <v>88.9</v>
      </c>
      <c r="V811">
        <v>102.7</v>
      </c>
      <c r="W811">
        <v>83.3</v>
      </c>
      <c r="X811">
        <v>14.2</v>
      </c>
      <c r="Y811">
        <v>47</v>
      </c>
      <c r="Z811">
        <v>47076781</v>
      </c>
      <c r="AA811">
        <v>40.463667000000001</v>
      </c>
      <c r="AB811">
        <v>-3.7492200000000002</v>
      </c>
    </row>
    <row r="812" spans="1:28" hidden="1">
      <c r="A812">
        <v>787</v>
      </c>
      <c r="B812">
        <v>3600</v>
      </c>
      <c r="C812" t="s">
        <v>221</v>
      </c>
      <c r="D812" t="s">
        <v>1870</v>
      </c>
      <c r="E812">
        <v>82</v>
      </c>
      <c r="G812" t="s">
        <v>38</v>
      </c>
      <c r="H812" t="s">
        <v>65</v>
      </c>
      <c r="I812" t="s">
        <v>223</v>
      </c>
      <c r="J812" t="s">
        <v>221</v>
      </c>
      <c r="K812" t="s">
        <v>38</v>
      </c>
      <c r="M812" t="b">
        <v>1</v>
      </c>
      <c r="N812" t="s">
        <v>419</v>
      </c>
      <c r="O812" t="s">
        <v>33</v>
      </c>
      <c r="Q812">
        <v>117.24</v>
      </c>
      <c r="R812">
        <v>7.5</v>
      </c>
      <c r="S812" t="s">
        <v>44</v>
      </c>
      <c r="T812">
        <v>88.2</v>
      </c>
      <c r="V812">
        <v>101.8</v>
      </c>
      <c r="W812">
        <v>78.5</v>
      </c>
      <c r="X812">
        <v>9.6</v>
      </c>
      <c r="Y812">
        <v>36.6</v>
      </c>
      <c r="Z812">
        <v>328239523</v>
      </c>
      <c r="AA812">
        <v>37.090240000000001</v>
      </c>
      <c r="AB812">
        <v>-95.712890999999999</v>
      </c>
    </row>
    <row r="813" spans="1:28" hidden="1">
      <c r="A813">
        <v>787</v>
      </c>
      <c r="B813">
        <v>3600</v>
      </c>
      <c r="C813" t="s">
        <v>26</v>
      </c>
      <c r="D813" t="s">
        <v>1871</v>
      </c>
      <c r="E813">
        <v>63</v>
      </c>
      <c r="G813" t="s">
        <v>156</v>
      </c>
      <c r="H813" t="s">
        <v>211</v>
      </c>
      <c r="I813" t="s">
        <v>1872</v>
      </c>
      <c r="J813" t="s">
        <v>26</v>
      </c>
      <c r="K813" t="s">
        <v>127</v>
      </c>
      <c r="M813" t="b">
        <v>1</v>
      </c>
      <c r="N813" t="s">
        <v>32</v>
      </c>
      <c r="O813" t="s">
        <v>33</v>
      </c>
      <c r="Q813">
        <v>99.55</v>
      </c>
      <c r="R813">
        <v>0.4</v>
      </c>
      <c r="S813" t="s">
        <v>159</v>
      </c>
      <c r="T813">
        <v>59.6</v>
      </c>
      <c r="V813">
        <v>105.2</v>
      </c>
      <c r="W813">
        <v>83.6</v>
      </c>
      <c r="X813">
        <v>10.1</v>
      </c>
      <c r="Y813">
        <v>28.8</v>
      </c>
      <c r="Z813">
        <v>8574832</v>
      </c>
      <c r="AA813">
        <v>46.818187999999999</v>
      </c>
      <c r="AB813">
        <v>8.2275120000000008</v>
      </c>
    </row>
    <row r="814" spans="1:28" hidden="1">
      <c r="A814">
        <v>787</v>
      </c>
      <c r="B814">
        <v>3600</v>
      </c>
      <c r="C814" t="s">
        <v>154</v>
      </c>
      <c r="D814" t="s">
        <v>1873</v>
      </c>
      <c r="E814">
        <v>80</v>
      </c>
      <c r="G814" t="s">
        <v>172</v>
      </c>
      <c r="H814" t="s">
        <v>172</v>
      </c>
      <c r="I814" t="s">
        <v>158</v>
      </c>
      <c r="J814" t="s">
        <v>154</v>
      </c>
      <c r="K814" t="s">
        <v>172</v>
      </c>
      <c r="M814" t="b">
        <v>0</v>
      </c>
      <c r="N814" t="s">
        <v>419</v>
      </c>
      <c r="O814" t="s">
        <v>33</v>
      </c>
    </row>
    <row r="815" spans="1:28" hidden="1">
      <c r="A815">
        <v>787</v>
      </c>
      <c r="B815">
        <v>3600</v>
      </c>
      <c r="C815" t="s">
        <v>101</v>
      </c>
      <c r="D815" t="s">
        <v>1874</v>
      </c>
      <c r="E815">
        <v>60</v>
      </c>
      <c r="G815" t="s">
        <v>103</v>
      </c>
      <c r="H815" t="s">
        <v>521</v>
      </c>
      <c r="I815" t="s">
        <v>1875</v>
      </c>
      <c r="J815" t="s">
        <v>101</v>
      </c>
      <c r="K815" t="s">
        <v>103</v>
      </c>
      <c r="M815" t="b">
        <v>1</v>
      </c>
      <c r="N815" t="s">
        <v>42</v>
      </c>
      <c r="O815" t="s">
        <v>33</v>
      </c>
      <c r="Q815">
        <v>125.08</v>
      </c>
      <c r="R815">
        <v>2.9</v>
      </c>
      <c r="S815" t="s">
        <v>106</v>
      </c>
      <c r="T815">
        <v>50.6</v>
      </c>
      <c r="V815">
        <v>100.2</v>
      </c>
      <c r="W815">
        <v>77</v>
      </c>
      <c r="X815">
        <v>9.4</v>
      </c>
      <c r="Y815">
        <v>59.2</v>
      </c>
      <c r="Z815">
        <v>1397715000</v>
      </c>
      <c r="AA815">
        <v>35.861660000000001</v>
      </c>
      <c r="AB815">
        <v>104.195397</v>
      </c>
    </row>
    <row r="816" spans="1:28" hidden="1">
      <c r="A816">
        <v>787</v>
      </c>
      <c r="B816">
        <v>3600</v>
      </c>
      <c r="C816" t="s">
        <v>36</v>
      </c>
      <c r="D816" t="s">
        <v>1876</v>
      </c>
      <c r="E816">
        <v>61</v>
      </c>
      <c r="G816" t="s">
        <v>103</v>
      </c>
      <c r="H816" t="s">
        <v>176</v>
      </c>
      <c r="I816" t="s">
        <v>490</v>
      </c>
      <c r="J816" t="s">
        <v>36</v>
      </c>
      <c r="K816" t="s">
        <v>103</v>
      </c>
      <c r="M816" t="b">
        <v>1</v>
      </c>
      <c r="N816" t="s">
        <v>32</v>
      </c>
      <c r="O816" t="s">
        <v>33</v>
      </c>
      <c r="Q816">
        <v>125.08</v>
      </c>
      <c r="R816">
        <v>2.9</v>
      </c>
      <c r="S816" t="s">
        <v>106</v>
      </c>
      <c r="T816">
        <v>50.6</v>
      </c>
      <c r="V816">
        <v>100.2</v>
      </c>
      <c r="W816">
        <v>77</v>
      </c>
      <c r="X816">
        <v>9.4</v>
      </c>
      <c r="Y816">
        <v>59.2</v>
      </c>
      <c r="Z816">
        <v>1397715000</v>
      </c>
      <c r="AA816">
        <v>35.861660000000001</v>
      </c>
      <c r="AB816">
        <v>104.195397</v>
      </c>
    </row>
    <row r="817" spans="1:28" hidden="1">
      <c r="A817">
        <v>787</v>
      </c>
      <c r="B817">
        <v>3600</v>
      </c>
      <c r="C817" t="s">
        <v>45</v>
      </c>
      <c r="D817" t="s">
        <v>1877</v>
      </c>
      <c r="E817">
        <v>57</v>
      </c>
      <c r="G817" t="s">
        <v>103</v>
      </c>
      <c r="H817" t="s">
        <v>176</v>
      </c>
      <c r="I817" t="s">
        <v>1878</v>
      </c>
      <c r="J817" t="s">
        <v>45</v>
      </c>
      <c r="K817" t="s">
        <v>103</v>
      </c>
      <c r="M817" t="b">
        <v>1</v>
      </c>
      <c r="N817" t="s">
        <v>42</v>
      </c>
      <c r="O817" t="s">
        <v>88</v>
      </c>
      <c r="Q817">
        <v>125.08</v>
      </c>
      <c r="R817">
        <v>2.9</v>
      </c>
      <c r="S817" t="s">
        <v>106</v>
      </c>
      <c r="T817">
        <v>50.6</v>
      </c>
      <c r="V817">
        <v>100.2</v>
      </c>
      <c r="W817">
        <v>77</v>
      </c>
      <c r="X817">
        <v>9.4</v>
      </c>
      <c r="Y817">
        <v>59.2</v>
      </c>
      <c r="Z817">
        <v>1397715000</v>
      </c>
      <c r="AA817">
        <v>35.861660000000001</v>
      </c>
      <c r="AB817">
        <v>104.195397</v>
      </c>
    </row>
    <row r="818" spans="1:28" hidden="1">
      <c r="A818">
        <v>787</v>
      </c>
      <c r="B818">
        <v>3600</v>
      </c>
      <c r="C818" t="s">
        <v>217</v>
      </c>
      <c r="D818" t="s">
        <v>1879</v>
      </c>
      <c r="E818">
        <v>54</v>
      </c>
      <c r="G818" t="s">
        <v>103</v>
      </c>
      <c r="H818" t="s">
        <v>1880</v>
      </c>
      <c r="I818" t="s">
        <v>1881</v>
      </c>
      <c r="J818" t="s">
        <v>217</v>
      </c>
      <c r="K818" t="s">
        <v>103</v>
      </c>
      <c r="M818" t="b">
        <v>1</v>
      </c>
      <c r="N818" t="s">
        <v>32</v>
      </c>
      <c r="O818" t="s">
        <v>33</v>
      </c>
      <c r="Q818">
        <v>125.08</v>
      </c>
      <c r="R818">
        <v>2.9</v>
      </c>
      <c r="S818" t="s">
        <v>106</v>
      </c>
      <c r="T818">
        <v>50.6</v>
      </c>
      <c r="V818">
        <v>100.2</v>
      </c>
      <c r="W818">
        <v>77</v>
      </c>
      <c r="X818">
        <v>9.4</v>
      </c>
      <c r="Y818">
        <v>59.2</v>
      </c>
      <c r="Z818">
        <v>1397715000</v>
      </c>
      <c r="AA818">
        <v>35.861660000000001</v>
      </c>
      <c r="AB818">
        <v>104.195397</v>
      </c>
    </row>
    <row r="819" spans="1:28" hidden="1">
      <c r="A819">
        <v>818</v>
      </c>
      <c r="B819">
        <v>3500</v>
      </c>
      <c r="C819" t="s">
        <v>26</v>
      </c>
      <c r="D819" t="s">
        <v>1882</v>
      </c>
      <c r="E819">
        <v>33</v>
      </c>
      <c r="G819" t="s">
        <v>38</v>
      </c>
      <c r="H819" t="s">
        <v>635</v>
      </c>
      <c r="I819" t="s">
        <v>1883</v>
      </c>
      <c r="J819" t="s">
        <v>26</v>
      </c>
      <c r="K819" t="s">
        <v>164</v>
      </c>
      <c r="M819" t="b">
        <v>0</v>
      </c>
      <c r="N819" t="s">
        <v>192</v>
      </c>
      <c r="O819" t="s">
        <v>33</v>
      </c>
      <c r="Q819">
        <v>117.24</v>
      </c>
      <c r="R819">
        <v>7.5</v>
      </c>
      <c r="S819" t="s">
        <v>44</v>
      </c>
      <c r="T819">
        <v>88.2</v>
      </c>
      <c r="V819">
        <v>101.8</v>
      </c>
      <c r="W819">
        <v>78.5</v>
      </c>
      <c r="X819">
        <v>9.6</v>
      </c>
      <c r="Y819">
        <v>36.6</v>
      </c>
      <c r="Z819">
        <v>328239523</v>
      </c>
      <c r="AA819">
        <v>37.090240000000001</v>
      </c>
      <c r="AB819">
        <v>-95.712890999999999</v>
      </c>
    </row>
    <row r="820" spans="1:28" hidden="1">
      <c r="A820">
        <v>818</v>
      </c>
      <c r="B820">
        <v>3500</v>
      </c>
      <c r="C820" t="s">
        <v>288</v>
      </c>
      <c r="D820" t="s">
        <v>1884</v>
      </c>
      <c r="E820">
        <v>65</v>
      </c>
      <c r="G820" t="s">
        <v>384</v>
      </c>
      <c r="H820" t="s">
        <v>562</v>
      </c>
      <c r="I820" t="s">
        <v>1885</v>
      </c>
      <c r="J820" t="s">
        <v>288</v>
      </c>
      <c r="K820" t="s">
        <v>384</v>
      </c>
      <c r="M820" t="b">
        <v>0</v>
      </c>
      <c r="N820" t="s">
        <v>32</v>
      </c>
      <c r="O820" t="s">
        <v>33</v>
      </c>
      <c r="Q820">
        <v>167.4</v>
      </c>
      <c r="R820">
        <v>3.7</v>
      </c>
      <c r="S820" t="s">
        <v>563</v>
      </c>
      <c r="T820">
        <v>51.3</v>
      </c>
      <c r="V820">
        <v>115.4</v>
      </c>
      <c r="W820">
        <v>75.7</v>
      </c>
      <c r="X820">
        <v>14.2</v>
      </c>
      <c r="Y820">
        <v>65.099999999999994</v>
      </c>
      <c r="Z820">
        <v>212559417</v>
      </c>
      <c r="AA820">
        <v>-14.235004</v>
      </c>
      <c r="AB820">
        <v>-51.925280000000001</v>
      </c>
    </row>
    <row r="821" spans="1:28" hidden="1">
      <c r="A821">
        <v>818</v>
      </c>
      <c r="B821">
        <v>3500</v>
      </c>
      <c r="C821" t="s">
        <v>54</v>
      </c>
      <c r="D821" t="s">
        <v>1886</v>
      </c>
      <c r="E821">
        <v>62</v>
      </c>
      <c r="G821" t="s">
        <v>103</v>
      </c>
      <c r="H821" t="s">
        <v>1887</v>
      </c>
      <c r="I821" t="s">
        <v>231</v>
      </c>
      <c r="J821" t="s">
        <v>54</v>
      </c>
      <c r="K821" t="s">
        <v>103</v>
      </c>
      <c r="M821" t="b">
        <v>1</v>
      </c>
      <c r="N821" t="s">
        <v>42</v>
      </c>
      <c r="O821" t="s">
        <v>33</v>
      </c>
      <c r="Q821">
        <v>125.08</v>
      </c>
      <c r="R821">
        <v>2.9</v>
      </c>
      <c r="S821" t="s">
        <v>106</v>
      </c>
      <c r="T821">
        <v>50.6</v>
      </c>
      <c r="V821">
        <v>100.2</v>
      </c>
      <c r="W821">
        <v>77</v>
      </c>
      <c r="X821">
        <v>9.4</v>
      </c>
      <c r="Y821">
        <v>59.2</v>
      </c>
      <c r="Z821">
        <v>1397715000</v>
      </c>
      <c r="AA821">
        <v>35.861660000000001</v>
      </c>
      <c r="AB821">
        <v>104.195397</v>
      </c>
    </row>
    <row r="822" spans="1:28" hidden="1">
      <c r="A822">
        <v>818</v>
      </c>
      <c r="B822">
        <v>3500</v>
      </c>
      <c r="C822" t="s">
        <v>217</v>
      </c>
      <c r="D822" t="s">
        <v>1888</v>
      </c>
      <c r="E822">
        <v>87</v>
      </c>
      <c r="G822" t="s">
        <v>164</v>
      </c>
      <c r="H822" t="s">
        <v>1889</v>
      </c>
      <c r="I822" t="s">
        <v>1890</v>
      </c>
      <c r="J822" t="s">
        <v>217</v>
      </c>
      <c r="K822" t="s">
        <v>164</v>
      </c>
      <c r="M822" t="b">
        <v>1</v>
      </c>
      <c r="N822" t="s">
        <v>32</v>
      </c>
      <c r="O822" t="s">
        <v>33</v>
      </c>
      <c r="Q822">
        <v>110.62</v>
      </c>
      <c r="R822">
        <v>0.6</v>
      </c>
      <c r="S822" t="s">
        <v>539</v>
      </c>
      <c r="T822">
        <v>61.9</v>
      </c>
      <c r="V822">
        <v>101.9</v>
      </c>
      <c r="W822">
        <v>82.9</v>
      </c>
      <c r="X822">
        <v>24.3</v>
      </c>
      <c r="Y822">
        <v>59.1</v>
      </c>
      <c r="Z822">
        <v>60297396</v>
      </c>
      <c r="AA822">
        <v>41.871940000000002</v>
      </c>
      <c r="AB822">
        <v>12.56738</v>
      </c>
    </row>
    <row r="823" spans="1:28" hidden="1">
      <c r="A823">
        <v>818</v>
      </c>
      <c r="B823">
        <v>3500</v>
      </c>
      <c r="C823" t="s">
        <v>54</v>
      </c>
      <c r="D823" t="s">
        <v>1891</v>
      </c>
      <c r="E823">
        <v>76</v>
      </c>
      <c r="G823" t="s">
        <v>38</v>
      </c>
      <c r="H823" t="s">
        <v>803</v>
      </c>
      <c r="I823" t="s">
        <v>613</v>
      </c>
      <c r="J823" t="s">
        <v>54</v>
      </c>
      <c r="K823" t="s">
        <v>38</v>
      </c>
      <c r="M823" t="b">
        <v>1</v>
      </c>
      <c r="N823" t="s">
        <v>42</v>
      </c>
      <c r="O823" t="s">
        <v>33</v>
      </c>
      <c r="Q823">
        <v>117.24</v>
      </c>
      <c r="R823">
        <v>7.5</v>
      </c>
      <c r="S823" t="s">
        <v>44</v>
      </c>
      <c r="T823">
        <v>88.2</v>
      </c>
      <c r="V823">
        <v>101.8</v>
      </c>
      <c r="W823">
        <v>78.5</v>
      </c>
      <c r="X823">
        <v>9.6</v>
      </c>
      <c r="Y823">
        <v>36.6</v>
      </c>
      <c r="Z823">
        <v>328239523</v>
      </c>
      <c r="AA823">
        <v>37.090240000000001</v>
      </c>
      <c r="AB823">
        <v>-95.712890999999999</v>
      </c>
    </row>
    <row r="824" spans="1:28" hidden="1">
      <c r="A824">
        <v>818</v>
      </c>
      <c r="B824">
        <v>3500</v>
      </c>
      <c r="C824" t="s">
        <v>26</v>
      </c>
      <c r="D824" t="s">
        <v>1892</v>
      </c>
      <c r="E824">
        <v>66</v>
      </c>
      <c r="G824" t="s">
        <v>38</v>
      </c>
      <c r="H824" t="s">
        <v>1893</v>
      </c>
      <c r="I824" t="s">
        <v>1883</v>
      </c>
      <c r="J824" t="s">
        <v>26</v>
      </c>
      <c r="K824" t="s">
        <v>164</v>
      </c>
      <c r="M824" t="b">
        <v>0</v>
      </c>
      <c r="N824" t="s">
        <v>192</v>
      </c>
      <c r="O824" t="s">
        <v>33</v>
      </c>
      <c r="Q824">
        <v>117.24</v>
      </c>
      <c r="R824">
        <v>7.5</v>
      </c>
      <c r="S824" t="s">
        <v>44</v>
      </c>
      <c r="T824">
        <v>88.2</v>
      </c>
      <c r="V824">
        <v>101.8</v>
      </c>
      <c r="W824">
        <v>78.5</v>
      </c>
      <c r="X824">
        <v>9.6</v>
      </c>
      <c r="Y824">
        <v>36.6</v>
      </c>
      <c r="Z824">
        <v>328239523</v>
      </c>
      <c r="AA824">
        <v>37.090240000000001</v>
      </c>
      <c r="AB824">
        <v>-95.712890999999999</v>
      </c>
    </row>
    <row r="825" spans="1:28" hidden="1">
      <c r="A825">
        <v>818</v>
      </c>
      <c r="B825">
        <v>3500</v>
      </c>
      <c r="C825" t="s">
        <v>26</v>
      </c>
      <c r="D825" t="s">
        <v>1894</v>
      </c>
      <c r="E825">
        <v>18</v>
      </c>
      <c r="G825" t="s">
        <v>164</v>
      </c>
      <c r="H825" t="s">
        <v>538</v>
      </c>
      <c r="I825" t="s">
        <v>1895</v>
      </c>
      <c r="J825" t="s">
        <v>26</v>
      </c>
      <c r="K825" t="s">
        <v>164</v>
      </c>
      <c r="M825" t="b">
        <v>0</v>
      </c>
      <c r="N825" t="s">
        <v>192</v>
      </c>
      <c r="O825" t="s">
        <v>33</v>
      </c>
      <c r="Q825">
        <v>110.62</v>
      </c>
      <c r="R825">
        <v>0.6</v>
      </c>
      <c r="S825" t="s">
        <v>539</v>
      </c>
      <c r="T825">
        <v>61.9</v>
      </c>
      <c r="V825">
        <v>101.9</v>
      </c>
      <c r="W825">
        <v>82.9</v>
      </c>
      <c r="X825">
        <v>24.3</v>
      </c>
      <c r="Y825">
        <v>59.1</v>
      </c>
      <c r="Z825">
        <v>60297396</v>
      </c>
      <c r="AA825">
        <v>41.871940000000002</v>
      </c>
      <c r="AB825">
        <v>12.56738</v>
      </c>
    </row>
    <row r="826" spans="1:28" hidden="1">
      <c r="A826">
        <v>818</v>
      </c>
      <c r="B826">
        <v>3500</v>
      </c>
      <c r="C826" t="s">
        <v>26</v>
      </c>
      <c r="D826" t="s">
        <v>1896</v>
      </c>
      <c r="E826">
        <v>27</v>
      </c>
      <c r="G826" t="s">
        <v>164</v>
      </c>
      <c r="H826" t="s">
        <v>538</v>
      </c>
      <c r="I826" t="s">
        <v>1883</v>
      </c>
      <c r="J826" t="s">
        <v>26</v>
      </c>
      <c r="K826" t="s">
        <v>164</v>
      </c>
      <c r="M826" t="b">
        <v>0</v>
      </c>
      <c r="N826" t="s">
        <v>192</v>
      </c>
      <c r="O826" t="s">
        <v>33</v>
      </c>
      <c r="Q826">
        <v>110.62</v>
      </c>
      <c r="R826">
        <v>0.6</v>
      </c>
      <c r="S826" t="s">
        <v>539</v>
      </c>
      <c r="T826">
        <v>61.9</v>
      </c>
      <c r="V826">
        <v>101.9</v>
      </c>
      <c r="W826">
        <v>82.9</v>
      </c>
      <c r="X826">
        <v>24.3</v>
      </c>
      <c r="Y826">
        <v>59.1</v>
      </c>
      <c r="Z826">
        <v>60297396</v>
      </c>
      <c r="AA826">
        <v>41.871940000000002</v>
      </c>
      <c r="AB826">
        <v>12.56738</v>
      </c>
    </row>
    <row r="827" spans="1:28" hidden="1">
      <c r="A827">
        <v>818</v>
      </c>
      <c r="B827">
        <v>3500</v>
      </c>
      <c r="C827" t="s">
        <v>26</v>
      </c>
      <c r="D827" t="s">
        <v>1897</v>
      </c>
      <c r="E827">
        <v>21</v>
      </c>
      <c r="G827" t="s">
        <v>164</v>
      </c>
      <c r="H827" t="s">
        <v>538</v>
      </c>
      <c r="I827" t="s">
        <v>1883</v>
      </c>
      <c r="J827" t="s">
        <v>26</v>
      </c>
      <c r="K827" t="s">
        <v>164</v>
      </c>
      <c r="M827" t="b">
        <v>0</v>
      </c>
      <c r="N827" t="s">
        <v>192</v>
      </c>
      <c r="O827" t="s">
        <v>33</v>
      </c>
      <c r="Q827">
        <v>110.62</v>
      </c>
      <c r="R827">
        <v>0.6</v>
      </c>
      <c r="S827" t="s">
        <v>539</v>
      </c>
      <c r="T827">
        <v>61.9</v>
      </c>
      <c r="V827">
        <v>101.9</v>
      </c>
      <c r="W827">
        <v>82.9</v>
      </c>
      <c r="X827">
        <v>24.3</v>
      </c>
      <c r="Y827">
        <v>59.1</v>
      </c>
      <c r="Z827">
        <v>60297396</v>
      </c>
      <c r="AA827">
        <v>41.871940000000002</v>
      </c>
      <c r="AB827">
        <v>12.56738</v>
      </c>
    </row>
    <row r="828" spans="1:28" hidden="1">
      <c r="A828">
        <v>818</v>
      </c>
      <c r="B828">
        <v>3500</v>
      </c>
      <c r="C828" t="s">
        <v>26</v>
      </c>
      <c r="D828" t="s">
        <v>1898</v>
      </c>
      <c r="E828">
        <v>64</v>
      </c>
      <c r="G828" t="s">
        <v>164</v>
      </c>
      <c r="H828" t="s">
        <v>1761</v>
      </c>
      <c r="I828" t="s">
        <v>1883</v>
      </c>
      <c r="J828" t="s">
        <v>26</v>
      </c>
      <c r="K828" t="s">
        <v>164</v>
      </c>
      <c r="M828" t="b">
        <v>0</v>
      </c>
      <c r="N828" t="s">
        <v>192</v>
      </c>
      <c r="O828" t="s">
        <v>88</v>
      </c>
      <c r="Q828">
        <v>110.62</v>
      </c>
      <c r="R828">
        <v>0.6</v>
      </c>
      <c r="S828" t="s">
        <v>539</v>
      </c>
      <c r="T828">
        <v>61.9</v>
      </c>
      <c r="V828">
        <v>101.9</v>
      </c>
      <c r="W828">
        <v>82.9</v>
      </c>
      <c r="X828">
        <v>24.3</v>
      </c>
      <c r="Y828">
        <v>59.1</v>
      </c>
      <c r="Z828">
        <v>60297396</v>
      </c>
      <c r="AA828">
        <v>41.871940000000002</v>
      </c>
      <c r="AB828">
        <v>12.56738</v>
      </c>
    </row>
    <row r="829" spans="1:28" hidden="1">
      <c r="A829">
        <v>818</v>
      </c>
      <c r="B829">
        <v>3500</v>
      </c>
      <c r="C829" t="s">
        <v>26</v>
      </c>
      <c r="D829" t="s">
        <v>1899</v>
      </c>
      <c r="E829">
        <v>61</v>
      </c>
      <c r="G829" t="s">
        <v>1900</v>
      </c>
      <c r="H829" t="s">
        <v>1900</v>
      </c>
      <c r="I829" t="s">
        <v>1883</v>
      </c>
      <c r="J829" t="s">
        <v>26</v>
      </c>
      <c r="K829" t="s">
        <v>164</v>
      </c>
      <c r="M829" t="b">
        <v>0</v>
      </c>
      <c r="N829" t="s">
        <v>192</v>
      </c>
      <c r="O829" t="s">
        <v>88</v>
      </c>
      <c r="Q829">
        <v>115.09</v>
      </c>
      <c r="R829">
        <v>1.7</v>
      </c>
      <c r="S829" t="s">
        <v>1901</v>
      </c>
      <c r="T829">
        <v>19.2</v>
      </c>
      <c r="V829">
        <v>102.3</v>
      </c>
      <c r="W829">
        <v>82.1</v>
      </c>
      <c r="X829">
        <v>26.5</v>
      </c>
      <c r="Y829">
        <v>20.399999999999999</v>
      </c>
      <c r="Z829">
        <v>645397</v>
      </c>
      <c r="AA829">
        <v>49.815272999999998</v>
      </c>
      <c r="AB829">
        <v>6.1295830000000002</v>
      </c>
    </row>
    <row r="830" spans="1:28" hidden="1">
      <c r="A830">
        <v>818</v>
      </c>
      <c r="B830">
        <v>3500</v>
      </c>
      <c r="C830" t="s">
        <v>54</v>
      </c>
      <c r="D830" t="s">
        <v>1902</v>
      </c>
      <c r="E830">
        <v>70</v>
      </c>
      <c r="G830" t="s">
        <v>148</v>
      </c>
      <c r="H830" t="s">
        <v>1903</v>
      </c>
      <c r="I830" t="s">
        <v>1904</v>
      </c>
      <c r="J830" t="s">
        <v>54</v>
      </c>
      <c r="K830" t="s">
        <v>148</v>
      </c>
      <c r="M830" t="b">
        <v>1</v>
      </c>
      <c r="N830" t="s">
        <v>42</v>
      </c>
      <c r="O830" t="s">
        <v>33</v>
      </c>
      <c r="Q830">
        <v>112.85</v>
      </c>
      <c r="R830">
        <v>1.4</v>
      </c>
      <c r="S830" t="s">
        <v>151</v>
      </c>
      <c r="T830">
        <v>70.2</v>
      </c>
      <c r="V830">
        <v>104</v>
      </c>
      <c r="W830">
        <v>80.900000000000006</v>
      </c>
      <c r="X830">
        <v>11.5</v>
      </c>
      <c r="Y830">
        <v>48.8</v>
      </c>
      <c r="Z830">
        <v>83132799</v>
      </c>
      <c r="AA830">
        <v>51.165691000000002</v>
      </c>
      <c r="AB830">
        <v>10.451525999999999</v>
      </c>
    </row>
    <row r="831" spans="1:28" hidden="1">
      <c r="A831">
        <v>818</v>
      </c>
      <c r="B831">
        <v>3500</v>
      </c>
      <c r="C831" t="s">
        <v>26</v>
      </c>
      <c r="D831" t="s">
        <v>1905</v>
      </c>
      <c r="E831">
        <v>57</v>
      </c>
      <c r="G831" t="s">
        <v>103</v>
      </c>
      <c r="H831" t="s">
        <v>1906</v>
      </c>
      <c r="I831" t="s">
        <v>1907</v>
      </c>
      <c r="J831" t="s">
        <v>26</v>
      </c>
      <c r="K831" t="s">
        <v>103</v>
      </c>
      <c r="M831" t="b">
        <v>1</v>
      </c>
      <c r="N831" t="s">
        <v>192</v>
      </c>
      <c r="O831" t="s">
        <v>88</v>
      </c>
      <c r="Q831">
        <v>125.08</v>
      </c>
      <c r="R831">
        <v>2.9</v>
      </c>
      <c r="S831" t="s">
        <v>106</v>
      </c>
      <c r="T831">
        <v>50.6</v>
      </c>
      <c r="V831">
        <v>100.2</v>
      </c>
      <c r="W831">
        <v>77</v>
      </c>
      <c r="X831">
        <v>9.4</v>
      </c>
      <c r="Y831">
        <v>59.2</v>
      </c>
      <c r="Z831">
        <v>1397715000</v>
      </c>
      <c r="AA831">
        <v>35.861660000000001</v>
      </c>
      <c r="AB831">
        <v>104.195397</v>
      </c>
    </row>
    <row r="832" spans="1:28" hidden="1">
      <c r="A832">
        <v>818</v>
      </c>
      <c r="B832">
        <v>3500</v>
      </c>
      <c r="C832" t="s">
        <v>45</v>
      </c>
      <c r="D832" t="s">
        <v>1908</v>
      </c>
      <c r="E832">
        <v>58</v>
      </c>
      <c r="G832" t="s">
        <v>38</v>
      </c>
      <c r="H832" t="s">
        <v>1909</v>
      </c>
      <c r="I832" t="s">
        <v>572</v>
      </c>
      <c r="J832" t="s">
        <v>45</v>
      </c>
      <c r="K832" t="s">
        <v>38</v>
      </c>
      <c r="M832" t="b">
        <v>1</v>
      </c>
      <c r="N832" t="s">
        <v>32</v>
      </c>
      <c r="O832" t="s">
        <v>33</v>
      </c>
      <c r="Q832">
        <v>117.24</v>
      </c>
      <c r="R832">
        <v>7.5</v>
      </c>
      <c r="S832" t="s">
        <v>44</v>
      </c>
      <c r="T832">
        <v>88.2</v>
      </c>
      <c r="V832">
        <v>101.8</v>
      </c>
      <c r="W832">
        <v>78.5</v>
      </c>
      <c r="X832">
        <v>9.6</v>
      </c>
      <c r="Y832">
        <v>36.6</v>
      </c>
      <c r="Z832">
        <v>328239523</v>
      </c>
      <c r="AA832">
        <v>37.090240000000001</v>
      </c>
      <c r="AB832">
        <v>-95.712890999999999</v>
      </c>
    </row>
    <row r="833" spans="1:28" hidden="1">
      <c r="A833">
        <v>818</v>
      </c>
      <c r="B833">
        <v>3500</v>
      </c>
      <c r="C833" t="s">
        <v>250</v>
      </c>
      <c r="D833" t="s">
        <v>1910</v>
      </c>
      <c r="E833">
        <v>65</v>
      </c>
      <c r="G833" t="s">
        <v>263</v>
      </c>
      <c r="H833" t="s">
        <v>274</v>
      </c>
      <c r="I833" t="s">
        <v>1911</v>
      </c>
      <c r="J833" t="s">
        <v>250</v>
      </c>
      <c r="K833" t="s">
        <v>263</v>
      </c>
      <c r="M833" t="b">
        <v>1</v>
      </c>
      <c r="N833" t="s">
        <v>32</v>
      </c>
      <c r="O833" t="s">
        <v>33</v>
      </c>
      <c r="Q833">
        <v>180.75</v>
      </c>
      <c r="R833">
        <v>4.5</v>
      </c>
      <c r="S833" t="s">
        <v>276</v>
      </c>
      <c r="T833">
        <v>81.900000000000006</v>
      </c>
      <c r="V833">
        <v>102.6</v>
      </c>
      <c r="W833">
        <v>72.7</v>
      </c>
      <c r="X833">
        <v>11.4</v>
      </c>
      <c r="Y833">
        <v>46.2</v>
      </c>
      <c r="Z833">
        <v>144373535</v>
      </c>
      <c r="AA833">
        <v>61.524009999999997</v>
      </c>
      <c r="AB833">
        <v>105.31875599999999</v>
      </c>
    </row>
    <row r="834" spans="1:28" hidden="1">
      <c r="A834">
        <v>818</v>
      </c>
      <c r="B834">
        <v>3500</v>
      </c>
      <c r="C834" t="s">
        <v>217</v>
      </c>
      <c r="D834" t="s">
        <v>1912</v>
      </c>
      <c r="E834">
        <v>81</v>
      </c>
      <c r="G834" t="s">
        <v>172</v>
      </c>
      <c r="H834" t="s">
        <v>172</v>
      </c>
      <c r="I834" t="s">
        <v>1913</v>
      </c>
      <c r="J834" t="s">
        <v>217</v>
      </c>
      <c r="K834" t="s">
        <v>172</v>
      </c>
      <c r="M834" t="b">
        <v>1</v>
      </c>
      <c r="N834" t="s">
        <v>42</v>
      </c>
      <c r="O834" t="s">
        <v>33</v>
      </c>
    </row>
    <row r="835" spans="1:28" hidden="1">
      <c r="A835">
        <v>818</v>
      </c>
      <c r="B835">
        <v>3500</v>
      </c>
      <c r="C835" t="s">
        <v>101</v>
      </c>
      <c r="D835" t="s">
        <v>1914</v>
      </c>
      <c r="E835">
        <v>54</v>
      </c>
      <c r="G835" t="s">
        <v>103</v>
      </c>
      <c r="H835" t="s">
        <v>143</v>
      </c>
      <c r="I835" t="s">
        <v>1915</v>
      </c>
      <c r="J835" t="s">
        <v>101</v>
      </c>
      <c r="K835" t="s">
        <v>103</v>
      </c>
      <c r="M835" t="b">
        <v>1</v>
      </c>
      <c r="N835" t="s">
        <v>42</v>
      </c>
      <c r="O835" t="s">
        <v>33</v>
      </c>
      <c r="Q835">
        <v>125.08</v>
      </c>
      <c r="R835">
        <v>2.9</v>
      </c>
      <c r="S835" t="s">
        <v>106</v>
      </c>
      <c r="T835">
        <v>50.6</v>
      </c>
      <c r="V835">
        <v>100.2</v>
      </c>
      <c r="W835">
        <v>77</v>
      </c>
      <c r="X835">
        <v>9.4</v>
      </c>
      <c r="Y835">
        <v>59.2</v>
      </c>
      <c r="Z835">
        <v>1397715000</v>
      </c>
      <c r="AA835">
        <v>35.861660000000001</v>
      </c>
      <c r="AB835">
        <v>104.195397</v>
      </c>
    </row>
    <row r="836" spans="1:28">
      <c r="A836">
        <v>818</v>
      </c>
      <c r="B836">
        <v>3500</v>
      </c>
      <c r="C836" t="s">
        <v>54</v>
      </c>
      <c r="D836" t="s">
        <v>1916</v>
      </c>
      <c r="E836">
        <v>61</v>
      </c>
      <c r="F836" t="str">
        <f>IF(E836&gt;=90,"90-100",IF(E836&gt;=80,"80-90",IF(E836&gt;=70,"70-80",IF(E836&gt;=60,"60-70",IF(E836&gt;=50,"50-60",IF(E836&gt;=40,"40-50",IF(E836&gt;=30,"30-40","20-30")))))))</f>
        <v>60-70</v>
      </c>
      <c r="G836" t="s">
        <v>38</v>
      </c>
      <c r="H836" t="s">
        <v>65</v>
      </c>
      <c r="I836" t="s">
        <v>185</v>
      </c>
      <c r="J836" t="s">
        <v>54</v>
      </c>
      <c r="K836" t="s">
        <v>38</v>
      </c>
      <c r="L836" t="s">
        <v>1917</v>
      </c>
      <c r="M836" t="b">
        <v>1</v>
      </c>
      <c r="N836" t="s">
        <v>42</v>
      </c>
      <c r="O836" t="s">
        <v>4867</v>
      </c>
      <c r="P836" t="s">
        <v>468</v>
      </c>
      <c r="Q836">
        <v>117.24</v>
      </c>
      <c r="R836">
        <v>7.5</v>
      </c>
      <c r="S836" t="s">
        <v>44</v>
      </c>
      <c r="T836">
        <v>88.2</v>
      </c>
      <c r="U836" t="str">
        <f t="shared" ref="U836:U837" si="34">IF(T836&gt;=100,"above 100",IF(T836&gt;=80,"80-100",IF(T836&gt;=60,"60-80",IF(T836&gt;=40,"40-60",IF(T836&gt;=20,"20-60","0-20")))))</f>
        <v>80-100</v>
      </c>
      <c r="V836">
        <v>101.8</v>
      </c>
      <c r="W836">
        <v>78.5</v>
      </c>
      <c r="X836">
        <v>9.6</v>
      </c>
      <c r="Y836">
        <v>36.6</v>
      </c>
      <c r="Z836">
        <v>328239523</v>
      </c>
      <c r="AA836">
        <v>37.090240000000001</v>
      </c>
      <c r="AB836">
        <v>-95.712890999999999</v>
      </c>
    </row>
    <row r="837" spans="1:28">
      <c r="A837">
        <v>818</v>
      </c>
      <c r="B837">
        <v>3500</v>
      </c>
      <c r="C837" t="s">
        <v>101</v>
      </c>
      <c r="D837" t="s">
        <v>1918</v>
      </c>
      <c r="E837">
        <v>60</v>
      </c>
      <c r="F837" t="str">
        <f>IF(E837&gt;=90,"90-100",IF(E837&gt;=80,"80-90",IF(E837&gt;=70,"70-80",IF(E837&gt;=60,"60-70",IF(E837&gt;=50,"50-60",IF(E837&gt;=40,"40-50",IF(E837&gt;=30,"30-40","20-30")))))))</f>
        <v>60-70</v>
      </c>
      <c r="G837" t="s">
        <v>156</v>
      </c>
      <c r="H837" t="s">
        <v>1919</v>
      </c>
      <c r="I837" t="s">
        <v>453</v>
      </c>
      <c r="J837" t="s">
        <v>101</v>
      </c>
      <c r="K837" t="s">
        <v>156</v>
      </c>
      <c r="L837" t="s">
        <v>1920</v>
      </c>
      <c r="M837" t="b">
        <v>0</v>
      </c>
      <c r="N837" t="s">
        <v>42</v>
      </c>
      <c r="O837" t="s">
        <v>4866</v>
      </c>
      <c r="P837" t="s">
        <v>1036</v>
      </c>
      <c r="Q837">
        <v>99.55</v>
      </c>
      <c r="R837">
        <v>0.4</v>
      </c>
      <c r="S837" t="s">
        <v>159</v>
      </c>
      <c r="T837">
        <v>59.6</v>
      </c>
      <c r="U837" t="str">
        <f t="shared" si="34"/>
        <v>40-60</v>
      </c>
      <c r="V837">
        <v>105.2</v>
      </c>
      <c r="W837">
        <v>83.6</v>
      </c>
      <c r="X837">
        <v>10.1</v>
      </c>
      <c r="Y837">
        <v>28.8</v>
      </c>
      <c r="Z837">
        <v>8574832</v>
      </c>
      <c r="AA837">
        <v>46.818187999999999</v>
      </c>
      <c r="AB837">
        <v>8.2275120000000008</v>
      </c>
    </row>
    <row r="838" spans="1:28" hidden="1">
      <c r="A838">
        <v>818</v>
      </c>
      <c r="B838">
        <v>3500</v>
      </c>
      <c r="C838" t="s">
        <v>288</v>
      </c>
      <c r="D838" t="s">
        <v>1921</v>
      </c>
      <c r="E838">
        <v>90</v>
      </c>
      <c r="G838" t="s">
        <v>429</v>
      </c>
      <c r="H838" t="s">
        <v>430</v>
      </c>
      <c r="I838" t="s">
        <v>328</v>
      </c>
      <c r="J838" t="s">
        <v>288</v>
      </c>
      <c r="K838" t="s">
        <v>429</v>
      </c>
      <c r="M838" t="b">
        <v>1</v>
      </c>
      <c r="N838" t="s">
        <v>32</v>
      </c>
      <c r="O838" t="s">
        <v>33</v>
      </c>
      <c r="Q838">
        <v>113.27</v>
      </c>
      <c r="R838">
        <v>0.7</v>
      </c>
      <c r="S838" t="s">
        <v>431</v>
      </c>
      <c r="T838">
        <v>49.3</v>
      </c>
      <c r="V838">
        <v>99.8</v>
      </c>
      <c r="W838">
        <v>76.900000000000006</v>
      </c>
      <c r="X838">
        <v>14.9</v>
      </c>
      <c r="Y838">
        <v>29.5</v>
      </c>
      <c r="Z838">
        <v>69625582</v>
      </c>
      <c r="AA838">
        <v>15.870032</v>
      </c>
      <c r="AB838">
        <v>100.992541</v>
      </c>
    </row>
    <row r="839" spans="1:28" hidden="1">
      <c r="A839">
        <v>818</v>
      </c>
      <c r="B839">
        <v>3500</v>
      </c>
      <c r="C839" t="s">
        <v>54</v>
      </c>
      <c r="D839" t="s">
        <v>1922</v>
      </c>
      <c r="E839">
        <v>88</v>
      </c>
      <c r="G839" t="s">
        <v>38</v>
      </c>
      <c r="H839" t="s">
        <v>65</v>
      </c>
      <c r="I839" t="s">
        <v>231</v>
      </c>
      <c r="J839" t="s">
        <v>54</v>
      </c>
      <c r="K839" t="s">
        <v>38</v>
      </c>
      <c r="M839" t="b">
        <v>1</v>
      </c>
      <c r="N839" t="s">
        <v>42</v>
      </c>
      <c r="O839" t="s">
        <v>33</v>
      </c>
      <c r="Q839">
        <v>117.24</v>
      </c>
      <c r="R839">
        <v>7.5</v>
      </c>
      <c r="S839" t="s">
        <v>44</v>
      </c>
      <c r="T839">
        <v>88.2</v>
      </c>
      <c r="V839">
        <v>101.8</v>
      </c>
      <c r="W839">
        <v>78.5</v>
      </c>
      <c r="X839">
        <v>9.6</v>
      </c>
      <c r="Y839">
        <v>36.6</v>
      </c>
      <c r="Z839">
        <v>328239523</v>
      </c>
      <c r="AA839">
        <v>37.090240000000001</v>
      </c>
      <c r="AB839">
        <v>-95.712890999999999</v>
      </c>
    </row>
    <row r="840" spans="1:28" hidden="1">
      <c r="A840">
        <v>818</v>
      </c>
      <c r="B840">
        <v>3500</v>
      </c>
      <c r="C840" t="s">
        <v>26</v>
      </c>
      <c r="D840" t="s">
        <v>1923</v>
      </c>
      <c r="E840">
        <v>76</v>
      </c>
      <c r="G840" t="s">
        <v>148</v>
      </c>
      <c r="H840" t="s">
        <v>1924</v>
      </c>
      <c r="I840" t="s">
        <v>755</v>
      </c>
      <c r="J840" t="s">
        <v>26</v>
      </c>
      <c r="K840" t="s">
        <v>148</v>
      </c>
      <c r="M840" t="b">
        <v>1</v>
      </c>
      <c r="N840" t="s">
        <v>32</v>
      </c>
      <c r="O840" t="s">
        <v>33</v>
      </c>
      <c r="Q840">
        <v>112.85</v>
      </c>
      <c r="R840">
        <v>1.4</v>
      </c>
      <c r="S840" t="s">
        <v>151</v>
      </c>
      <c r="T840">
        <v>70.2</v>
      </c>
      <c r="V840">
        <v>104</v>
      </c>
      <c r="W840">
        <v>80.900000000000006</v>
      </c>
      <c r="X840">
        <v>11.5</v>
      </c>
      <c r="Y840">
        <v>48.8</v>
      </c>
      <c r="Z840">
        <v>83132799</v>
      </c>
      <c r="AA840">
        <v>51.165691000000002</v>
      </c>
      <c r="AB840">
        <v>10.451525999999999</v>
      </c>
    </row>
    <row r="841" spans="1:28" hidden="1">
      <c r="A841">
        <v>818</v>
      </c>
      <c r="B841">
        <v>3500</v>
      </c>
      <c r="C841" t="s">
        <v>469</v>
      </c>
      <c r="D841" t="s">
        <v>1925</v>
      </c>
      <c r="E841">
        <v>71</v>
      </c>
      <c r="G841" t="s">
        <v>263</v>
      </c>
      <c r="H841" t="s">
        <v>274</v>
      </c>
      <c r="I841" t="s">
        <v>1926</v>
      </c>
      <c r="J841" t="s">
        <v>469</v>
      </c>
      <c r="K841" t="s">
        <v>263</v>
      </c>
      <c r="M841" t="b">
        <v>1</v>
      </c>
      <c r="N841" t="s">
        <v>32</v>
      </c>
      <c r="O841" t="s">
        <v>33</v>
      </c>
      <c r="Q841">
        <v>180.75</v>
      </c>
      <c r="R841">
        <v>4.5</v>
      </c>
      <c r="S841" t="s">
        <v>276</v>
      </c>
      <c r="T841">
        <v>81.900000000000006</v>
      </c>
      <c r="V841">
        <v>102.6</v>
      </c>
      <c r="W841">
        <v>72.7</v>
      </c>
      <c r="X841">
        <v>11.4</v>
      </c>
      <c r="Y841">
        <v>46.2</v>
      </c>
      <c r="Z841">
        <v>144373535</v>
      </c>
      <c r="AA841">
        <v>61.524009999999997</v>
      </c>
      <c r="AB841">
        <v>105.31875599999999</v>
      </c>
    </row>
    <row r="842" spans="1:28" hidden="1">
      <c r="A842">
        <v>818</v>
      </c>
      <c r="B842">
        <v>3500</v>
      </c>
      <c r="C842" t="s">
        <v>26</v>
      </c>
      <c r="D842" t="s">
        <v>1927</v>
      </c>
      <c r="E842">
        <v>61</v>
      </c>
      <c r="G842" t="s">
        <v>164</v>
      </c>
      <c r="H842" t="s">
        <v>1928</v>
      </c>
      <c r="I842" t="s">
        <v>1929</v>
      </c>
      <c r="J842" t="s">
        <v>26</v>
      </c>
      <c r="K842" t="s">
        <v>164</v>
      </c>
      <c r="M842" t="b">
        <v>1</v>
      </c>
      <c r="N842" t="s">
        <v>32</v>
      </c>
      <c r="O842" t="s">
        <v>33</v>
      </c>
      <c r="Q842">
        <v>110.62</v>
      </c>
      <c r="R842">
        <v>0.6</v>
      </c>
      <c r="S842" t="s">
        <v>539</v>
      </c>
      <c r="T842">
        <v>61.9</v>
      </c>
      <c r="V842">
        <v>101.9</v>
      </c>
      <c r="W842">
        <v>82.9</v>
      </c>
      <c r="X842">
        <v>24.3</v>
      </c>
      <c r="Y842">
        <v>59.1</v>
      </c>
      <c r="Z842">
        <v>60297396</v>
      </c>
      <c r="AA842">
        <v>41.871940000000002</v>
      </c>
      <c r="AB842">
        <v>12.56738</v>
      </c>
    </row>
    <row r="843" spans="1:28" hidden="1">
      <c r="A843">
        <v>818</v>
      </c>
      <c r="B843">
        <v>3500</v>
      </c>
      <c r="C843" t="s">
        <v>288</v>
      </c>
      <c r="D843" t="s">
        <v>1930</v>
      </c>
      <c r="G843" t="s">
        <v>148</v>
      </c>
      <c r="H843" t="s">
        <v>1931</v>
      </c>
      <c r="I843" t="s">
        <v>1932</v>
      </c>
      <c r="J843" t="s">
        <v>288</v>
      </c>
      <c r="K843" t="s">
        <v>148</v>
      </c>
      <c r="M843" t="b">
        <v>0</v>
      </c>
      <c r="N843" t="s">
        <v>32</v>
      </c>
      <c r="O843" t="s">
        <v>88</v>
      </c>
      <c r="Q843">
        <v>112.85</v>
      </c>
      <c r="R843">
        <v>1.4</v>
      </c>
      <c r="S843" t="s">
        <v>151</v>
      </c>
      <c r="T843">
        <v>70.2</v>
      </c>
      <c r="V843">
        <v>104</v>
      </c>
      <c r="W843">
        <v>80.900000000000006</v>
      </c>
      <c r="X843">
        <v>11.5</v>
      </c>
      <c r="Y843">
        <v>48.8</v>
      </c>
      <c r="Z843">
        <v>83132799</v>
      </c>
      <c r="AA843">
        <v>51.165691000000002</v>
      </c>
      <c r="AB843">
        <v>10.451525999999999</v>
      </c>
    </row>
    <row r="844" spans="1:28" hidden="1">
      <c r="A844">
        <v>818</v>
      </c>
      <c r="B844">
        <v>3500</v>
      </c>
      <c r="C844" t="s">
        <v>36</v>
      </c>
      <c r="D844" t="s">
        <v>1933</v>
      </c>
      <c r="E844">
        <v>66</v>
      </c>
      <c r="G844" t="s">
        <v>77</v>
      </c>
      <c r="H844" t="s">
        <v>248</v>
      </c>
      <c r="I844" t="s">
        <v>506</v>
      </c>
      <c r="J844" t="s">
        <v>36</v>
      </c>
      <c r="K844" t="s">
        <v>238</v>
      </c>
      <c r="M844" t="b">
        <v>1</v>
      </c>
      <c r="N844" t="s">
        <v>32</v>
      </c>
      <c r="O844" t="s">
        <v>33</v>
      </c>
      <c r="Q844">
        <v>180.44</v>
      </c>
      <c r="R844">
        <v>7.7</v>
      </c>
      <c r="S844" t="s">
        <v>81</v>
      </c>
      <c r="T844">
        <v>28.1</v>
      </c>
      <c r="V844">
        <v>113</v>
      </c>
      <c r="W844">
        <v>69.400000000000006</v>
      </c>
      <c r="X844">
        <v>11.2</v>
      </c>
      <c r="Y844">
        <v>49.7</v>
      </c>
      <c r="Z844">
        <v>1366417754</v>
      </c>
      <c r="AA844">
        <v>20.593684</v>
      </c>
      <c r="AB844">
        <v>78.962879999999998</v>
      </c>
    </row>
    <row r="845" spans="1:28">
      <c r="A845">
        <v>818</v>
      </c>
      <c r="B845">
        <v>3500</v>
      </c>
      <c r="C845" t="s">
        <v>54</v>
      </c>
      <c r="D845" t="s">
        <v>1934</v>
      </c>
      <c r="E845">
        <v>45</v>
      </c>
      <c r="F845" t="str">
        <f>IF(E845&gt;=90,"90-100",IF(E845&gt;=80,"80-90",IF(E845&gt;=70,"70-80",IF(E845&gt;=60,"60-70",IF(E845&gt;=50,"50-60",IF(E845&gt;=40,"40-50",IF(E845&gt;=30,"30-40","20-30")))))))</f>
        <v>40-50</v>
      </c>
      <c r="G845" t="s">
        <v>38</v>
      </c>
      <c r="H845" t="s">
        <v>65</v>
      </c>
      <c r="I845" t="s">
        <v>613</v>
      </c>
      <c r="J845" t="s">
        <v>54</v>
      </c>
      <c r="K845" t="s">
        <v>38</v>
      </c>
      <c r="L845" t="s">
        <v>733</v>
      </c>
      <c r="M845" t="b">
        <v>1</v>
      </c>
      <c r="N845" t="s">
        <v>42</v>
      </c>
      <c r="O845" t="s">
        <v>4867</v>
      </c>
      <c r="P845" t="s">
        <v>468</v>
      </c>
      <c r="Q845">
        <v>117.24</v>
      </c>
      <c r="R845">
        <v>7.5</v>
      </c>
      <c r="S845" t="s">
        <v>44</v>
      </c>
      <c r="T845">
        <v>88.2</v>
      </c>
      <c r="U845" t="str">
        <f>IF(T845&gt;=100,"above 100",IF(T845&gt;=80,"80-100",IF(T845&gt;=60,"60-80",IF(T845&gt;=40,"40-60",IF(T845&gt;=20,"20-60","0-20")))))</f>
        <v>80-100</v>
      </c>
      <c r="V845">
        <v>101.8</v>
      </c>
      <c r="W845">
        <v>78.5</v>
      </c>
      <c r="X845">
        <v>9.6</v>
      </c>
      <c r="Y845">
        <v>36.6</v>
      </c>
      <c r="Z845">
        <v>328239523</v>
      </c>
      <c r="AA845">
        <v>37.090240000000001</v>
      </c>
      <c r="AB845">
        <v>-95.712890999999999</v>
      </c>
    </row>
    <row r="846" spans="1:28" hidden="1">
      <c r="A846">
        <v>818</v>
      </c>
      <c r="B846">
        <v>3500</v>
      </c>
      <c r="C846" t="s">
        <v>45</v>
      </c>
      <c r="D846" t="s">
        <v>1935</v>
      </c>
      <c r="E846">
        <v>70</v>
      </c>
      <c r="G846" t="s">
        <v>38</v>
      </c>
      <c r="H846" t="s">
        <v>672</v>
      </c>
      <c r="I846" t="s">
        <v>577</v>
      </c>
      <c r="J846" t="s">
        <v>45</v>
      </c>
      <c r="K846" t="s">
        <v>38</v>
      </c>
      <c r="M846" t="b">
        <v>1</v>
      </c>
      <c r="N846" t="s">
        <v>419</v>
      </c>
      <c r="O846" t="s">
        <v>33</v>
      </c>
      <c r="Q846">
        <v>117.24</v>
      </c>
      <c r="R846">
        <v>7.5</v>
      </c>
      <c r="S846" t="s">
        <v>44</v>
      </c>
      <c r="T846">
        <v>88.2</v>
      </c>
      <c r="V846">
        <v>101.8</v>
      </c>
      <c r="W846">
        <v>78.5</v>
      </c>
      <c r="X846">
        <v>9.6</v>
      </c>
      <c r="Y846">
        <v>36.6</v>
      </c>
      <c r="Z846">
        <v>328239523</v>
      </c>
      <c r="AA846">
        <v>37.090240000000001</v>
      </c>
      <c r="AB846">
        <v>-95.712890999999999</v>
      </c>
    </row>
    <row r="847" spans="1:28" hidden="1">
      <c r="A847">
        <v>818</v>
      </c>
      <c r="B847">
        <v>3500</v>
      </c>
      <c r="C847" t="s">
        <v>217</v>
      </c>
      <c r="D847" t="s">
        <v>1936</v>
      </c>
      <c r="E847">
        <v>75</v>
      </c>
      <c r="G847" t="s">
        <v>438</v>
      </c>
      <c r="H847" t="s">
        <v>1937</v>
      </c>
      <c r="I847" t="s">
        <v>217</v>
      </c>
      <c r="J847" t="s">
        <v>217</v>
      </c>
      <c r="K847" t="s">
        <v>438</v>
      </c>
      <c r="M847" t="b">
        <v>0</v>
      </c>
      <c r="N847" t="s">
        <v>32</v>
      </c>
      <c r="O847" t="s">
        <v>33</v>
      </c>
      <c r="Q847">
        <v>115.91</v>
      </c>
      <c r="R847">
        <v>2.6</v>
      </c>
      <c r="S847" t="s">
        <v>1101</v>
      </c>
      <c r="T847">
        <v>85</v>
      </c>
      <c r="V847">
        <v>104.2</v>
      </c>
      <c r="W847">
        <v>81.8</v>
      </c>
      <c r="X847">
        <v>23</v>
      </c>
      <c r="Y847">
        <v>41.2</v>
      </c>
      <c r="Z847">
        <v>17332850</v>
      </c>
      <c r="AA847">
        <v>52.132632999999998</v>
      </c>
      <c r="AB847">
        <v>5.2912660000000002</v>
      </c>
    </row>
    <row r="848" spans="1:28" hidden="1">
      <c r="A848">
        <v>818</v>
      </c>
      <c r="B848">
        <v>3500</v>
      </c>
      <c r="C848" t="s">
        <v>75</v>
      </c>
      <c r="D848" t="s">
        <v>1938</v>
      </c>
      <c r="E848">
        <v>58</v>
      </c>
      <c r="G848" t="s">
        <v>103</v>
      </c>
      <c r="H848" t="s">
        <v>143</v>
      </c>
      <c r="I848" t="s">
        <v>1075</v>
      </c>
      <c r="J848" t="s">
        <v>75</v>
      </c>
      <c r="K848" t="s">
        <v>103</v>
      </c>
      <c r="M848" t="b">
        <v>1</v>
      </c>
      <c r="N848" t="s">
        <v>42</v>
      </c>
      <c r="O848" t="s">
        <v>33</v>
      </c>
      <c r="Q848">
        <v>125.08</v>
      </c>
      <c r="R848">
        <v>2.9</v>
      </c>
      <c r="S848" t="s">
        <v>106</v>
      </c>
      <c r="T848">
        <v>50.6</v>
      </c>
      <c r="V848">
        <v>100.2</v>
      </c>
      <c r="W848">
        <v>77</v>
      </c>
      <c r="X848">
        <v>9.4</v>
      </c>
      <c r="Y848">
        <v>59.2</v>
      </c>
      <c r="Z848">
        <v>1397715000</v>
      </c>
      <c r="AA848">
        <v>35.861660000000001</v>
      </c>
      <c r="AB848">
        <v>104.195397</v>
      </c>
    </row>
    <row r="849" spans="1:28" hidden="1">
      <c r="A849">
        <v>818</v>
      </c>
      <c r="B849">
        <v>3500</v>
      </c>
      <c r="C849" t="s">
        <v>45</v>
      </c>
      <c r="D849" t="s">
        <v>1939</v>
      </c>
      <c r="E849">
        <v>54</v>
      </c>
      <c r="G849" t="s">
        <v>38</v>
      </c>
      <c r="H849" t="s">
        <v>1662</v>
      </c>
      <c r="I849" t="s">
        <v>1663</v>
      </c>
      <c r="J849" t="s">
        <v>45</v>
      </c>
      <c r="K849" t="s">
        <v>38</v>
      </c>
      <c r="M849" t="b">
        <v>1</v>
      </c>
      <c r="N849" t="s">
        <v>32</v>
      </c>
      <c r="O849" t="s">
        <v>33</v>
      </c>
      <c r="Q849">
        <v>117.24</v>
      </c>
      <c r="R849">
        <v>7.5</v>
      </c>
      <c r="S849" t="s">
        <v>44</v>
      </c>
      <c r="T849">
        <v>88.2</v>
      </c>
      <c r="V849">
        <v>101.8</v>
      </c>
      <c r="W849">
        <v>78.5</v>
      </c>
      <c r="X849">
        <v>9.6</v>
      </c>
      <c r="Y849">
        <v>36.6</v>
      </c>
      <c r="Z849">
        <v>328239523</v>
      </c>
      <c r="AA849">
        <v>37.090240000000001</v>
      </c>
      <c r="AB849">
        <v>-95.712890999999999</v>
      </c>
    </row>
    <row r="850" spans="1:28" hidden="1">
      <c r="A850">
        <v>818</v>
      </c>
      <c r="B850">
        <v>3500</v>
      </c>
      <c r="C850" t="s">
        <v>154</v>
      </c>
      <c r="D850" t="s">
        <v>1940</v>
      </c>
      <c r="E850">
        <v>65</v>
      </c>
      <c r="G850" t="s">
        <v>103</v>
      </c>
      <c r="H850" t="s">
        <v>1941</v>
      </c>
      <c r="I850" t="s">
        <v>158</v>
      </c>
      <c r="J850" t="s">
        <v>154</v>
      </c>
      <c r="K850" t="s">
        <v>103</v>
      </c>
      <c r="M850" t="b">
        <v>1</v>
      </c>
      <c r="N850" t="s">
        <v>42</v>
      </c>
      <c r="O850" t="s">
        <v>33</v>
      </c>
      <c r="Q850">
        <v>125.08</v>
      </c>
      <c r="R850">
        <v>2.9</v>
      </c>
      <c r="S850" t="s">
        <v>106</v>
      </c>
      <c r="T850">
        <v>50.6</v>
      </c>
      <c r="V850">
        <v>100.2</v>
      </c>
      <c r="W850">
        <v>77</v>
      </c>
      <c r="X850">
        <v>9.4</v>
      </c>
      <c r="Y850">
        <v>59.2</v>
      </c>
      <c r="Z850">
        <v>1397715000</v>
      </c>
      <c r="AA850">
        <v>35.861660000000001</v>
      </c>
      <c r="AB850">
        <v>104.195397</v>
      </c>
    </row>
    <row r="851" spans="1:28" hidden="1">
      <c r="A851">
        <v>818</v>
      </c>
      <c r="B851">
        <v>3500</v>
      </c>
      <c r="C851" t="s">
        <v>26</v>
      </c>
      <c r="D851" t="s">
        <v>1942</v>
      </c>
      <c r="E851">
        <v>65</v>
      </c>
      <c r="G851" t="s">
        <v>339</v>
      </c>
      <c r="H851" t="s">
        <v>339</v>
      </c>
      <c r="I851" t="s">
        <v>1883</v>
      </c>
      <c r="J851" t="s">
        <v>26</v>
      </c>
      <c r="K851" t="s">
        <v>164</v>
      </c>
      <c r="M851" t="b">
        <v>0</v>
      </c>
      <c r="N851" t="s">
        <v>192</v>
      </c>
      <c r="O851" t="s">
        <v>88</v>
      </c>
      <c r="S851" t="s">
        <v>343</v>
      </c>
      <c r="Z851">
        <v>38964</v>
      </c>
      <c r="AA851">
        <v>43.738417599999998</v>
      </c>
      <c r="AB851">
        <v>7.4246157999999998</v>
      </c>
    </row>
    <row r="852" spans="1:28" hidden="1">
      <c r="A852">
        <v>818</v>
      </c>
      <c r="B852">
        <v>3500</v>
      </c>
      <c r="C852" t="s">
        <v>217</v>
      </c>
      <c r="D852" t="s">
        <v>1943</v>
      </c>
      <c r="E852">
        <v>56</v>
      </c>
      <c r="G852" t="s">
        <v>127</v>
      </c>
      <c r="H852" t="s">
        <v>1944</v>
      </c>
      <c r="I852" t="s">
        <v>362</v>
      </c>
      <c r="J852" t="s">
        <v>217</v>
      </c>
      <c r="K852" t="s">
        <v>127</v>
      </c>
      <c r="M852" t="b">
        <v>0</v>
      </c>
      <c r="N852" t="s">
        <v>32</v>
      </c>
      <c r="O852" t="s">
        <v>33</v>
      </c>
      <c r="Q852">
        <v>116.76</v>
      </c>
      <c r="R852">
        <v>1.9</v>
      </c>
      <c r="S852" t="s">
        <v>132</v>
      </c>
      <c r="T852">
        <v>68.900000000000006</v>
      </c>
      <c r="V852">
        <v>100.9</v>
      </c>
      <c r="W852">
        <v>81.900000000000006</v>
      </c>
      <c r="X852">
        <v>12.8</v>
      </c>
      <c r="Y852">
        <v>24.5</v>
      </c>
      <c r="Z852">
        <v>36991981</v>
      </c>
      <c r="AA852">
        <v>56.130366000000002</v>
      </c>
      <c r="AB852">
        <v>-106.346771</v>
      </c>
    </row>
    <row r="853" spans="1:28">
      <c r="A853">
        <v>852</v>
      </c>
      <c r="B853">
        <v>3400</v>
      </c>
      <c r="C853" t="s">
        <v>54</v>
      </c>
      <c r="D853" t="s">
        <v>1945</v>
      </c>
      <c r="E853">
        <v>56</v>
      </c>
      <c r="F853" t="str">
        <f>IF(E853&gt;=90,"90-100",IF(E853&gt;=80,"80-90",IF(E853&gt;=70,"70-80",IF(E853&gt;=60,"60-70",IF(E853&gt;=50,"50-60",IF(E853&gt;=40,"40-50",IF(E853&gt;=30,"30-40","20-30")))))))</f>
        <v>50-60</v>
      </c>
      <c r="G853" t="s">
        <v>38</v>
      </c>
      <c r="H853" t="s">
        <v>65</v>
      </c>
      <c r="I853" t="s">
        <v>185</v>
      </c>
      <c r="J853" t="s">
        <v>54</v>
      </c>
      <c r="K853" t="s">
        <v>38</v>
      </c>
      <c r="L853" t="s">
        <v>1946</v>
      </c>
      <c r="M853" t="b">
        <v>1</v>
      </c>
      <c r="N853" t="s">
        <v>32</v>
      </c>
      <c r="O853" t="s">
        <v>4867</v>
      </c>
      <c r="P853" t="s">
        <v>1947</v>
      </c>
      <c r="Q853">
        <v>117.24</v>
      </c>
      <c r="R853">
        <v>7.5</v>
      </c>
      <c r="S853" t="s">
        <v>44</v>
      </c>
      <c r="T853">
        <v>88.2</v>
      </c>
      <c r="U853" t="str">
        <f>IF(T853&gt;=100,"above 100",IF(T853&gt;=80,"80-100",IF(T853&gt;=60,"60-80",IF(T853&gt;=40,"40-60",IF(T853&gt;=20,"20-60","0-20")))))</f>
        <v>80-100</v>
      </c>
      <c r="V853">
        <v>101.8</v>
      </c>
      <c r="W853">
        <v>78.5</v>
      </c>
      <c r="X853">
        <v>9.6</v>
      </c>
      <c r="Y853">
        <v>36.6</v>
      </c>
      <c r="Z853">
        <v>328239523</v>
      </c>
      <c r="AA853">
        <v>37.090240000000001</v>
      </c>
      <c r="AB853">
        <v>-95.712890999999999</v>
      </c>
    </row>
    <row r="854" spans="1:28" hidden="1">
      <c r="A854">
        <v>852</v>
      </c>
      <c r="B854">
        <v>3400</v>
      </c>
      <c r="C854" t="s">
        <v>250</v>
      </c>
      <c r="D854" t="s">
        <v>1948</v>
      </c>
      <c r="E854">
        <v>55</v>
      </c>
      <c r="G854" t="s">
        <v>429</v>
      </c>
      <c r="H854" t="s">
        <v>430</v>
      </c>
      <c r="I854" t="s">
        <v>1470</v>
      </c>
      <c r="J854" t="s">
        <v>250</v>
      </c>
      <c r="K854" t="s">
        <v>429</v>
      </c>
      <c r="M854" t="b">
        <v>1</v>
      </c>
      <c r="N854" t="s">
        <v>42</v>
      </c>
      <c r="O854" t="s">
        <v>33</v>
      </c>
      <c r="Q854">
        <v>113.27</v>
      </c>
      <c r="R854">
        <v>0.7</v>
      </c>
      <c r="S854" t="s">
        <v>431</v>
      </c>
      <c r="T854">
        <v>49.3</v>
      </c>
      <c r="V854">
        <v>99.8</v>
      </c>
      <c r="W854">
        <v>76.900000000000006</v>
      </c>
      <c r="X854">
        <v>14.9</v>
      </c>
      <c r="Y854">
        <v>29.5</v>
      </c>
      <c r="Z854">
        <v>69625582</v>
      </c>
      <c r="AA854">
        <v>15.870032</v>
      </c>
      <c r="AB854">
        <v>100.992541</v>
      </c>
    </row>
    <row r="855" spans="1:28" hidden="1">
      <c r="A855">
        <v>852</v>
      </c>
      <c r="B855">
        <v>3400</v>
      </c>
      <c r="C855" t="s">
        <v>236</v>
      </c>
      <c r="D855" t="s">
        <v>1949</v>
      </c>
      <c r="E855">
        <v>52</v>
      </c>
      <c r="G855" t="s">
        <v>263</v>
      </c>
      <c r="H855" t="s">
        <v>1950</v>
      </c>
      <c r="I855" t="s">
        <v>275</v>
      </c>
      <c r="J855" t="s">
        <v>236</v>
      </c>
      <c r="K855" t="s">
        <v>263</v>
      </c>
      <c r="M855" t="b">
        <v>1</v>
      </c>
      <c r="N855" t="s">
        <v>32</v>
      </c>
      <c r="O855" t="s">
        <v>33</v>
      </c>
      <c r="Q855">
        <v>180.75</v>
      </c>
      <c r="R855">
        <v>4.5</v>
      </c>
      <c r="S855" t="s">
        <v>276</v>
      </c>
      <c r="T855">
        <v>81.900000000000006</v>
      </c>
      <c r="V855">
        <v>102.6</v>
      </c>
      <c r="W855">
        <v>72.7</v>
      </c>
      <c r="X855">
        <v>11.4</v>
      </c>
      <c r="Y855">
        <v>46.2</v>
      </c>
      <c r="Z855">
        <v>144373535</v>
      </c>
      <c r="AA855">
        <v>61.524009999999997</v>
      </c>
      <c r="AB855">
        <v>105.31875599999999</v>
      </c>
    </row>
    <row r="856" spans="1:28" hidden="1">
      <c r="A856">
        <v>852</v>
      </c>
      <c r="B856">
        <v>3400</v>
      </c>
      <c r="C856" t="s">
        <v>101</v>
      </c>
      <c r="D856" t="s">
        <v>1951</v>
      </c>
      <c r="E856">
        <v>69</v>
      </c>
      <c r="G856" t="s">
        <v>726</v>
      </c>
      <c r="H856" t="s">
        <v>727</v>
      </c>
      <c r="I856" t="s">
        <v>75</v>
      </c>
      <c r="J856" t="s">
        <v>101</v>
      </c>
      <c r="K856" t="s">
        <v>726</v>
      </c>
      <c r="M856" t="b">
        <v>1</v>
      </c>
      <c r="N856" t="s">
        <v>32</v>
      </c>
      <c r="O856" t="s">
        <v>33</v>
      </c>
      <c r="Q856">
        <v>129.61000000000001</v>
      </c>
      <c r="R856">
        <v>2.5</v>
      </c>
      <c r="S856" t="s">
        <v>728</v>
      </c>
      <c r="T856">
        <v>35.5</v>
      </c>
      <c r="V856">
        <v>107.5</v>
      </c>
      <c r="W856">
        <v>71.099999999999994</v>
      </c>
      <c r="X856">
        <v>14</v>
      </c>
      <c r="Y856">
        <v>43.1</v>
      </c>
      <c r="Z856">
        <v>108116615</v>
      </c>
      <c r="AA856">
        <v>12.879721</v>
      </c>
      <c r="AB856">
        <v>121.774017</v>
      </c>
    </row>
    <row r="857" spans="1:28" hidden="1">
      <c r="A857">
        <v>852</v>
      </c>
      <c r="B857">
        <v>3400</v>
      </c>
      <c r="C857" t="s">
        <v>101</v>
      </c>
      <c r="D857" t="s">
        <v>1952</v>
      </c>
      <c r="E857">
        <v>50</v>
      </c>
      <c r="G857" t="s">
        <v>77</v>
      </c>
      <c r="H857" t="s">
        <v>1953</v>
      </c>
      <c r="I857" t="s">
        <v>1260</v>
      </c>
      <c r="J857" t="s">
        <v>101</v>
      </c>
      <c r="K857" t="s">
        <v>77</v>
      </c>
      <c r="M857" t="b">
        <v>1</v>
      </c>
      <c r="N857" t="s">
        <v>32</v>
      </c>
      <c r="O857" t="s">
        <v>33</v>
      </c>
      <c r="Q857">
        <v>180.44</v>
      </c>
      <c r="R857">
        <v>7.7</v>
      </c>
      <c r="S857" t="s">
        <v>81</v>
      </c>
      <c r="T857">
        <v>28.1</v>
      </c>
      <c r="V857">
        <v>113</v>
      </c>
      <c r="W857">
        <v>69.400000000000006</v>
      </c>
      <c r="X857">
        <v>11.2</v>
      </c>
      <c r="Y857">
        <v>49.7</v>
      </c>
      <c r="Z857">
        <v>1366417754</v>
      </c>
      <c r="AA857">
        <v>20.593684</v>
      </c>
      <c r="AB857">
        <v>78.962879999999998</v>
      </c>
    </row>
    <row r="858" spans="1:28" hidden="1">
      <c r="A858">
        <v>852</v>
      </c>
      <c r="B858">
        <v>3400</v>
      </c>
      <c r="C858" t="s">
        <v>217</v>
      </c>
      <c r="D858" t="s">
        <v>1954</v>
      </c>
      <c r="E858">
        <v>52</v>
      </c>
      <c r="G858" t="s">
        <v>156</v>
      </c>
      <c r="H858" t="s">
        <v>1040</v>
      </c>
      <c r="I858" t="s">
        <v>287</v>
      </c>
      <c r="J858" t="s">
        <v>217</v>
      </c>
      <c r="K858" t="s">
        <v>156</v>
      </c>
      <c r="M858" t="b">
        <v>0</v>
      </c>
      <c r="N858" t="s">
        <v>32</v>
      </c>
      <c r="O858" t="s">
        <v>33</v>
      </c>
      <c r="Q858">
        <v>99.55</v>
      </c>
      <c r="R858">
        <v>0.4</v>
      </c>
      <c r="S858" t="s">
        <v>159</v>
      </c>
      <c r="T858">
        <v>59.6</v>
      </c>
      <c r="V858">
        <v>105.2</v>
      </c>
      <c r="W858">
        <v>83.6</v>
      </c>
      <c r="X858">
        <v>10.1</v>
      </c>
      <c r="Y858">
        <v>28.8</v>
      </c>
      <c r="Z858">
        <v>8574832</v>
      </c>
      <c r="AA858">
        <v>46.818187999999999</v>
      </c>
      <c r="AB858">
        <v>8.2275120000000008</v>
      </c>
    </row>
    <row r="859" spans="1:28" hidden="1">
      <c r="A859">
        <v>852</v>
      </c>
      <c r="B859">
        <v>3400</v>
      </c>
      <c r="C859" t="s">
        <v>75</v>
      </c>
      <c r="D859" t="s">
        <v>1955</v>
      </c>
      <c r="E859">
        <v>72</v>
      </c>
      <c r="G859" t="s">
        <v>1956</v>
      </c>
      <c r="H859" t="s">
        <v>1957</v>
      </c>
      <c r="I859" t="s">
        <v>1958</v>
      </c>
      <c r="J859" t="s">
        <v>75</v>
      </c>
      <c r="K859" t="s">
        <v>203</v>
      </c>
      <c r="M859" t="b">
        <v>1</v>
      </c>
      <c r="N859" t="s">
        <v>42</v>
      </c>
      <c r="O859" t="s">
        <v>33</v>
      </c>
    </row>
    <row r="860" spans="1:28">
      <c r="A860">
        <v>852</v>
      </c>
      <c r="B860">
        <v>3400</v>
      </c>
      <c r="C860" t="s">
        <v>54</v>
      </c>
      <c r="D860" t="s">
        <v>1959</v>
      </c>
      <c r="E860">
        <v>64</v>
      </c>
      <c r="F860" t="s">
        <v>4848</v>
      </c>
      <c r="G860" t="s">
        <v>611</v>
      </c>
      <c r="H860" t="s">
        <v>612</v>
      </c>
      <c r="I860" t="s">
        <v>1152</v>
      </c>
      <c r="J860" t="s">
        <v>54</v>
      </c>
      <c r="K860" t="s">
        <v>611</v>
      </c>
      <c r="L860" t="s">
        <v>1960</v>
      </c>
      <c r="M860" t="b">
        <v>0</v>
      </c>
      <c r="N860" t="s">
        <v>32</v>
      </c>
      <c r="O860" t="s">
        <v>33</v>
      </c>
      <c r="Q860">
        <v>115.16</v>
      </c>
      <c r="R860">
        <v>0.4</v>
      </c>
      <c r="S860" t="s">
        <v>615</v>
      </c>
      <c r="T860">
        <v>94.3</v>
      </c>
      <c r="U860" t="str">
        <f>IF(T860&gt;=100,"above 100",IF(T860&gt;=80,"80-100",IF(T860&gt;=60,"60-80",IF(T860&gt;=40,"40-60",IF(T860&gt;=20,"20-60","0-20")))))</f>
        <v>80-100</v>
      </c>
      <c r="V860">
        <v>98.1</v>
      </c>
      <c r="W860">
        <v>82.6</v>
      </c>
      <c r="X860">
        <v>15.6</v>
      </c>
      <c r="Y860">
        <v>33.200000000000003</v>
      </c>
      <c r="Z860">
        <v>51709098</v>
      </c>
      <c r="AA860">
        <v>35.907756999999997</v>
      </c>
      <c r="AB860">
        <v>127.76692199999999</v>
      </c>
    </row>
    <row r="861" spans="1:28" hidden="1">
      <c r="A861">
        <v>852</v>
      </c>
      <c r="B861">
        <v>3400</v>
      </c>
      <c r="C861" t="s">
        <v>101</v>
      </c>
      <c r="D861" t="s">
        <v>1961</v>
      </c>
      <c r="E861">
        <v>63</v>
      </c>
      <c r="G861" t="s">
        <v>164</v>
      </c>
      <c r="H861" t="s">
        <v>538</v>
      </c>
      <c r="I861" t="s">
        <v>1632</v>
      </c>
      <c r="J861" t="s">
        <v>101</v>
      </c>
      <c r="K861" t="s">
        <v>164</v>
      </c>
      <c r="M861" t="b">
        <v>0</v>
      </c>
      <c r="N861" t="s">
        <v>32</v>
      </c>
      <c r="O861" t="s">
        <v>88</v>
      </c>
      <c r="Q861">
        <v>110.62</v>
      </c>
      <c r="R861">
        <v>0.6</v>
      </c>
      <c r="S861" t="s">
        <v>539</v>
      </c>
      <c r="T861">
        <v>61.9</v>
      </c>
      <c r="V861">
        <v>101.9</v>
      </c>
      <c r="W861">
        <v>82.9</v>
      </c>
      <c r="X861">
        <v>24.3</v>
      </c>
      <c r="Y861">
        <v>59.1</v>
      </c>
      <c r="Z861">
        <v>60297396</v>
      </c>
      <c r="AA861">
        <v>41.871940000000002</v>
      </c>
      <c r="AB861">
        <v>12.56738</v>
      </c>
    </row>
    <row r="862" spans="1:28" hidden="1">
      <c r="A862">
        <v>852</v>
      </c>
      <c r="B862">
        <v>3400</v>
      </c>
      <c r="C862" t="s">
        <v>26</v>
      </c>
      <c r="D862" t="s">
        <v>1962</v>
      </c>
      <c r="E862">
        <v>84</v>
      </c>
      <c r="G862" t="s">
        <v>156</v>
      </c>
      <c r="H862" t="s">
        <v>647</v>
      </c>
      <c r="I862" t="s">
        <v>1963</v>
      </c>
      <c r="J862" t="s">
        <v>26</v>
      </c>
      <c r="K862" t="s">
        <v>203</v>
      </c>
      <c r="M862" t="b">
        <v>1</v>
      </c>
      <c r="N862" t="s">
        <v>419</v>
      </c>
      <c r="O862" t="s">
        <v>33</v>
      </c>
      <c r="Q862">
        <v>99.55</v>
      </c>
      <c r="R862">
        <v>0.4</v>
      </c>
      <c r="S862" t="s">
        <v>159</v>
      </c>
      <c r="T862">
        <v>59.6</v>
      </c>
      <c r="V862">
        <v>105.2</v>
      </c>
      <c r="W862">
        <v>83.6</v>
      </c>
      <c r="X862">
        <v>10.1</v>
      </c>
      <c r="Y862">
        <v>28.8</v>
      </c>
      <c r="Z862">
        <v>8574832</v>
      </c>
      <c r="AA862">
        <v>46.818187999999999</v>
      </c>
      <c r="AB862">
        <v>8.2275120000000008</v>
      </c>
    </row>
    <row r="863" spans="1:28">
      <c r="A863">
        <v>852</v>
      </c>
      <c r="B863">
        <v>3400</v>
      </c>
      <c r="C863" t="s">
        <v>63</v>
      </c>
      <c r="D863" t="s">
        <v>1964</v>
      </c>
      <c r="E863">
        <v>86</v>
      </c>
      <c r="F863" t="str">
        <f>IF(E863&gt;=90,"90-100",IF(E863&gt;=80,"80-90",IF(E863&gt;=70,"70-80",IF(E863&gt;=60,"60-70",IF(E863&gt;=50,"50-60",IF(E863&gt;=40,"40-50",IF(E863&gt;=30,"30-40","20-30")))))))</f>
        <v>80-90</v>
      </c>
      <c r="G863" t="s">
        <v>38</v>
      </c>
      <c r="H863" t="s">
        <v>980</v>
      </c>
      <c r="I863" t="s">
        <v>665</v>
      </c>
      <c r="J863" t="s">
        <v>63</v>
      </c>
      <c r="K863" t="s">
        <v>38</v>
      </c>
      <c r="L863" t="s">
        <v>1965</v>
      </c>
      <c r="M863" t="b">
        <v>1</v>
      </c>
      <c r="N863" t="s">
        <v>42</v>
      </c>
      <c r="O863" t="s">
        <v>4867</v>
      </c>
      <c r="P863" t="s">
        <v>1966</v>
      </c>
      <c r="Q863">
        <v>117.24</v>
      </c>
      <c r="R863">
        <v>7.5</v>
      </c>
      <c r="S863" t="s">
        <v>44</v>
      </c>
      <c r="T863">
        <v>88.2</v>
      </c>
      <c r="U863" t="str">
        <f>IF(T863&gt;=100,"above 100",IF(T863&gt;=80,"80-100",IF(T863&gt;=60,"60-80",IF(T863&gt;=40,"40-60",IF(T863&gt;=20,"20-60","0-20")))))</f>
        <v>80-100</v>
      </c>
      <c r="V863">
        <v>101.8</v>
      </c>
      <c r="W863">
        <v>78.5</v>
      </c>
      <c r="X863">
        <v>9.6</v>
      </c>
      <c r="Y863">
        <v>36.6</v>
      </c>
      <c r="Z863">
        <v>328239523</v>
      </c>
      <c r="AA863">
        <v>37.090240000000001</v>
      </c>
      <c r="AB863">
        <v>-95.712890999999999</v>
      </c>
    </row>
    <row r="864" spans="1:28" hidden="1">
      <c r="A864">
        <v>852</v>
      </c>
      <c r="B864">
        <v>3400</v>
      </c>
      <c r="C864" t="s">
        <v>478</v>
      </c>
      <c r="D864" t="s">
        <v>1967</v>
      </c>
      <c r="E864">
        <v>75</v>
      </c>
      <c r="G864" t="s">
        <v>38</v>
      </c>
      <c r="H864" t="s">
        <v>257</v>
      </c>
      <c r="I864" t="s">
        <v>1968</v>
      </c>
      <c r="J864" t="s">
        <v>478</v>
      </c>
      <c r="K864" t="s">
        <v>38</v>
      </c>
      <c r="M864" t="b">
        <v>0</v>
      </c>
      <c r="N864" t="s">
        <v>192</v>
      </c>
      <c r="O864" t="s">
        <v>33</v>
      </c>
      <c r="Q864">
        <v>117.24</v>
      </c>
      <c r="R864">
        <v>7.5</v>
      </c>
      <c r="S864" t="s">
        <v>44</v>
      </c>
      <c r="T864">
        <v>88.2</v>
      </c>
      <c r="V864">
        <v>101.8</v>
      </c>
      <c r="W864">
        <v>78.5</v>
      </c>
      <c r="X864">
        <v>9.6</v>
      </c>
      <c r="Y864">
        <v>36.6</v>
      </c>
      <c r="Z864">
        <v>328239523</v>
      </c>
      <c r="AA864">
        <v>37.090240000000001</v>
      </c>
      <c r="AB864">
        <v>-95.712890999999999</v>
      </c>
    </row>
    <row r="865" spans="1:28">
      <c r="A865">
        <v>852</v>
      </c>
      <c r="B865">
        <v>3400</v>
      </c>
      <c r="C865" t="s">
        <v>54</v>
      </c>
      <c r="D865" t="s">
        <v>1969</v>
      </c>
      <c r="E865">
        <v>66</v>
      </c>
      <c r="F865" t="str">
        <f>IF(E865&gt;=90,"90-100",IF(E865&gt;=80,"80-90",IF(E865&gt;=70,"70-80",IF(E865&gt;=60,"60-70",IF(E865&gt;=50,"50-60",IF(E865&gt;=40,"40-50",IF(E865&gt;=30,"30-40","20-30")))))))</f>
        <v>60-70</v>
      </c>
      <c r="G865" t="s">
        <v>38</v>
      </c>
      <c r="H865" t="s">
        <v>65</v>
      </c>
      <c r="I865" t="s">
        <v>231</v>
      </c>
      <c r="J865" t="s">
        <v>54</v>
      </c>
      <c r="K865" t="s">
        <v>38</v>
      </c>
      <c r="L865" t="s">
        <v>1970</v>
      </c>
      <c r="M865" t="b">
        <v>1</v>
      </c>
      <c r="N865" t="s">
        <v>419</v>
      </c>
      <c r="O865" t="s">
        <v>4867</v>
      </c>
      <c r="P865" t="s">
        <v>187</v>
      </c>
      <c r="Q865">
        <v>117.24</v>
      </c>
      <c r="R865">
        <v>7.5</v>
      </c>
      <c r="S865" t="s">
        <v>44</v>
      </c>
      <c r="T865">
        <v>88.2</v>
      </c>
      <c r="U865" t="str">
        <f>IF(T865&gt;=100,"above 100",IF(T865&gt;=80,"80-100",IF(T865&gt;=60,"60-80",IF(T865&gt;=40,"40-60",IF(T865&gt;=20,"20-60","0-20")))))</f>
        <v>80-100</v>
      </c>
      <c r="V865">
        <v>101.8</v>
      </c>
      <c r="W865">
        <v>78.5</v>
      </c>
      <c r="X865">
        <v>9.6</v>
      </c>
      <c r="Y865">
        <v>36.6</v>
      </c>
      <c r="Z865">
        <v>328239523</v>
      </c>
      <c r="AA865">
        <v>37.090240000000001</v>
      </c>
      <c r="AB865">
        <v>-95.712890999999999</v>
      </c>
    </row>
    <row r="866" spans="1:28" hidden="1">
      <c r="A866">
        <v>852</v>
      </c>
      <c r="B866">
        <v>3400</v>
      </c>
      <c r="C866" t="s">
        <v>26</v>
      </c>
      <c r="D866" t="s">
        <v>1971</v>
      </c>
      <c r="E866">
        <v>62</v>
      </c>
      <c r="G866" t="s">
        <v>38</v>
      </c>
      <c r="H866" t="s">
        <v>65</v>
      </c>
      <c r="I866" t="s">
        <v>316</v>
      </c>
      <c r="J866" t="s">
        <v>26</v>
      </c>
      <c r="K866" t="s">
        <v>38</v>
      </c>
      <c r="M866" t="b">
        <v>0</v>
      </c>
      <c r="N866" t="s">
        <v>42</v>
      </c>
      <c r="O866" t="s">
        <v>33</v>
      </c>
      <c r="Q866">
        <v>117.24</v>
      </c>
      <c r="R866">
        <v>7.5</v>
      </c>
      <c r="S866" t="s">
        <v>44</v>
      </c>
      <c r="T866">
        <v>88.2</v>
      </c>
      <c r="V866">
        <v>101.8</v>
      </c>
      <c r="W866">
        <v>78.5</v>
      </c>
      <c r="X866">
        <v>9.6</v>
      </c>
      <c r="Y866">
        <v>36.6</v>
      </c>
      <c r="Z866">
        <v>328239523</v>
      </c>
      <c r="AA866">
        <v>37.090240000000001</v>
      </c>
      <c r="AB866">
        <v>-95.712890999999999</v>
      </c>
    </row>
    <row r="867" spans="1:28" hidden="1">
      <c r="A867">
        <v>852</v>
      </c>
      <c r="B867">
        <v>3400</v>
      </c>
      <c r="C867" t="s">
        <v>101</v>
      </c>
      <c r="D867" t="s">
        <v>1972</v>
      </c>
      <c r="E867">
        <v>68</v>
      </c>
      <c r="G867" t="s">
        <v>38</v>
      </c>
      <c r="H867" t="s">
        <v>524</v>
      </c>
      <c r="I867" t="s">
        <v>1973</v>
      </c>
      <c r="J867" t="s">
        <v>101</v>
      </c>
      <c r="K867" t="s">
        <v>38</v>
      </c>
      <c r="M867" t="b">
        <v>0</v>
      </c>
      <c r="N867" t="s">
        <v>419</v>
      </c>
      <c r="O867" t="s">
        <v>33</v>
      </c>
      <c r="Q867">
        <v>117.24</v>
      </c>
      <c r="R867">
        <v>7.5</v>
      </c>
      <c r="S867" t="s">
        <v>44</v>
      </c>
      <c r="T867">
        <v>88.2</v>
      </c>
      <c r="V867">
        <v>101.8</v>
      </c>
      <c r="W867">
        <v>78.5</v>
      </c>
      <c r="X867">
        <v>9.6</v>
      </c>
      <c r="Y867">
        <v>36.6</v>
      </c>
      <c r="Z867">
        <v>328239523</v>
      </c>
      <c r="AA867">
        <v>37.090240000000001</v>
      </c>
      <c r="AB867">
        <v>-95.712890999999999</v>
      </c>
    </row>
    <row r="868" spans="1:28" hidden="1">
      <c r="A868">
        <v>852</v>
      </c>
      <c r="B868">
        <v>3400</v>
      </c>
      <c r="C868" t="s">
        <v>26</v>
      </c>
      <c r="D868" t="s">
        <v>1974</v>
      </c>
      <c r="E868">
        <v>58</v>
      </c>
      <c r="G868" t="s">
        <v>198</v>
      </c>
      <c r="H868" t="s">
        <v>199</v>
      </c>
      <c r="I868" t="s">
        <v>525</v>
      </c>
      <c r="J868" t="s">
        <v>26</v>
      </c>
      <c r="K868" t="s">
        <v>198</v>
      </c>
      <c r="M868" t="b">
        <v>1</v>
      </c>
      <c r="N868" t="s">
        <v>42</v>
      </c>
      <c r="O868" t="s">
        <v>33</v>
      </c>
      <c r="Q868">
        <v>105.48</v>
      </c>
      <c r="R868">
        <v>0.5</v>
      </c>
      <c r="S868" t="s">
        <v>201</v>
      </c>
      <c r="T868">
        <v>63.2</v>
      </c>
      <c r="V868">
        <v>98.8</v>
      </c>
      <c r="W868">
        <v>84.2</v>
      </c>
      <c r="X868">
        <v>11.9</v>
      </c>
      <c r="Y868">
        <v>46.7</v>
      </c>
      <c r="Z868">
        <v>126226568</v>
      </c>
      <c r="AA868">
        <v>36.204824000000002</v>
      </c>
      <c r="AB868">
        <v>138.25292400000001</v>
      </c>
    </row>
    <row r="869" spans="1:28" hidden="1">
      <c r="A869">
        <v>852</v>
      </c>
      <c r="B869">
        <v>3400</v>
      </c>
      <c r="C869" t="s">
        <v>45</v>
      </c>
      <c r="D869" t="s">
        <v>1975</v>
      </c>
      <c r="E869">
        <v>72</v>
      </c>
      <c r="G869" t="s">
        <v>38</v>
      </c>
      <c r="H869" t="s">
        <v>1976</v>
      </c>
      <c r="I869" t="s">
        <v>1977</v>
      </c>
      <c r="J869" t="s">
        <v>45</v>
      </c>
      <c r="K869" t="s">
        <v>38</v>
      </c>
      <c r="M869" t="b">
        <v>1</v>
      </c>
      <c r="N869" t="s">
        <v>419</v>
      </c>
      <c r="O869" t="s">
        <v>33</v>
      </c>
      <c r="Q869">
        <v>117.24</v>
      </c>
      <c r="R869">
        <v>7.5</v>
      </c>
      <c r="S869" t="s">
        <v>44</v>
      </c>
      <c r="T869">
        <v>88.2</v>
      </c>
      <c r="V869">
        <v>101.8</v>
      </c>
      <c r="W869">
        <v>78.5</v>
      </c>
      <c r="X869">
        <v>9.6</v>
      </c>
      <c r="Y869">
        <v>36.6</v>
      </c>
      <c r="Z869">
        <v>328239523</v>
      </c>
      <c r="AA869">
        <v>37.090240000000001</v>
      </c>
      <c r="AB869">
        <v>-95.712890999999999</v>
      </c>
    </row>
    <row r="870" spans="1:28" hidden="1">
      <c r="A870">
        <v>852</v>
      </c>
      <c r="B870">
        <v>3400</v>
      </c>
      <c r="C870" t="s">
        <v>54</v>
      </c>
      <c r="D870" t="s">
        <v>1978</v>
      </c>
      <c r="E870">
        <v>81</v>
      </c>
      <c r="G870" t="s">
        <v>38</v>
      </c>
      <c r="H870" t="s">
        <v>1979</v>
      </c>
      <c r="I870" t="s">
        <v>1980</v>
      </c>
      <c r="J870" t="s">
        <v>54</v>
      </c>
      <c r="K870" t="s">
        <v>38</v>
      </c>
      <c r="M870" t="b">
        <v>1</v>
      </c>
      <c r="N870" t="s">
        <v>42</v>
      </c>
      <c r="O870" t="s">
        <v>33</v>
      </c>
      <c r="Q870">
        <v>117.24</v>
      </c>
      <c r="R870">
        <v>7.5</v>
      </c>
      <c r="S870" t="s">
        <v>44</v>
      </c>
      <c r="T870">
        <v>88.2</v>
      </c>
      <c r="V870">
        <v>101.8</v>
      </c>
      <c r="W870">
        <v>78.5</v>
      </c>
      <c r="X870">
        <v>9.6</v>
      </c>
      <c r="Y870">
        <v>36.6</v>
      </c>
      <c r="Z870">
        <v>328239523</v>
      </c>
      <c r="AA870">
        <v>37.090240000000001</v>
      </c>
      <c r="AB870">
        <v>-95.712890999999999</v>
      </c>
    </row>
    <row r="871" spans="1:28">
      <c r="A871">
        <v>852</v>
      </c>
      <c r="B871">
        <v>3400</v>
      </c>
      <c r="C871" t="s">
        <v>221</v>
      </c>
      <c r="D871" t="s">
        <v>1981</v>
      </c>
      <c r="E871">
        <v>88</v>
      </c>
      <c r="F871" t="str">
        <f>IF(E871&gt;=90,"90-100",IF(E871&gt;=80,"80-90",IF(E871&gt;=70,"70-80",IF(E871&gt;=60,"60-70",IF(E871&gt;=50,"50-60",IF(E871&gt;=40,"40-50",IF(E871&gt;=30,"30-40","20-30")))))))</f>
        <v>80-90</v>
      </c>
      <c r="G871" t="s">
        <v>38</v>
      </c>
      <c r="H871" t="s">
        <v>1982</v>
      </c>
      <c r="I871" t="s">
        <v>223</v>
      </c>
      <c r="J871" t="s">
        <v>221</v>
      </c>
      <c r="K871" t="s">
        <v>38</v>
      </c>
      <c r="L871" t="s">
        <v>1983</v>
      </c>
      <c r="M871" t="b">
        <v>1</v>
      </c>
      <c r="N871" t="s">
        <v>42</v>
      </c>
      <c r="O871" t="s">
        <v>4867</v>
      </c>
      <c r="P871" t="s">
        <v>1984</v>
      </c>
      <c r="Q871">
        <v>117.24</v>
      </c>
      <c r="R871">
        <v>7.5</v>
      </c>
      <c r="S871" t="s">
        <v>44</v>
      </c>
      <c r="T871">
        <v>88.2</v>
      </c>
      <c r="U871" t="str">
        <f>IF(T871&gt;=100,"above 100",IF(T871&gt;=80,"80-100",IF(T871&gt;=60,"60-80",IF(T871&gt;=40,"40-60",IF(T871&gt;=20,"20-60","0-20")))))</f>
        <v>80-100</v>
      </c>
      <c r="V871">
        <v>101.8</v>
      </c>
      <c r="W871">
        <v>78.5</v>
      </c>
      <c r="X871">
        <v>9.6</v>
      </c>
      <c r="Y871">
        <v>36.6</v>
      </c>
      <c r="Z871">
        <v>328239523</v>
      </c>
      <c r="AA871">
        <v>37.090240000000001</v>
      </c>
      <c r="AB871">
        <v>-95.712890999999999</v>
      </c>
    </row>
    <row r="872" spans="1:28" hidden="1">
      <c r="A872">
        <v>852</v>
      </c>
      <c r="B872">
        <v>3400</v>
      </c>
      <c r="C872" t="s">
        <v>288</v>
      </c>
      <c r="D872" t="s">
        <v>1985</v>
      </c>
      <c r="E872">
        <v>65</v>
      </c>
      <c r="G872" t="s">
        <v>77</v>
      </c>
      <c r="H872" t="s">
        <v>78</v>
      </c>
      <c r="I872" t="s">
        <v>418</v>
      </c>
      <c r="J872" t="s">
        <v>288</v>
      </c>
      <c r="K872" t="s">
        <v>77</v>
      </c>
      <c r="M872" t="b">
        <v>0</v>
      </c>
      <c r="N872" t="s">
        <v>42</v>
      </c>
      <c r="O872" t="s">
        <v>88</v>
      </c>
      <c r="Q872">
        <v>180.44</v>
      </c>
      <c r="R872">
        <v>7.7</v>
      </c>
      <c r="S872" t="s">
        <v>81</v>
      </c>
      <c r="T872">
        <v>28.1</v>
      </c>
      <c r="V872">
        <v>113</v>
      </c>
      <c r="W872">
        <v>69.400000000000006</v>
      </c>
      <c r="X872">
        <v>11.2</v>
      </c>
      <c r="Y872">
        <v>49.7</v>
      </c>
      <c r="Z872">
        <v>1366417754</v>
      </c>
      <c r="AA872">
        <v>20.593684</v>
      </c>
      <c r="AB872">
        <v>78.962879999999998</v>
      </c>
    </row>
    <row r="873" spans="1:28" hidden="1">
      <c r="A873">
        <v>852</v>
      </c>
      <c r="B873">
        <v>3400</v>
      </c>
      <c r="C873" t="s">
        <v>63</v>
      </c>
      <c r="D873" t="s">
        <v>1986</v>
      </c>
      <c r="E873">
        <v>59</v>
      </c>
      <c r="G873" t="s">
        <v>148</v>
      </c>
      <c r="H873" t="s">
        <v>1987</v>
      </c>
      <c r="I873" t="s">
        <v>1626</v>
      </c>
      <c r="J873" t="s">
        <v>63</v>
      </c>
      <c r="K873" t="s">
        <v>148</v>
      </c>
      <c r="M873" t="b">
        <v>0</v>
      </c>
      <c r="N873" t="s">
        <v>32</v>
      </c>
      <c r="O873" t="s">
        <v>33</v>
      </c>
      <c r="Q873">
        <v>112.85</v>
      </c>
      <c r="R873">
        <v>1.4</v>
      </c>
      <c r="S873" t="s">
        <v>151</v>
      </c>
      <c r="T873">
        <v>70.2</v>
      </c>
      <c r="V873">
        <v>104</v>
      </c>
      <c r="W873">
        <v>80.900000000000006</v>
      </c>
      <c r="X873">
        <v>11.5</v>
      </c>
      <c r="Y873">
        <v>48.8</v>
      </c>
      <c r="Z873">
        <v>83132799</v>
      </c>
      <c r="AA873">
        <v>51.165691000000002</v>
      </c>
      <c r="AB873">
        <v>10.451525999999999</v>
      </c>
    </row>
    <row r="874" spans="1:28" hidden="1">
      <c r="A874">
        <v>852</v>
      </c>
      <c r="B874">
        <v>3400</v>
      </c>
      <c r="C874" t="s">
        <v>101</v>
      </c>
      <c r="D874" t="s">
        <v>1988</v>
      </c>
      <c r="E874">
        <v>81</v>
      </c>
      <c r="G874" t="s">
        <v>156</v>
      </c>
      <c r="H874" t="s">
        <v>1989</v>
      </c>
      <c r="I874" t="s">
        <v>1990</v>
      </c>
      <c r="J874" t="s">
        <v>101</v>
      </c>
      <c r="K874" t="s">
        <v>156</v>
      </c>
      <c r="M874" t="b">
        <v>0</v>
      </c>
      <c r="N874" t="s">
        <v>42</v>
      </c>
      <c r="O874" t="s">
        <v>33</v>
      </c>
      <c r="Q874">
        <v>99.55</v>
      </c>
      <c r="R874">
        <v>0.4</v>
      </c>
      <c r="S874" t="s">
        <v>159</v>
      </c>
      <c r="T874">
        <v>59.6</v>
      </c>
      <c r="V874">
        <v>105.2</v>
      </c>
      <c r="W874">
        <v>83.6</v>
      </c>
      <c r="X874">
        <v>10.1</v>
      </c>
      <c r="Y874">
        <v>28.8</v>
      </c>
      <c r="Z874">
        <v>8574832</v>
      </c>
      <c r="AA874">
        <v>46.818187999999999</v>
      </c>
      <c r="AB874">
        <v>8.2275120000000008</v>
      </c>
    </row>
    <row r="875" spans="1:28" hidden="1">
      <c r="A875">
        <v>852</v>
      </c>
      <c r="B875">
        <v>3400</v>
      </c>
      <c r="C875" t="s">
        <v>288</v>
      </c>
      <c r="D875" t="s">
        <v>1991</v>
      </c>
      <c r="E875">
        <v>54</v>
      </c>
      <c r="G875" t="s">
        <v>103</v>
      </c>
      <c r="H875" t="s">
        <v>503</v>
      </c>
      <c r="I875" t="s">
        <v>418</v>
      </c>
      <c r="J875" t="s">
        <v>288</v>
      </c>
      <c r="K875" t="s">
        <v>103</v>
      </c>
      <c r="M875" t="b">
        <v>1</v>
      </c>
      <c r="N875" t="s">
        <v>42</v>
      </c>
      <c r="O875" t="s">
        <v>33</v>
      </c>
      <c r="Q875">
        <v>125.08</v>
      </c>
      <c r="R875">
        <v>2.9</v>
      </c>
      <c r="S875" t="s">
        <v>106</v>
      </c>
      <c r="T875">
        <v>50.6</v>
      </c>
      <c r="V875">
        <v>100.2</v>
      </c>
      <c r="W875">
        <v>77</v>
      </c>
      <c r="X875">
        <v>9.4</v>
      </c>
      <c r="Y875">
        <v>59.2</v>
      </c>
      <c r="Z875">
        <v>1397715000</v>
      </c>
      <c r="AA875">
        <v>35.861660000000001</v>
      </c>
      <c r="AB875">
        <v>104.195397</v>
      </c>
    </row>
    <row r="876" spans="1:28" hidden="1">
      <c r="A876">
        <v>852</v>
      </c>
      <c r="B876">
        <v>3400</v>
      </c>
      <c r="C876" t="s">
        <v>45</v>
      </c>
      <c r="D876" t="s">
        <v>1992</v>
      </c>
      <c r="E876">
        <v>52</v>
      </c>
      <c r="G876" t="s">
        <v>103</v>
      </c>
      <c r="H876" t="s">
        <v>104</v>
      </c>
      <c r="I876" t="s">
        <v>572</v>
      </c>
      <c r="J876" t="s">
        <v>45</v>
      </c>
      <c r="K876" t="s">
        <v>103</v>
      </c>
      <c r="M876" t="b">
        <v>1</v>
      </c>
      <c r="N876" t="s">
        <v>32</v>
      </c>
      <c r="O876" t="s">
        <v>33</v>
      </c>
      <c r="Q876">
        <v>125.08</v>
      </c>
      <c r="R876">
        <v>2.9</v>
      </c>
      <c r="S876" t="s">
        <v>106</v>
      </c>
      <c r="T876">
        <v>50.6</v>
      </c>
      <c r="V876">
        <v>100.2</v>
      </c>
      <c r="W876">
        <v>77</v>
      </c>
      <c r="X876">
        <v>9.4</v>
      </c>
      <c r="Y876">
        <v>59.2</v>
      </c>
      <c r="Z876">
        <v>1397715000</v>
      </c>
      <c r="AA876">
        <v>35.861660000000001</v>
      </c>
      <c r="AB876">
        <v>104.195397</v>
      </c>
    </row>
    <row r="877" spans="1:28">
      <c r="A877">
        <v>852</v>
      </c>
      <c r="B877">
        <v>3400</v>
      </c>
      <c r="C877" t="s">
        <v>45</v>
      </c>
      <c r="D877" t="s">
        <v>1993</v>
      </c>
      <c r="E877">
        <v>53</v>
      </c>
      <c r="F877" t="str">
        <f>IF(E877&gt;=90,"90-100",IF(E877&gt;=80,"80-90",IF(E877&gt;=70,"70-80",IF(E877&gt;=60,"60-70",IF(E877&gt;=50,"50-60",IF(E877&gt;=40,"40-50",IF(E877&gt;=30,"30-40","20-30")))))))</f>
        <v>50-60</v>
      </c>
      <c r="G877" t="s">
        <v>38</v>
      </c>
      <c r="H877" t="s">
        <v>1994</v>
      </c>
      <c r="I877" t="s">
        <v>1995</v>
      </c>
      <c r="J877" t="s">
        <v>45</v>
      </c>
      <c r="K877" t="s">
        <v>38</v>
      </c>
      <c r="L877" t="s">
        <v>1995</v>
      </c>
      <c r="M877" t="b">
        <v>1</v>
      </c>
      <c r="N877" t="s">
        <v>42</v>
      </c>
      <c r="O877" t="s">
        <v>4867</v>
      </c>
      <c r="P877" t="s">
        <v>619</v>
      </c>
      <c r="Q877">
        <v>117.24</v>
      </c>
      <c r="R877">
        <v>7.5</v>
      </c>
      <c r="S877" t="s">
        <v>44</v>
      </c>
      <c r="T877">
        <v>88.2</v>
      </c>
      <c r="U877" t="str">
        <f>IF(T877&gt;=100,"above 100",IF(T877&gt;=80,"80-100",IF(T877&gt;=60,"60-80",IF(T877&gt;=40,"40-60",IF(T877&gt;=20,"20-60","0-20")))))</f>
        <v>80-100</v>
      </c>
      <c r="V877">
        <v>101.8</v>
      </c>
      <c r="W877">
        <v>78.5</v>
      </c>
      <c r="X877">
        <v>9.6</v>
      </c>
      <c r="Y877">
        <v>36.6</v>
      </c>
      <c r="Z877">
        <v>328239523</v>
      </c>
      <c r="AA877">
        <v>37.090240000000001</v>
      </c>
      <c r="AB877">
        <v>-95.712890999999999</v>
      </c>
    </row>
    <row r="878" spans="1:28" hidden="1">
      <c r="A878">
        <v>852</v>
      </c>
      <c r="B878">
        <v>3400</v>
      </c>
      <c r="C878" t="s">
        <v>63</v>
      </c>
      <c r="D878" t="s">
        <v>1996</v>
      </c>
      <c r="E878">
        <v>75</v>
      </c>
      <c r="G878" t="s">
        <v>38</v>
      </c>
      <c r="H878" t="s">
        <v>65</v>
      </c>
      <c r="I878" t="s">
        <v>66</v>
      </c>
      <c r="J878" t="s">
        <v>63</v>
      </c>
      <c r="K878" t="s">
        <v>38</v>
      </c>
      <c r="M878" t="b">
        <v>1</v>
      </c>
      <c r="N878" t="s">
        <v>32</v>
      </c>
      <c r="O878" t="s">
        <v>33</v>
      </c>
      <c r="Q878">
        <v>117.24</v>
      </c>
      <c r="R878">
        <v>7.5</v>
      </c>
      <c r="S878" t="s">
        <v>44</v>
      </c>
      <c r="T878">
        <v>88.2</v>
      </c>
      <c r="V878">
        <v>101.8</v>
      </c>
      <c r="W878">
        <v>78.5</v>
      </c>
      <c r="X878">
        <v>9.6</v>
      </c>
      <c r="Y878">
        <v>36.6</v>
      </c>
      <c r="Z878">
        <v>328239523</v>
      </c>
      <c r="AA878">
        <v>37.090240000000001</v>
      </c>
      <c r="AB878">
        <v>-95.712890999999999</v>
      </c>
    </row>
    <row r="879" spans="1:28" hidden="1">
      <c r="A879">
        <v>878</v>
      </c>
      <c r="B879">
        <v>3300</v>
      </c>
      <c r="C879" t="s">
        <v>469</v>
      </c>
      <c r="D879" t="s">
        <v>1997</v>
      </c>
      <c r="E879">
        <v>75</v>
      </c>
      <c r="G879" t="s">
        <v>28</v>
      </c>
      <c r="H879" t="s">
        <v>1998</v>
      </c>
      <c r="I879" t="s">
        <v>1999</v>
      </c>
      <c r="J879" t="s">
        <v>469</v>
      </c>
      <c r="K879" t="s">
        <v>28</v>
      </c>
      <c r="M879" t="b">
        <v>1</v>
      </c>
      <c r="N879" t="s">
        <v>42</v>
      </c>
      <c r="O879" t="s">
        <v>33</v>
      </c>
      <c r="Q879">
        <v>110.05</v>
      </c>
      <c r="R879">
        <v>1.1000000000000001</v>
      </c>
      <c r="S879" t="s">
        <v>35</v>
      </c>
      <c r="T879">
        <v>65.599999999999994</v>
      </c>
      <c r="V879">
        <v>102.5</v>
      </c>
      <c r="W879">
        <v>82.5</v>
      </c>
      <c r="X879">
        <v>24.2</v>
      </c>
      <c r="Y879">
        <v>60.7</v>
      </c>
      <c r="Z879">
        <v>67059887</v>
      </c>
      <c r="AA879">
        <v>46.227637999999999</v>
      </c>
      <c r="AB879">
        <v>2.213749</v>
      </c>
    </row>
    <row r="880" spans="1:28">
      <c r="A880">
        <v>878</v>
      </c>
      <c r="B880">
        <v>3300</v>
      </c>
      <c r="C880" t="s">
        <v>54</v>
      </c>
      <c r="D880" t="s">
        <v>2000</v>
      </c>
      <c r="E880">
        <v>49</v>
      </c>
      <c r="F880" t="str">
        <f>IF(E880&gt;=90,"90-100",IF(E880&gt;=80,"80-90",IF(E880&gt;=70,"70-80",IF(E880&gt;=60,"60-70",IF(E880&gt;=50,"50-60",IF(E880&gt;=40,"40-50",IF(E880&gt;=30,"30-40","20-30")))))))</f>
        <v>40-50</v>
      </c>
      <c r="G880" t="s">
        <v>38</v>
      </c>
      <c r="H880" t="s">
        <v>581</v>
      </c>
      <c r="I880" t="s">
        <v>185</v>
      </c>
      <c r="J880" t="s">
        <v>54</v>
      </c>
      <c r="K880" t="s">
        <v>38</v>
      </c>
      <c r="L880" t="s">
        <v>2001</v>
      </c>
      <c r="M880" t="b">
        <v>1</v>
      </c>
      <c r="N880" t="s">
        <v>419</v>
      </c>
      <c r="O880" t="s">
        <v>4867</v>
      </c>
      <c r="P880" t="s">
        <v>146</v>
      </c>
      <c r="Q880">
        <v>117.24</v>
      </c>
      <c r="R880">
        <v>7.5</v>
      </c>
      <c r="S880" t="s">
        <v>44</v>
      </c>
      <c r="T880">
        <v>88.2</v>
      </c>
      <c r="U880" t="str">
        <f>IF(T880&gt;=100,"above 100",IF(T880&gt;=80,"80-100",IF(T880&gt;=60,"60-80",IF(T880&gt;=40,"40-60",IF(T880&gt;=20,"20-60","0-20")))))</f>
        <v>80-100</v>
      </c>
      <c r="V880">
        <v>101.8</v>
      </c>
      <c r="W880">
        <v>78.5</v>
      </c>
      <c r="X880">
        <v>9.6</v>
      </c>
      <c r="Y880">
        <v>36.6</v>
      </c>
      <c r="Z880">
        <v>328239523</v>
      </c>
      <c r="AA880">
        <v>37.090240000000001</v>
      </c>
      <c r="AB880">
        <v>-95.712890999999999</v>
      </c>
    </row>
    <row r="881" spans="1:28" hidden="1">
      <c r="A881">
        <v>878</v>
      </c>
      <c r="B881">
        <v>3300</v>
      </c>
      <c r="C881" t="s">
        <v>217</v>
      </c>
      <c r="D881" t="s">
        <v>2002</v>
      </c>
      <c r="E881">
        <v>81</v>
      </c>
      <c r="G881" t="s">
        <v>38</v>
      </c>
      <c r="H881" t="s">
        <v>2003</v>
      </c>
      <c r="I881" t="s">
        <v>2004</v>
      </c>
      <c r="J881" t="s">
        <v>217</v>
      </c>
      <c r="K881" t="s">
        <v>38</v>
      </c>
      <c r="M881" t="b">
        <v>1</v>
      </c>
      <c r="N881" t="s">
        <v>32</v>
      </c>
      <c r="O881" t="s">
        <v>33</v>
      </c>
      <c r="Q881">
        <v>117.24</v>
      </c>
      <c r="R881">
        <v>7.5</v>
      </c>
      <c r="S881" t="s">
        <v>44</v>
      </c>
      <c r="T881">
        <v>88.2</v>
      </c>
      <c r="V881">
        <v>101.8</v>
      </c>
      <c r="W881">
        <v>78.5</v>
      </c>
      <c r="X881">
        <v>9.6</v>
      </c>
      <c r="Y881">
        <v>36.6</v>
      </c>
      <c r="Z881">
        <v>328239523</v>
      </c>
      <c r="AA881">
        <v>37.090240000000001</v>
      </c>
      <c r="AB881">
        <v>-95.712890999999999</v>
      </c>
    </row>
    <row r="882" spans="1:28" hidden="1">
      <c r="A882">
        <v>878</v>
      </c>
      <c r="B882">
        <v>3300</v>
      </c>
      <c r="C882" t="s">
        <v>217</v>
      </c>
      <c r="D882" t="s">
        <v>2005</v>
      </c>
      <c r="E882">
        <v>56</v>
      </c>
      <c r="G882" t="s">
        <v>103</v>
      </c>
      <c r="H882" t="s">
        <v>623</v>
      </c>
      <c r="I882" t="s">
        <v>2006</v>
      </c>
      <c r="J882" t="s">
        <v>217</v>
      </c>
      <c r="K882" t="s">
        <v>103</v>
      </c>
      <c r="M882" t="b">
        <v>1</v>
      </c>
      <c r="N882" t="s">
        <v>32</v>
      </c>
      <c r="O882" t="s">
        <v>33</v>
      </c>
      <c r="Q882">
        <v>125.08</v>
      </c>
      <c r="R882">
        <v>2.9</v>
      </c>
      <c r="S882" t="s">
        <v>106</v>
      </c>
      <c r="T882">
        <v>50.6</v>
      </c>
      <c r="V882">
        <v>100.2</v>
      </c>
      <c r="W882">
        <v>77</v>
      </c>
      <c r="X882">
        <v>9.4</v>
      </c>
      <c r="Y882">
        <v>59.2</v>
      </c>
      <c r="Z882">
        <v>1397715000</v>
      </c>
      <c r="AA882">
        <v>35.861660000000001</v>
      </c>
      <c r="AB882">
        <v>104.195397</v>
      </c>
    </row>
    <row r="883" spans="1:28" hidden="1">
      <c r="A883">
        <v>878</v>
      </c>
      <c r="B883">
        <v>3300</v>
      </c>
      <c r="C883" t="s">
        <v>101</v>
      </c>
      <c r="D883" t="s">
        <v>2007</v>
      </c>
      <c r="E883">
        <v>77</v>
      </c>
      <c r="G883" t="s">
        <v>38</v>
      </c>
      <c r="H883" t="s">
        <v>2008</v>
      </c>
      <c r="I883" t="s">
        <v>1648</v>
      </c>
      <c r="J883" t="s">
        <v>101</v>
      </c>
      <c r="K883" t="s">
        <v>38</v>
      </c>
      <c r="M883" t="b">
        <v>0</v>
      </c>
      <c r="N883" t="s">
        <v>32</v>
      </c>
      <c r="O883" t="s">
        <v>33</v>
      </c>
      <c r="Q883">
        <v>117.24</v>
      </c>
      <c r="R883">
        <v>7.5</v>
      </c>
      <c r="S883" t="s">
        <v>44</v>
      </c>
      <c r="T883">
        <v>88.2</v>
      </c>
      <c r="V883">
        <v>101.8</v>
      </c>
      <c r="W883">
        <v>78.5</v>
      </c>
      <c r="X883">
        <v>9.6</v>
      </c>
      <c r="Y883">
        <v>36.6</v>
      </c>
      <c r="Z883">
        <v>328239523</v>
      </c>
      <c r="AA883">
        <v>37.090240000000001</v>
      </c>
      <c r="AB883">
        <v>-95.712890999999999</v>
      </c>
    </row>
    <row r="884" spans="1:28" hidden="1">
      <c r="A884">
        <v>878</v>
      </c>
      <c r="B884">
        <v>3300</v>
      </c>
      <c r="C884" t="s">
        <v>101</v>
      </c>
      <c r="D884" t="s">
        <v>2009</v>
      </c>
      <c r="E884">
        <v>68</v>
      </c>
      <c r="G884" t="s">
        <v>384</v>
      </c>
      <c r="H884" t="s">
        <v>1650</v>
      </c>
      <c r="I884" t="s">
        <v>414</v>
      </c>
      <c r="J884" t="s">
        <v>101</v>
      </c>
      <c r="K884" t="s">
        <v>384</v>
      </c>
      <c r="M884" t="b">
        <v>1</v>
      </c>
      <c r="N884" t="s">
        <v>419</v>
      </c>
      <c r="O884" t="s">
        <v>33</v>
      </c>
      <c r="Q884">
        <v>167.4</v>
      </c>
      <c r="R884">
        <v>3.7</v>
      </c>
      <c r="S884" t="s">
        <v>563</v>
      </c>
      <c r="T884">
        <v>51.3</v>
      </c>
      <c r="V884">
        <v>115.4</v>
      </c>
      <c r="W884">
        <v>75.7</v>
      </c>
      <c r="X884">
        <v>14.2</v>
      </c>
      <c r="Y884">
        <v>65.099999999999994</v>
      </c>
      <c r="Z884">
        <v>212559417</v>
      </c>
      <c r="AA884">
        <v>-14.235004</v>
      </c>
      <c r="AB884">
        <v>-51.925280000000001</v>
      </c>
    </row>
    <row r="885" spans="1:28" hidden="1">
      <c r="A885">
        <v>878</v>
      </c>
      <c r="B885">
        <v>3300</v>
      </c>
      <c r="C885" t="s">
        <v>36</v>
      </c>
      <c r="D885" t="s">
        <v>2010</v>
      </c>
      <c r="E885">
        <v>79</v>
      </c>
      <c r="G885" t="s">
        <v>156</v>
      </c>
      <c r="H885" t="s">
        <v>2011</v>
      </c>
      <c r="I885" t="s">
        <v>1689</v>
      </c>
      <c r="J885" t="s">
        <v>36</v>
      </c>
      <c r="K885" t="s">
        <v>156</v>
      </c>
      <c r="M885" t="b">
        <v>0</v>
      </c>
      <c r="N885" t="s">
        <v>32</v>
      </c>
      <c r="O885" t="s">
        <v>33</v>
      </c>
      <c r="Q885">
        <v>99.55</v>
      </c>
      <c r="R885">
        <v>0.4</v>
      </c>
      <c r="S885" t="s">
        <v>159</v>
      </c>
      <c r="T885">
        <v>59.6</v>
      </c>
      <c r="V885">
        <v>105.2</v>
      </c>
      <c r="W885">
        <v>83.6</v>
      </c>
      <c r="X885">
        <v>10.1</v>
      </c>
      <c r="Y885">
        <v>28.8</v>
      </c>
      <c r="Z885">
        <v>8574832</v>
      </c>
      <c r="AA885">
        <v>46.818187999999999</v>
      </c>
      <c r="AB885">
        <v>8.2275120000000008</v>
      </c>
    </row>
    <row r="886" spans="1:28" hidden="1">
      <c r="A886">
        <v>878</v>
      </c>
      <c r="B886">
        <v>3300</v>
      </c>
      <c r="C886" t="s">
        <v>45</v>
      </c>
      <c r="D886" t="s">
        <v>2012</v>
      </c>
      <c r="E886">
        <v>55</v>
      </c>
      <c r="G886" t="s">
        <v>103</v>
      </c>
      <c r="H886" t="s">
        <v>104</v>
      </c>
      <c r="I886" t="s">
        <v>2013</v>
      </c>
      <c r="J886" t="s">
        <v>45</v>
      </c>
      <c r="K886" t="s">
        <v>103</v>
      </c>
      <c r="M886" t="b">
        <v>1</v>
      </c>
      <c r="N886" t="s">
        <v>42</v>
      </c>
      <c r="O886" t="s">
        <v>33</v>
      </c>
      <c r="Q886">
        <v>125.08</v>
      </c>
      <c r="R886">
        <v>2.9</v>
      </c>
      <c r="S886" t="s">
        <v>106</v>
      </c>
      <c r="T886">
        <v>50.6</v>
      </c>
      <c r="V886">
        <v>100.2</v>
      </c>
      <c r="W886">
        <v>77</v>
      </c>
      <c r="X886">
        <v>9.4</v>
      </c>
      <c r="Y886">
        <v>59.2</v>
      </c>
      <c r="Z886">
        <v>1397715000</v>
      </c>
      <c r="AA886">
        <v>35.861660000000001</v>
      </c>
      <c r="AB886">
        <v>104.195397</v>
      </c>
    </row>
    <row r="887" spans="1:28" hidden="1">
      <c r="A887">
        <v>878</v>
      </c>
      <c r="B887">
        <v>3300</v>
      </c>
      <c r="C887" t="s">
        <v>221</v>
      </c>
      <c r="D887" t="s">
        <v>2014</v>
      </c>
      <c r="E887">
        <v>88</v>
      </c>
      <c r="G887" t="s">
        <v>238</v>
      </c>
      <c r="H887" t="s">
        <v>534</v>
      </c>
      <c r="I887" t="s">
        <v>2015</v>
      </c>
      <c r="J887" t="s">
        <v>221</v>
      </c>
      <c r="K887" t="s">
        <v>238</v>
      </c>
      <c r="M887" t="b">
        <v>0</v>
      </c>
      <c r="N887" t="s">
        <v>419</v>
      </c>
      <c r="O887" t="s">
        <v>33</v>
      </c>
      <c r="Q887">
        <v>119.8</v>
      </c>
      <c r="R887">
        <v>1.6</v>
      </c>
      <c r="S887" t="s">
        <v>243</v>
      </c>
      <c r="T887">
        <v>113.1</v>
      </c>
      <c r="V887">
        <v>100.3</v>
      </c>
      <c r="W887">
        <v>82.7</v>
      </c>
      <c r="X887">
        <v>23</v>
      </c>
      <c r="Y887">
        <v>47.4</v>
      </c>
      <c r="Z887">
        <v>25766605</v>
      </c>
      <c r="AA887">
        <v>-25.274398000000001</v>
      </c>
      <c r="AB887">
        <v>133.775136</v>
      </c>
    </row>
    <row r="888" spans="1:28">
      <c r="A888">
        <v>878</v>
      </c>
      <c r="B888">
        <v>3300</v>
      </c>
      <c r="C888" t="s">
        <v>469</v>
      </c>
      <c r="D888" t="s">
        <v>2016</v>
      </c>
      <c r="E888">
        <v>72</v>
      </c>
      <c r="F888" t="str">
        <f>IF(E888&gt;=90,"90-100",IF(E888&gt;=80,"80-90",IF(E888&gt;=70,"70-80",IF(E888&gt;=60,"60-70",IF(E888&gt;=50,"50-60",IF(E888&gt;=40,"40-50",IF(E888&gt;=30,"30-40","20-30")))))))</f>
        <v>70-80</v>
      </c>
      <c r="G888" t="s">
        <v>127</v>
      </c>
      <c r="H888" t="s">
        <v>2017</v>
      </c>
      <c r="I888" t="s">
        <v>2018</v>
      </c>
      <c r="J888" t="s">
        <v>469</v>
      </c>
      <c r="K888" t="s">
        <v>127</v>
      </c>
      <c r="L888" t="s">
        <v>2019</v>
      </c>
      <c r="M888" t="b">
        <v>1</v>
      </c>
      <c r="N888" t="s">
        <v>32</v>
      </c>
      <c r="O888" t="s">
        <v>4867</v>
      </c>
      <c r="P888" t="s">
        <v>2020</v>
      </c>
      <c r="Q888">
        <v>116.76</v>
      </c>
      <c r="R888">
        <v>1.9</v>
      </c>
      <c r="S888" t="s">
        <v>132</v>
      </c>
      <c r="T888">
        <v>68.900000000000006</v>
      </c>
      <c r="U888" t="str">
        <f>IF(T888&gt;=100,"above 100",IF(T888&gt;=80,"80-100",IF(T888&gt;=60,"60-80",IF(T888&gt;=40,"40-60",IF(T888&gt;=20,"20-60","0-20")))))</f>
        <v>60-80</v>
      </c>
      <c r="V888">
        <v>100.9</v>
      </c>
      <c r="W888">
        <v>81.900000000000006</v>
      </c>
      <c r="X888">
        <v>12.8</v>
      </c>
      <c r="Y888">
        <v>24.5</v>
      </c>
      <c r="Z888">
        <v>36991981</v>
      </c>
      <c r="AA888">
        <v>56.130366000000002</v>
      </c>
      <c r="AB888">
        <v>-106.346771</v>
      </c>
    </row>
    <row r="889" spans="1:28" hidden="1">
      <c r="A889">
        <v>878</v>
      </c>
      <c r="B889">
        <v>3300</v>
      </c>
      <c r="C889" t="s">
        <v>75</v>
      </c>
      <c r="D889" t="s">
        <v>2021</v>
      </c>
      <c r="E889">
        <v>82</v>
      </c>
      <c r="G889" t="s">
        <v>395</v>
      </c>
      <c r="H889" t="s">
        <v>395</v>
      </c>
      <c r="I889" t="s">
        <v>75</v>
      </c>
      <c r="J889" t="s">
        <v>75</v>
      </c>
      <c r="K889" t="s">
        <v>395</v>
      </c>
      <c r="M889" t="b">
        <v>0</v>
      </c>
      <c r="N889" t="s">
        <v>32</v>
      </c>
      <c r="O889" t="s">
        <v>33</v>
      </c>
      <c r="Q889">
        <v>114.41</v>
      </c>
      <c r="R889">
        <v>0.6</v>
      </c>
      <c r="S889" t="s">
        <v>451</v>
      </c>
      <c r="T889">
        <v>84.8</v>
      </c>
      <c r="V889">
        <v>100.6</v>
      </c>
      <c r="W889">
        <v>83.1</v>
      </c>
      <c r="X889">
        <v>13.1</v>
      </c>
      <c r="Y889">
        <v>21</v>
      </c>
      <c r="Z889">
        <v>5703569</v>
      </c>
      <c r="AA889">
        <v>1.3520829999999999</v>
      </c>
      <c r="AB889">
        <v>103.819836</v>
      </c>
    </row>
    <row r="890" spans="1:28" hidden="1">
      <c r="A890">
        <v>878</v>
      </c>
      <c r="B890">
        <v>3300</v>
      </c>
      <c r="C890" t="s">
        <v>54</v>
      </c>
      <c r="D890" t="s">
        <v>2022</v>
      </c>
      <c r="E890">
        <v>59</v>
      </c>
      <c r="G890" t="s">
        <v>38</v>
      </c>
      <c r="H890" t="s">
        <v>2023</v>
      </c>
      <c r="I890" t="s">
        <v>231</v>
      </c>
      <c r="J890" t="s">
        <v>54</v>
      </c>
      <c r="K890" t="s">
        <v>38</v>
      </c>
      <c r="M890" t="b">
        <v>1</v>
      </c>
      <c r="N890" t="s">
        <v>42</v>
      </c>
      <c r="O890" t="s">
        <v>33</v>
      </c>
      <c r="Q890">
        <v>117.24</v>
      </c>
      <c r="R890">
        <v>7.5</v>
      </c>
      <c r="S890" t="s">
        <v>44</v>
      </c>
      <c r="T890">
        <v>88.2</v>
      </c>
      <c r="V890">
        <v>101.8</v>
      </c>
      <c r="W890">
        <v>78.5</v>
      </c>
      <c r="X890">
        <v>9.6</v>
      </c>
      <c r="Y890">
        <v>36.6</v>
      </c>
      <c r="Z890">
        <v>328239523</v>
      </c>
      <c r="AA890">
        <v>37.090240000000001</v>
      </c>
      <c r="AB890">
        <v>-95.712890999999999</v>
      </c>
    </row>
    <row r="891" spans="1:28" hidden="1">
      <c r="A891">
        <v>878</v>
      </c>
      <c r="B891">
        <v>3300</v>
      </c>
      <c r="C891" t="s">
        <v>63</v>
      </c>
      <c r="D891" t="s">
        <v>2024</v>
      </c>
      <c r="E891">
        <v>78</v>
      </c>
      <c r="G891" t="s">
        <v>342</v>
      </c>
      <c r="H891" t="s">
        <v>1093</v>
      </c>
      <c r="I891" t="s">
        <v>2025</v>
      </c>
      <c r="J891" t="s">
        <v>63</v>
      </c>
      <c r="K891" t="s">
        <v>342</v>
      </c>
      <c r="M891" t="b">
        <v>1</v>
      </c>
      <c r="N891" t="s">
        <v>42</v>
      </c>
      <c r="O891" t="s">
        <v>33</v>
      </c>
      <c r="Q891">
        <v>108.15</v>
      </c>
      <c r="R891">
        <v>0.8</v>
      </c>
      <c r="S891" t="s">
        <v>532</v>
      </c>
      <c r="T891">
        <v>63.4</v>
      </c>
      <c r="V891">
        <v>104.9</v>
      </c>
      <c r="W891">
        <v>82.8</v>
      </c>
      <c r="X891">
        <v>23.1</v>
      </c>
      <c r="Y891">
        <v>25.3</v>
      </c>
      <c r="Z891">
        <v>9053300</v>
      </c>
      <c r="AA891">
        <v>31.046050999999999</v>
      </c>
      <c r="AB891">
        <v>34.851612000000003</v>
      </c>
    </row>
    <row r="892" spans="1:28" hidden="1">
      <c r="A892">
        <v>878</v>
      </c>
      <c r="B892">
        <v>3300</v>
      </c>
      <c r="C892" t="s">
        <v>26</v>
      </c>
      <c r="D892" t="s">
        <v>2026</v>
      </c>
      <c r="E892">
        <v>79</v>
      </c>
      <c r="G892" t="s">
        <v>198</v>
      </c>
      <c r="H892" t="s">
        <v>2027</v>
      </c>
      <c r="I892" t="s">
        <v>2028</v>
      </c>
      <c r="J892" t="s">
        <v>26</v>
      </c>
      <c r="K892" t="s">
        <v>198</v>
      </c>
      <c r="M892" t="b">
        <v>1</v>
      </c>
      <c r="N892" t="s">
        <v>42</v>
      </c>
      <c r="O892" t="s">
        <v>33</v>
      </c>
      <c r="Q892">
        <v>105.48</v>
      </c>
      <c r="R892">
        <v>0.5</v>
      </c>
      <c r="S892" t="s">
        <v>201</v>
      </c>
      <c r="T892">
        <v>63.2</v>
      </c>
      <c r="V892">
        <v>98.8</v>
      </c>
      <c r="W892">
        <v>84.2</v>
      </c>
      <c r="X892">
        <v>11.9</v>
      </c>
      <c r="Y892">
        <v>46.7</v>
      </c>
      <c r="Z892">
        <v>126226568</v>
      </c>
      <c r="AA892">
        <v>36.204824000000002</v>
      </c>
      <c r="AB892">
        <v>138.25292400000001</v>
      </c>
    </row>
    <row r="893" spans="1:28" hidden="1">
      <c r="A893">
        <v>878</v>
      </c>
      <c r="B893">
        <v>3300</v>
      </c>
      <c r="C893" t="s">
        <v>236</v>
      </c>
      <c r="D893" t="s">
        <v>2029</v>
      </c>
      <c r="E893">
        <v>77</v>
      </c>
      <c r="G893" t="s">
        <v>282</v>
      </c>
      <c r="H893" t="s">
        <v>283</v>
      </c>
      <c r="I893" t="s">
        <v>1075</v>
      </c>
      <c r="J893" t="s">
        <v>236</v>
      </c>
      <c r="K893" t="s">
        <v>282</v>
      </c>
      <c r="M893" t="b">
        <v>1</v>
      </c>
      <c r="N893" t="s">
        <v>42</v>
      </c>
      <c r="O893" t="s">
        <v>33</v>
      </c>
      <c r="Q893">
        <v>131.91</v>
      </c>
      <c r="R893">
        <v>2.6</v>
      </c>
      <c r="S893" t="s">
        <v>284</v>
      </c>
      <c r="T893">
        <v>88.5</v>
      </c>
      <c r="V893">
        <v>101.4</v>
      </c>
      <c r="W893">
        <v>80</v>
      </c>
      <c r="X893">
        <v>18.2</v>
      </c>
      <c r="Y893">
        <v>34</v>
      </c>
      <c r="Z893">
        <v>18952038</v>
      </c>
      <c r="AA893">
        <v>-35.675147000000003</v>
      </c>
      <c r="AB893">
        <v>-71.542968999999999</v>
      </c>
    </row>
    <row r="894" spans="1:28">
      <c r="A894">
        <v>878</v>
      </c>
      <c r="B894">
        <v>3300</v>
      </c>
      <c r="C894" t="s">
        <v>54</v>
      </c>
      <c r="D894" t="s">
        <v>2030</v>
      </c>
      <c r="E894">
        <v>77</v>
      </c>
      <c r="F894" t="str">
        <f>IF(E894&gt;=90,"90-100",IF(E894&gt;=80,"80-90",IF(E894&gt;=70,"70-80",IF(E894&gt;=60,"60-70",IF(E894&gt;=50,"50-60",IF(E894&gt;=40,"40-50",IF(E894&gt;=30,"30-40","20-30")))))))</f>
        <v>70-80</v>
      </c>
      <c r="G894" t="s">
        <v>38</v>
      </c>
      <c r="H894" t="s">
        <v>958</v>
      </c>
      <c r="I894" t="s">
        <v>258</v>
      </c>
      <c r="J894" t="s">
        <v>54</v>
      </c>
      <c r="K894" t="s">
        <v>38</v>
      </c>
      <c r="L894" t="s">
        <v>2031</v>
      </c>
      <c r="M894" t="b">
        <v>1</v>
      </c>
      <c r="N894" t="s">
        <v>42</v>
      </c>
      <c r="O894" t="s">
        <v>4867</v>
      </c>
      <c r="P894" t="s">
        <v>110</v>
      </c>
      <c r="Q894">
        <v>117.24</v>
      </c>
      <c r="R894">
        <v>7.5</v>
      </c>
      <c r="S894" t="s">
        <v>44</v>
      </c>
      <c r="T894">
        <v>88.2</v>
      </c>
      <c r="U894" t="str">
        <f>IF(T894&gt;=100,"above 100",IF(T894&gt;=80,"80-100",IF(T894&gt;=60,"60-80",IF(T894&gt;=40,"40-60",IF(T894&gt;=20,"20-60","0-20")))))</f>
        <v>80-100</v>
      </c>
      <c r="V894">
        <v>101.8</v>
      </c>
      <c r="W894">
        <v>78.5</v>
      </c>
      <c r="X894">
        <v>9.6</v>
      </c>
      <c r="Y894">
        <v>36.6</v>
      </c>
      <c r="Z894">
        <v>328239523</v>
      </c>
      <c r="AA894">
        <v>37.090240000000001</v>
      </c>
      <c r="AB894">
        <v>-95.712890999999999</v>
      </c>
    </row>
    <row r="895" spans="1:28" hidden="1">
      <c r="A895">
        <v>878</v>
      </c>
      <c r="B895">
        <v>3300</v>
      </c>
      <c r="C895" t="s">
        <v>75</v>
      </c>
      <c r="D895" t="s">
        <v>2032</v>
      </c>
      <c r="E895">
        <v>88</v>
      </c>
      <c r="G895" t="s">
        <v>38</v>
      </c>
      <c r="H895" t="s">
        <v>181</v>
      </c>
      <c r="I895" t="s">
        <v>2033</v>
      </c>
      <c r="J895" t="s">
        <v>75</v>
      </c>
      <c r="K895" t="s">
        <v>38</v>
      </c>
      <c r="M895" t="b">
        <v>1</v>
      </c>
      <c r="N895" t="s">
        <v>32</v>
      </c>
      <c r="O895" t="s">
        <v>33</v>
      </c>
      <c r="Q895">
        <v>117.24</v>
      </c>
      <c r="R895">
        <v>7.5</v>
      </c>
      <c r="S895" t="s">
        <v>44</v>
      </c>
      <c r="T895">
        <v>88.2</v>
      </c>
      <c r="V895">
        <v>101.8</v>
      </c>
      <c r="W895">
        <v>78.5</v>
      </c>
      <c r="X895">
        <v>9.6</v>
      </c>
      <c r="Y895">
        <v>36.6</v>
      </c>
      <c r="Z895">
        <v>328239523</v>
      </c>
      <c r="AA895">
        <v>37.090240000000001</v>
      </c>
      <c r="AB895">
        <v>-95.712890999999999</v>
      </c>
    </row>
    <row r="896" spans="1:28" hidden="1">
      <c r="A896">
        <v>878</v>
      </c>
      <c r="B896">
        <v>3300</v>
      </c>
      <c r="C896" t="s">
        <v>68</v>
      </c>
      <c r="D896" t="s">
        <v>2034</v>
      </c>
      <c r="E896">
        <v>68</v>
      </c>
      <c r="G896" t="s">
        <v>874</v>
      </c>
      <c r="H896" t="s">
        <v>875</v>
      </c>
      <c r="I896" t="s">
        <v>68</v>
      </c>
      <c r="J896" t="s">
        <v>68</v>
      </c>
      <c r="K896" t="s">
        <v>874</v>
      </c>
      <c r="M896" t="b">
        <v>0</v>
      </c>
      <c r="N896" t="s">
        <v>42</v>
      </c>
      <c r="O896" t="s">
        <v>33</v>
      </c>
      <c r="Q896">
        <v>288.57</v>
      </c>
      <c r="R896">
        <v>9.1999999999999993</v>
      </c>
      <c r="S896" t="s">
        <v>877</v>
      </c>
      <c r="T896">
        <v>35.200000000000003</v>
      </c>
      <c r="V896">
        <v>106.3</v>
      </c>
      <c r="W896">
        <v>71.8</v>
      </c>
      <c r="X896">
        <v>12.5</v>
      </c>
      <c r="Y896">
        <v>44.4</v>
      </c>
      <c r="Z896">
        <v>100388073</v>
      </c>
      <c r="AA896">
        <v>26.820553</v>
      </c>
      <c r="AB896">
        <v>30.802498</v>
      </c>
    </row>
    <row r="897" spans="1:28">
      <c r="A897">
        <v>878</v>
      </c>
      <c r="B897">
        <v>3300</v>
      </c>
      <c r="C897" t="s">
        <v>54</v>
      </c>
      <c r="D897" t="s">
        <v>2035</v>
      </c>
      <c r="E897">
        <v>55</v>
      </c>
      <c r="F897" t="str">
        <f>IF(E897&gt;=90,"90-100",IF(E897&gt;=80,"80-90",IF(E897&gt;=70,"70-80",IF(E897&gt;=60,"60-70",IF(E897&gt;=50,"50-60",IF(E897&gt;=40,"40-50",IF(E897&gt;=30,"30-40","20-30")))))))</f>
        <v>50-60</v>
      </c>
      <c r="G897" t="s">
        <v>103</v>
      </c>
      <c r="H897" t="s">
        <v>172</v>
      </c>
      <c r="I897" t="s">
        <v>699</v>
      </c>
      <c r="J897" t="s">
        <v>54</v>
      </c>
      <c r="K897" t="s">
        <v>172</v>
      </c>
      <c r="L897" t="s">
        <v>2036</v>
      </c>
      <c r="M897" t="b">
        <v>1</v>
      </c>
      <c r="N897" t="s">
        <v>42</v>
      </c>
      <c r="O897" t="s">
        <v>4867</v>
      </c>
      <c r="P897" t="s">
        <v>468</v>
      </c>
      <c r="Q897">
        <v>125.08</v>
      </c>
      <c r="R897">
        <v>2.9</v>
      </c>
      <c r="S897" t="s">
        <v>106</v>
      </c>
      <c r="T897">
        <v>50.6</v>
      </c>
      <c r="U897" t="str">
        <f>IF(T897&gt;=100,"above 100",IF(T897&gt;=80,"80-100",IF(T897&gt;=60,"60-80",IF(T897&gt;=40,"40-60",IF(T897&gt;=20,"20-60","0-20")))))</f>
        <v>40-60</v>
      </c>
      <c r="V897">
        <v>100.2</v>
      </c>
      <c r="W897">
        <v>77</v>
      </c>
      <c r="X897">
        <v>9.4</v>
      </c>
      <c r="Y897">
        <v>59.2</v>
      </c>
      <c r="Z897">
        <v>1397715000</v>
      </c>
      <c r="AA897">
        <v>35.861660000000001</v>
      </c>
      <c r="AB897">
        <v>104.195397</v>
      </c>
    </row>
    <row r="898" spans="1:28" hidden="1">
      <c r="A898">
        <v>878</v>
      </c>
      <c r="B898">
        <v>3300</v>
      </c>
      <c r="C898" t="s">
        <v>45</v>
      </c>
      <c r="D898" t="s">
        <v>2037</v>
      </c>
      <c r="E898">
        <v>54</v>
      </c>
      <c r="G898" t="s">
        <v>342</v>
      </c>
      <c r="H898" t="s">
        <v>1093</v>
      </c>
      <c r="I898" t="s">
        <v>572</v>
      </c>
      <c r="J898" t="s">
        <v>45</v>
      </c>
      <c r="K898" t="s">
        <v>342</v>
      </c>
      <c r="M898" t="b">
        <v>1</v>
      </c>
      <c r="N898" t="s">
        <v>42</v>
      </c>
      <c r="O898" t="s">
        <v>33</v>
      </c>
      <c r="Q898">
        <v>108.15</v>
      </c>
      <c r="R898">
        <v>0.8</v>
      </c>
      <c r="S898" t="s">
        <v>532</v>
      </c>
      <c r="T898">
        <v>63.4</v>
      </c>
      <c r="V898">
        <v>104.9</v>
      </c>
      <c r="W898">
        <v>82.8</v>
      </c>
      <c r="X898">
        <v>23.1</v>
      </c>
      <c r="Y898">
        <v>25.3</v>
      </c>
      <c r="Z898">
        <v>9053300</v>
      </c>
      <c r="AA898">
        <v>31.046050999999999</v>
      </c>
      <c r="AB898">
        <v>34.851612000000003</v>
      </c>
    </row>
    <row r="899" spans="1:28" hidden="1">
      <c r="A899">
        <v>878</v>
      </c>
      <c r="B899">
        <v>3300</v>
      </c>
      <c r="C899" t="s">
        <v>54</v>
      </c>
      <c r="D899" t="s">
        <v>2038</v>
      </c>
      <c r="E899">
        <v>71</v>
      </c>
      <c r="G899" t="s">
        <v>127</v>
      </c>
      <c r="H899" t="s">
        <v>128</v>
      </c>
      <c r="I899" t="s">
        <v>2039</v>
      </c>
      <c r="J899" t="s">
        <v>54</v>
      </c>
      <c r="K899" t="s">
        <v>127</v>
      </c>
      <c r="M899" t="b">
        <v>1</v>
      </c>
      <c r="N899" t="s">
        <v>32</v>
      </c>
      <c r="O899" t="s">
        <v>33</v>
      </c>
      <c r="Q899">
        <v>116.76</v>
      </c>
      <c r="R899">
        <v>1.9</v>
      </c>
      <c r="S899" t="s">
        <v>132</v>
      </c>
      <c r="T899">
        <v>68.900000000000006</v>
      </c>
      <c r="V899">
        <v>100.9</v>
      </c>
      <c r="W899">
        <v>81.900000000000006</v>
      </c>
      <c r="X899">
        <v>12.8</v>
      </c>
      <c r="Y899">
        <v>24.5</v>
      </c>
      <c r="Z899">
        <v>36991981</v>
      </c>
      <c r="AA899">
        <v>56.130366000000002</v>
      </c>
      <c r="AB899">
        <v>-106.346771</v>
      </c>
    </row>
    <row r="900" spans="1:28" hidden="1">
      <c r="A900">
        <v>878</v>
      </c>
      <c r="B900">
        <v>3300</v>
      </c>
      <c r="C900" t="s">
        <v>54</v>
      </c>
      <c r="D900" t="s">
        <v>2040</v>
      </c>
      <c r="E900">
        <v>38</v>
      </c>
      <c r="G900" t="s">
        <v>203</v>
      </c>
      <c r="H900" t="s">
        <v>204</v>
      </c>
      <c r="I900" t="s">
        <v>909</v>
      </c>
      <c r="J900" t="s">
        <v>54</v>
      </c>
      <c r="K900" t="s">
        <v>203</v>
      </c>
      <c r="M900" t="b">
        <v>1</v>
      </c>
      <c r="N900" t="s">
        <v>42</v>
      </c>
      <c r="O900" t="s">
        <v>33</v>
      </c>
      <c r="Q900">
        <v>119.62</v>
      </c>
      <c r="R900">
        <v>1.7</v>
      </c>
      <c r="S900" t="s">
        <v>206</v>
      </c>
      <c r="T900">
        <v>60</v>
      </c>
      <c r="V900">
        <v>101.2</v>
      </c>
      <c r="W900">
        <v>81.3</v>
      </c>
      <c r="X900">
        <v>25.5</v>
      </c>
      <c r="Y900">
        <v>30.6</v>
      </c>
      <c r="Z900">
        <v>66834405</v>
      </c>
      <c r="AA900">
        <v>55.378050999999999</v>
      </c>
      <c r="AB900">
        <v>-3.4359730000000002</v>
      </c>
    </row>
    <row r="901" spans="1:28">
      <c r="A901">
        <v>878</v>
      </c>
      <c r="B901">
        <v>3300</v>
      </c>
      <c r="C901" t="s">
        <v>54</v>
      </c>
      <c r="D901" t="s">
        <v>2041</v>
      </c>
      <c r="E901">
        <v>48</v>
      </c>
      <c r="F901" t="str">
        <f>IF(E901&gt;=90,"90-100",IF(E901&gt;=80,"80-90",IF(E901&gt;=70,"70-80",IF(E901&gt;=60,"60-70",IF(E901&gt;=50,"50-60",IF(E901&gt;=40,"40-50",IF(E901&gt;=30,"30-40","20-30")))))))</f>
        <v>40-50</v>
      </c>
      <c r="G901" t="s">
        <v>38</v>
      </c>
      <c r="H901" t="s">
        <v>2042</v>
      </c>
      <c r="I901" t="s">
        <v>961</v>
      </c>
      <c r="J901" t="s">
        <v>54</v>
      </c>
      <c r="K901" t="s">
        <v>38</v>
      </c>
      <c r="L901" t="s">
        <v>2043</v>
      </c>
      <c r="M901" t="b">
        <v>1</v>
      </c>
      <c r="N901" t="s">
        <v>32</v>
      </c>
      <c r="O901" t="s">
        <v>4867</v>
      </c>
      <c r="P901" t="s">
        <v>146</v>
      </c>
      <c r="Q901">
        <v>117.24</v>
      </c>
      <c r="R901">
        <v>7.5</v>
      </c>
      <c r="S901" t="s">
        <v>44</v>
      </c>
      <c r="T901">
        <v>88.2</v>
      </c>
      <c r="U901" t="str">
        <f>IF(T901&gt;=100,"above 100",IF(T901&gt;=80,"80-100",IF(T901&gt;=60,"60-80",IF(T901&gt;=40,"40-60",IF(T901&gt;=20,"20-60","0-20")))))</f>
        <v>80-100</v>
      </c>
      <c r="V901">
        <v>101.8</v>
      </c>
      <c r="W901">
        <v>78.5</v>
      </c>
      <c r="X901">
        <v>9.6</v>
      </c>
      <c r="Y901">
        <v>36.6</v>
      </c>
      <c r="Z901">
        <v>328239523</v>
      </c>
      <c r="AA901">
        <v>37.090240000000001</v>
      </c>
      <c r="AB901">
        <v>-95.712890999999999</v>
      </c>
    </row>
    <row r="902" spans="1:28" hidden="1">
      <c r="A902">
        <v>878</v>
      </c>
      <c r="B902">
        <v>3300</v>
      </c>
      <c r="C902" t="s">
        <v>54</v>
      </c>
      <c r="D902" t="s">
        <v>2044</v>
      </c>
      <c r="E902">
        <v>74</v>
      </c>
      <c r="G902" t="s">
        <v>38</v>
      </c>
      <c r="H902" t="s">
        <v>480</v>
      </c>
      <c r="I902" t="s">
        <v>231</v>
      </c>
      <c r="J902" t="s">
        <v>54</v>
      </c>
      <c r="K902" t="s">
        <v>38</v>
      </c>
      <c r="M902" t="b">
        <v>1</v>
      </c>
      <c r="N902" t="s">
        <v>32</v>
      </c>
      <c r="O902" t="s">
        <v>33</v>
      </c>
      <c r="P902" t="s">
        <v>468</v>
      </c>
      <c r="Q902">
        <v>117.24</v>
      </c>
      <c r="R902">
        <v>7.5</v>
      </c>
      <c r="S902" t="s">
        <v>44</v>
      </c>
      <c r="T902">
        <v>88.2</v>
      </c>
      <c r="V902">
        <v>101.8</v>
      </c>
      <c r="W902">
        <v>78.5</v>
      </c>
      <c r="X902">
        <v>9.6</v>
      </c>
      <c r="Y902">
        <v>36.6</v>
      </c>
      <c r="Z902">
        <v>328239523</v>
      </c>
      <c r="AA902">
        <v>37.090240000000001</v>
      </c>
      <c r="AB902">
        <v>-95.712890999999999</v>
      </c>
    </row>
    <row r="903" spans="1:28" hidden="1">
      <c r="A903">
        <v>878</v>
      </c>
      <c r="B903">
        <v>3300</v>
      </c>
      <c r="C903" t="s">
        <v>217</v>
      </c>
      <c r="D903" t="s">
        <v>2045</v>
      </c>
      <c r="E903">
        <v>59</v>
      </c>
      <c r="G903" t="s">
        <v>38</v>
      </c>
      <c r="H903" t="s">
        <v>2046</v>
      </c>
      <c r="I903" t="s">
        <v>815</v>
      </c>
      <c r="J903" t="s">
        <v>217</v>
      </c>
      <c r="K903" t="s">
        <v>38</v>
      </c>
      <c r="M903" t="b">
        <v>0</v>
      </c>
      <c r="N903" t="s">
        <v>42</v>
      </c>
      <c r="O903" t="s">
        <v>33</v>
      </c>
      <c r="Q903">
        <v>117.24</v>
      </c>
      <c r="R903">
        <v>7.5</v>
      </c>
      <c r="S903" t="s">
        <v>44</v>
      </c>
      <c r="T903">
        <v>88.2</v>
      </c>
      <c r="V903">
        <v>101.8</v>
      </c>
      <c r="W903">
        <v>78.5</v>
      </c>
      <c r="X903">
        <v>9.6</v>
      </c>
      <c r="Y903">
        <v>36.6</v>
      </c>
      <c r="Z903">
        <v>328239523</v>
      </c>
      <c r="AA903">
        <v>37.090240000000001</v>
      </c>
      <c r="AB903">
        <v>-95.712890999999999</v>
      </c>
    </row>
    <row r="904" spans="1:28" hidden="1">
      <c r="A904">
        <v>878</v>
      </c>
      <c r="B904">
        <v>3300</v>
      </c>
      <c r="C904" t="s">
        <v>217</v>
      </c>
      <c r="D904" t="s">
        <v>2047</v>
      </c>
      <c r="E904">
        <v>53</v>
      </c>
      <c r="G904" t="s">
        <v>103</v>
      </c>
      <c r="H904" t="s">
        <v>489</v>
      </c>
      <c r="I904" t="s">
        <v>522</v>
      </c>
      <c r="J904" t="s">
        <v>217</v>
      </c>
      <c r="K904" t="s">
        <v>103</v>
      </c>
      <c r="M904" t="b">
        <v>1</v>
      </c>
      <c r="N904" t="s">
        <v>42</v>
      </c>
      <c r="O904" t="s">
        <v>33</v>
      </c>
      <c r="Q904">
        <v>125.08</v>
      </c>
      <c r="R904">
        <v>2.9</v>
      </c>
      <c r="S904" t="s">
        <v>106</v>
      </c>
      <c r="T904">
        <v>50.6</v>
      </c>
      <c r="V904">
        <v>100.2</v>
      </c>
      <c r="W904">
        <v>77</v>
      </c>
      <c r="X904">
        <v>9.4</v>
      </c>
      <c r="Y904">
        <v>59.2</v>
      </c>
      <c r="Z904">
        <v>1397715000</v>
      </c>
      <c r="AA904">
        <v>35.861660000000001</v>
      </c>
      <c r="AB904">
        <v>104.195397</v>
      </c>
    </row>
    <row r="905" spans="1:28" hidden="1">
      <c r="A905">
        <v>878</v>
      </c>
      <c r="B905">
        <v>3300</v>
      </c>
      <c r="C905" t="s">
        <v>26</v>
      </c>
      <c r="D905" t="s">
        <v>2048</v>
      </c>
      <c r="E905">
        <v>73</v>
      </c>
      <c r="G905" t="s">
        <v>395</v>
      </c>
      <c r="H905" t="s">
        <v>395</v>
      </c>
      <c r="I905" t="s">
        <v>150</v>
      </c>
      <c r="J905" t="s">
        <v>26</v>
      </c>
      <c r="K905" t="s">
        <v>198</v>
      </c>
      <c r="M905" t="b">
        <v>1</v>
      </c>
      <c r="N905" t="s">
        <v>32</v>
      </c>
      <c r="O905" t="s">
        <v>33</v>
      </c>
      <c r="Q905">
        <v>114.41</v>
      </c>
      <c r="R905">
        <v>0.6</v>
      </c>
      <c r="S905" t="s">
        <v>451</v>
      </c>
      <c r="T905">
        <v>84.8</v>
      </c>
      <c r="V905">
        <v>100.6</v>
      </c>
      <c r="W905">
        <v>83.1</v>
      </c>
      <c r="X905">
        <v>13.1</v>
      </c>
      <c r="Y905">
        <v>21</v>
      </c>
      <c r="Z905">
        <v>5703569</v>
      </c>
      <c r="AA905">
        <v>1.3520829999999999</v>
      </c>
      <c r="AB905">
        <v>103.819836</v>
      </c>
    </row>
    <row r="906" spans="1:28" hidden="1">
      <c r="A906">
        <v>905</v>
      </c>
      <c r="B906">
        <v>3200</v>
      </c>
      <c r="C906" t="s">
        <v>101</v>
      </c>
      <c r="D906" t="s">
        <v>2049</v>
      </c>
      <c r="E906">
        <v>53</v>
      </c>
      <c r="I906" t="s">
        <v>1496</v>
      </c>
      <c r="J906" t="s">
        <v>101</v>
      </c>
      <c r="K906" t="s">
        <v>70</v>
      </c>
      <c r="M906" t="b">
        <v>0</v>
      </c>
      <c r="N906" t="s">
        <v>32</v>
      </c>
      <c r="O906" t="s">
        <v>88</v>
      </c>
    </row>
    <row r="907" spans="1:28" hidden="1">
      <c r="A907">
        <v>905</v>
      </c>
      <c r="B907">
        <v>3200</v>
      </c>
      <c r="C907" t="s">
        <v>26</v>
      </c>
      <c r="D907" t="s">
        <v>2050</v>
      </c>
      <c r="E907">
        <v>85</v>
      </c>
      <c r="G907" t="s">
        <v>164</v>
      </c>
      <c r="H907" t="s">
        <v>1725</v>
      </c>
      <c r="I907" t="s">
        <v>2051</v>
      </c>
      <c r="J907" t="s">
        <v>26</v>
      </c>
      <c r="K907" t="s">
        <v>164</v>
      </c>
      <c r="M907" t="b">
        <v>1</v>
      </c>
      <c r="N907" t="s">
        <v>32</v>
      </c>
      <c r="O907" t="s">
        <v>88</v>
      </c>
      <c r="Q907">
        <v>110.62</v>
      </c>
      <c r="R907">
        <v>0.6</v>
      </c>
      <c r="S907" t="s">
        <v>539</v>
      </c>
      <c r="T907">
        <v>61.9</v>
      </c>
      <c r="V907">
        <v>101.9</v>
      </c>
      <c r="W907">
        <v>82.9</v>
      </c>
      <c r="X907">
        <v>24.3</v>
      </c>
      <c r="Y907">
        <v>59.1</v>
      </c>
      <c r="Z907">
        <v>60297396</v>
      </c>
      <c r="AA907">
        <v>41.871940000000002</v>
      </c>
      <c r="AB907">
        <v>12.56738</v>
      </c>
    </row>
    <row r="908" spans="1:28" hidden="1">
      <c r="A908">
        <v>905</v>
      </c>
      <c r="B908">
        <v>3200</v>
      </c>
      <c r="C908" t="s">
        <v>26</v>
      </c>
      <c r="D908" t="s">
        <v>2052</v>
      </c>
      <c r="E908">
        <v>87</v>
      </c>
      <c r="G908" t="s">
        <v>164</v>
      </c>
      <c r="H908" t="s">
        <v>2053</v>
      </c>
      <c r="I908" t="s">
        <v>2051</v>
      </c>
      <c r="J908" t="s">
        <v>26</v>
      </c>
      <c r="K908" t="s">
        <v>164</v>
      </c>
      <c r="M908" t="b">
        <v>1</v>
      </c>
      <c r="N908" t="s">
        <v>32</v>
      </c>
      <c r="O908" t="s">
        <v>33</v>
      </c>
      <c r="Q908">
        <v>110.62</v>
      </c>
      <c r="R908">
        <v>0.6</v>
      </c>
      <c r="S908" t="s">
        <v>539</v>
      </c>
      <c r="T908">
        <v>61.9</v>
      </c>
      <c r="V908">
        <v>101.9</v>
      </c>
      <c r="W908">
        <v>82.9</v>
      </c>
      <c r="X908">
        <v>24.3</v>
      </c>
      <c r="Y908">
        <v>59.1</v>
      </c>
      <c r="Z908">
        <v>60297396</v>
      </c>
      <c r="AA908">
        <v>41.871940000000002</v>
      </c>
      <c r="AB908">
        <v>12.56738</v>
      </c>
    </row>
    <row r="909" spans="1:28" hidden="1">
      <c r="A909">
        <v>905</v>
      </c>
      <c r="B909">
        <v>3200</v>
      </c>
      <c r="C909" t="s">
        <v>217</v>
      </c>
      <c r="D909" t="s">
        <v>2054</v>
      </c>
      <c r="E909">
        <v>82</v>
      </c>
      <c r="G909" t="s">
        <v>77</v>
      </c>
      <c r="H909" t="s">
        <v>248</v>
      </c>
      <c r="I909" t="s">
        <v>287</v>
      </c>
      <c r="J909" t="s">
        <v>217</v>
      </c>
      <c r="K909" t="s">
        <v>77</v>
      </c>
      <c r="M909" t="b">
        <v>0</v>
      </c>
      <c r="N909" t="s">
        <v>42</v>
      </c>
      <c r="O909" t="s">
        <v>33</v>
      </c>
      <c r="Q909">
        <v>180.44</v>
      </c>
      <c r="R909">
        <v>7.7</v>
      </c>
      <c r="S909" t="s">
        <v>81</v>
      </c>
      <c r="T909">
        <v>28.1</v>
      </c>
      <c r="V909">
        <v>113</v>
      </c>
      <c r="W909">
        <v>69.400000000000006</v>
      </c>
      <c r="X909">
        <v>11.2</v>
      </c>
      <c r="Y909">
        <v>49.7</v>
      </c>
      <c r="Z909">
        <v>1366417754</v>
      </c>
      <c r="AA909">
        <v>20.593684</v>
      </c>
      <c r="AB909">
        <v>78.962879999999998</v>
      </c>
    </row>
    <row r="910" spans="1:28">
      <c r="A910">
        <v>905</v>
      </c>
      <c r="B910">
        <v>3200</v>
      </c>
      <c r="C910" t="s">
        <v>54</v>
      </c>
      <c r="D910" t="s">
        <v>2055</v>
      </c>
      <c r="E910">
        <v>70</v>
      </c>
      <c r="F910" t="str">
        <f>IF(E910&gt;=90,"90-100",IF(E910&gt;=80,"80-90",IF(E910&gt;=70,"70-80",IF(E910&gt;=60,"60-70",IF(E910&gt;=50,"50-60",IF(E910&gt;=40,"40-50",IF(E910&gt;=30,"30-40","20-30")))))))</f>
        <v>70-80</v>
      </c>
      <c r="G910" t="s">
        <v>203</v>
      </c>
      <c r="H910" t="s">
        <v>204</v>
      </c>
      <c r="I910" t="s">
        <v>2056</v>
      </c>
      <c r="J910" t="s">
        <v>54</v>
      </c>
      <c r="K910" t="s">
        <v>38</v>
      </c>
      <c r="L910" t="s">
        <v>2057</v>
      </c>
      <c r="M910" t="b">
        <v>1</v>
      </c>
      <c r="N910" t="s">
        <v>32</v>
      </c>
      <c r="O910" t="s">
        <v>4867</v>
      </c>
      <c r="P910" t="s">
        <v>468</v>
      </c>
      <c r="Q910">
        <v>119.62</v>
      </c>
      <c r="R910">
        <v>1.7</v>
      </c>
      <c r="S910" t="s">
        <v>206</v>
      </c>
      <c r="T910">
        <v>60</v>
      </c>
      <c r="U910" t="str">
        <f>IF(T910&gt;=100,"above 100",IF(T910&gt;=80,"80-100",IF(T910&gt;=60,"60-80",IF(T910&gt;=40,"40-60",IF(T910&gt;=20,"20-60","0-20")))))</f>
        <v>60-80</v>
      </c>
      <c r="V910">
        <v>101.2</v>
      </c>
      <c r="W910">
        <v>81.3</v>
      </c>
      <c r="X910">
        <v>25.5</v>
      </c>
      <c r="Y910">
        <v>30.6</v>
      </c>
      <c r="Z910">
        <v>66834405</v>
      </c>
      <c r="AA910">
        <v>55.378050999999999</v>
      </c>
      <c r="AB910">
        <v>-3.4359730000000002</v>
      </c>
    </row>
    <row r="911" spans="1:28" hidden="1">
      <c r="A911">
        <v>905</v>
      </c>
      <c r="B911">
        <v>3200</v>
      </c>
      <c r="C911" t="s">
        <v>217</v>
      </c>
      <c r="D911" t="s">
        <v>2058</v>
      </c>
      <c r="E911">
        <v>64</v>
      </c>
      <c r="G911" t="s">
        <v>103</v>
      </c>
      <c r="H911" t="s">
        <v>489</v>
      </c>
      <c r="I911" t="s">
        <v>2059</v>
      </c>
      <c r="J911" t="s">
        <v>217</v>
      </c>
      <c r="K911" t="s">
        <v>103</v>
      </c>
      <c r="M911" t="b">
        <v>1</v>
      </c>
      <c r="N911" t="s">
        <v>42</v>
      </c>
      <c r="O911" t="s">
        <v>33</v>
      </c>
      <c r="Q911">
        <v>125.08</v>
      </c>
      <c r="R911">
        <v>2.9</v>
      </c>
      <c r="S911" t="s">
        <v>106</v>
      </c>
      <c r="T911">
        <v>50.6</v>
      </c>
      <c r="V911">
        <v>100.2</v>
      </c>
      <c r="W911">
        <v>77</v>
      </c>
      <c r="X911">
        <v>9.4</v>
      </c>
      <c r="Y911">
        <v>59.2</v>
      </c>
      <c r="Z911">
        <v>1397715000</v>
      </c>
      <c r="AA911">
        <v>35.861660000000001</v>
      </c>
      <c r="AB911">
        <v>104.195397</v>
      </c>
    </row>
    <row r="912" spans="1:28" hidden="1">
      <c r="A912">
        <v>905</v>
      </c>
      <c r="B912">
        <v>3200</v>
      </c>
      <c r="C912" t="s">
        <v>26</v>
      </c>
      <c r="D912" t="s">
        <v>2060</v>
      </c>
      <c r="E912">
        <v>69</v>
      </c>
      <c r="G912" t="s">
        <v>164</v>
      </c>
      <c r="H912" t="s">
        <v>2061</v>
      </c>
      <c r="I912" t="s">
        <v>2062</v>
      </c>
      <c r="J912" t="s">
        <v>26</v>
      </c>
      <c r="K912" t="s">
        <v>164</v>
      </c>
      <c r="M912" t="b">
        <v>1</v>
      </c>
      <c r="N912" t="s">
        <v>32</v>
      </c>
      <c r="O912" t="s">
        <v>33</v>
      </c>
      <c r="Q912">
        <v>110.62</v>
      </c>
      <c r="R912">
        <v>0.6</v>
      </c>
      <c r="S912" t="s">
        <v>539</v>
      </c>
      <c r="T912">
        <v>61.9</v>
      </c>
      <c r="V912">
        <v>101.9</v>
      </c>
      <c r="W912">
        <v>82.9</v>
      </c>
      <c r="X912">
        <v>24.3</v>
      </c>
      <c r="Y912">
        <v>59.1</v>
      </c>
      <c r="Z912">
        <v>60297396</v>
      </c>
      <c r="AA912">
        <v>41.871940000000002</v>
      </c>
      <c r="AB912">
        <v>12.56738</v>
      </c>
    </row>
    <row r="913" spans="1:28" hidden="1">
      <c r="A913">
        <v>905</v>
      </c>
      <c r="B913">
        <v>3200</v>
      </c>
      <c r="C913" t="s">
        <v>217</v>
      </c>
      <c r="D913" t="s">
        <v>2063</v>
      </c>
      <c r="E913">
        <v>84</v>
      </c>
      <c r="G913" t="s">
        <v>70</v>
      </c>
      <c r="H913" t="s">
        <v>71</v>
      </c>
      <c r="I913" t="s">
        <v>287</v>
      </c>
      <c r="J913" t="s">
        <v>217</v>
      </c>
      <c r="K913" t="s">
        <v>70</v>
      </c>
      <c r="M913" t="b">
        <v>1</v>
      </c>
      <c r="N913" t="s">
        <v>42</v>
      </c>
      <c r="O913" t="s">
        <v>33</v>
      </c>
      <c r="Q913">
        <v>141.54</v>
      </c>
      <c r="R913">
        <v>3.6</v>
      </c>
      <c r="S913" t="s">
        <v>74</v>
      </c>
      <c r="T913">
        <v>40.200000000000003</v>
      </c>
      <c r="V913">
        <v>105.8</v>
      </c>
      <c r="W913">
        <v>75</v>
      </c>
      <c r="X913">
        <v>13.1</v>
      </c>
      <c r="Y913">
        <v>55.1</v>
      </c>
      <c r="Z913">
        <v>126014024</v>
      </c>
      <c r="AA913">
        <v>23.634501</v>
      </c>
      <c r="AB913">
        <v>-102.552784</v>
      </c>
    </row>
    <row r="914" spans="1:28" hidden="1">
      <c r="A914">
        <v>905</v>
      </c>
      <c r="B914">
        <v>3200</v>
      </c>
      <c r="C914" t="s">
        <v>288</v>
      </c>
      <c r="D914" t="s">
        <v>2064</v>
      </c>
      <c r="E914">
        <v>86</v>
      </c>
      <c r="G914" t="s">
        <v>164</v>
      </c>
      <c r="H914" t="s">
        <v>2065</v>
      </c>
      <c r="I914" t="s">
        <v>1198</v>
      </c>
      <c r="J914" t="s">
        <v>288</v>
      </c>
      <c r="K914" t="s">
        <v>164</v>
      </c>
      <c r="M914" t="b">
        <v>1</v>
      </c>
      <c r="N914" t="s">
        <v>212</v>
      </c>
      <c r="O914" t="s">
        <v>33</v>
      </c>
      <c r="Q914">
        <v>110.62</v>
      </c>
      <c r="R914">
        <v>0.6</v>
      </c>
      <c r="S914" t="s">
        <v>539</v>
      </c>
      <c r="T914">
        <v>61.9</v>
      </c>
      <c r="V914">
        <v>101.9</v>
      </c>
      <c r="W914">
        <v>82.9</v>
      </c>
      <c r="X914">
        <v>24.3</v>
      </c>
      <c r="Y914">
        <v>59.1</v>
      </c>
      <c r="Z914">
        <v>60297396</v>
      </c>
      <c r="AA914">
        <v>41.871940000000002</v>
      </c>
      <c r="AB914">
        <v>12.56738</v>
      </c>
    </row>
    <row r="915" spans="1:28" hidden="1">
      <c r="A915">
        <v>905</v>
      </c>
      <c r="B915">
        <v>3200</v>
      </c>
      <c r="C915" t="s">
        <v>36</v>
      </c>
      <c r="D915" t="s">
        <v>2066</v>
      </c>
      <c r="E915">
        <v>53</v>
      </c>
      <c r="G915" t="s">
        <v>103</v>
      </c>
      <c r="H915" t="s">
        <v>1831</v>
      </c>
      <c r="I915" t="s">
        <v>2067</v>
      </c>
      <c r="J915" t="s">
        <v>36</v>
      </c>
      <c r="K915" t="s">
        <v>103</v>
      </c>
      <c r="M915" t="b">
        <v>1</v>
      </c>
      <c r="N915" t="s">
        <v>32</v>
      </c>
      <c r="O915" t="s">
        <v>33</v>
      </c>
      <c r="Q915">
        <v>125.08</v>
      </c>
      <c r="R915">
        <v>2.9</v>
      </c>
      <c r="S915" t="s">
        <v>106</v>
      </c>
      <c r="T915">
        <v>50.6</v>
      </c>
      <c r="V915">
        <v>100.2</v>
      </c>
      <c r="W915">
        <v>77</v>
      </c>
      <c r="X915">
        <v>9.4</v>
      </c>
      <c r="Y915">
        <v>59.2</v>
      </c>
      <c r="Z915">
        <v>1397715000</v>
      </c>
      <c r="AA915">
        <v>35.861660000000001</v>
      </c>
      <c r="AB915">
        <v>104.195397</v>
      </c>
    </row>
    <row r="916" spans="1:28">
      <c r="A916">
        <v>905</v>
      </c>
      <c r="B916">
        <v>3200</v>
      </c>
      <c r="C916" t="s">
        <v>63</v>
      </c>
      <c r="D916" t="s">
        <v>2068</v>
      </c>
      <c r="E916">
        <v>70</v>
      </c>
      <c r="F916" t="str">
        <f>IF(E916&gt;=90,"90-100",IF(E916&gt;=80,"80-90",IF(E916&gt;=70,"70-80",IF(E916&gt;=60,"60-70",IF(E916&gt;=50,"50-60",IF(E916&gt;=40,"40-50",IF(E916&gt;=30,"30-40","20-30")))))))</f>
        <v>70-80</v>
      </c>
      <c r="G916" t="s">
        <v>38</v>
      </c>
      <c r="H916" t="s">
        <v>548</v>
      </c>
      <c r="I916" t="s">
        <v>2069</v>
      </c>
      <c r="J916" t="s">
        <v>63</v>
      </c>
      <c r="K916" t="s">
        <v>38</v>
      </c>
      <c r="L916" t="s">
        <v>2070</v>
      </c>
      <c r="M916" t="b">
        <v>1</v>
      </c>
      <c r="N916" t="s">
        <v>42</v>
      </c>
      <c r="O916" t="s">
        <v>4867</v>
      </c>
      <c r="P916" t="s">
        <v>80</v>
      </c>
      <c r="Q916">
        <v>117.24</v>
      </c>
      <c r="R916">
        <v>7.5</v>
      </c>
      <c r="S916" t="s">
        <v>44</v>
      </c>
      <c r="T916">
        <v>88.2</v>
      </c>
      <c r="U916" t="str">
        <f t="shared" ref="U916:U917" si="35">IF(T916&gt;=100,"above 100",IF(T916&gt;=80,"80-100",IF(T916&gt;=60,"60-80",IF(T916&gt;=40,"40-60",IF(T916&gt;=20,"20-60","0-20")))))</f>
        <v>80-100</v>
      </c>
      <c r="V916">
        <v>101.8</v>
      </c>
      <c r="W916">
        <v>78.5</v>
      </c>
      <c r="X916">
        <v>9.6</v>
      </c>
      <c r="Y916">
        <v>36.6</v>
      </c>
      <c r="Z916">
        <v>328239523</v>
      </c>
      <c r="AA916">
        <v>37.090240000000001</v>
      </c>
      <c r="AB916">
        <v>-95.712890999999999</v>
      </c>
    </row>
    <row r="917" spans="1:28">
      <c r="A917">
        <v>905</v>
      </c>
      <c r="B917">
        <v>3200</v>
      </c>
      <c r="C917" t="s">
        <v>45</v>
      </c>
      <c r="D917" t="s">
        <v>2071</v>
      </c>
      <c r="E917">
        <v>56</v>
      </c>
      <c r="F917" t="str">
        <f>IF(E917&gt;=90,"90-100",IF(E917&gt;=80,"80-90",IF(E917&gt;=70,"70-80",IF(E917&gt;=60,"60-70",IF(E917&gt;=50,"50-60",IF(E917&gt;=40,"40-50",IF(E917&gt;=30,"30-40","20-30")))))))</f>
        <v>50-60</v>
      </c>
      <c r="G917" t="s">
        <v>38</v>
      </c>
      <c r="H917" t="s">
        <v>90</v>
      </c>
      <c r="I917" t="s">
        <v>2072</v>
      </c>
      <c r="J917" t="s">
        <v>45</v>
      </c>
      <c r="K917" t="s">
        <v>38</v>
      </c>
      <c r="L917" t="s">
        <v>2073</v>
      </c>
      <c r="M917" t="b">
        <v>1</v>
      </c>
      <c r="N917" t="s">
        <v>42</v>
      </c>
      <c r="O917" t="s">
        <v>4867</v>
      </c>
      <c r="P917" t="s">
        <v>2074</v>
      </c>
      <c r="Q917">
        <v>117.24</v>
      </c>
      <c r="R917">
        <v>7.5</v>
      </c>
      <c r="S917" t="s">
        <v>44</v>
      </c>
      <c r="T917">
        <v>88.2</v>
      </c>
      <c r="U917" t="str">
        <f t="shared" si="35"/>
        <v>80-100</v>
      </c>
      <c r="V917">
        <v>101.8</v>
      </c>
      <c r="W917">
        <v>78.5</v>
      </c>
      <c r="X917">
        <v>9.6</v>
      </c>
      <c r="Y917">
        <v>36.6</v>
      </c>
      <c r="Z917">
        <v>328239523</v>
      </c>
      <c r="AA917">
        <v>37.090240000000001</v>
      </c>
      <c r="AB917">
        <v>-95.712890999999999</v>
      </c>
    </row>
    <row r="918" spans="1:28" hidden="1">
      <c r="A918">
        <v>905</v>
      </c>
      <c r="B918">
        <v>3200</v>
      </c>
      <c r="C918" t="s">
        <v>154</v>
      </c>
      <c r="D918" t="s">
        <v>2075</v>
      </c>
      <c r="E918">
        <v>85</v>
      </c>
      <c r="G918" t="s">
        <v>238</v>
      </c>
      <c r="H918" t="s">
        <v>534</v>
      </c>
      <c r="I918" t="s">
        <v>2076</v>
      </c>
      <c r="J918" t="s">
        <v>154</v>
      </c>
      <c r="K918" t="s">
        <v>238</v>
      </c>
      <c r="M918" t="b">
        <v>1</v>
      </c>
      <c r="N918" t="s">
        <v>32</v>
      </c>
      <c r="O918" t="s">
        <v>33</v>
      </c>
      <c r="Q918">
        <v>119.8</v>
      </c>
      <c r="R918">
        <v>1.6</v>
      </c>
      <c r="S918" t="s">
        <v>243</v>
      </c>
      <c r="T918">
        <v>113.1</v>
      </c>
      <c r="V918">
        <v>100.3</v>
      </c>
      <c r="W918">
        <v>82.7</v>
      </c>
      <c r="X918">
        <v>23</v>
      </c>
      <c r="Y918">
        <v>47.4</v>
      </c>
      <c r="Z918">
        <v>25766605</v>
      </c>
      <c r="AA918">
        <v>-25.274398000000001</v>
      </c>
      <c r="AB918">
        <v>133.775136</v>
      </c>
    </row>
    <row r="919" spans="1:28" hidden="1">
      <c r="A919">
        <v>905</v>
      </c>
      <c r="B919">
        <v>3200</v>
      </c>
      <c r="C919" t="s">
        <v>26</v>
      </c>
      <c r="D919" t="s">
        <v>2077</v>
      </c>
      <c r="E919">
        <v>55</v>
      </c>
      <c r="G919" t="s">
        <v>263</v>
      </c>
      <c r="H919" t="s">
        <v>2078</v>
      </c>
      <c r="I919" t="s">
        <v>150</v>
      </c>
      <c r="J919" t="s">
        <v>26</v>
      </c>
      <c r="K919" t="s">
        <v>263</v>
      </c>
      <c r="M919" t="b">
        <v>1</v>
      </c>
      <c r="N919" t="s">
        <v>419</v>
      </c>
      <c r="O919" t="s">
        <v>33</v>
      </c>
      <c r="Q919">
        <v>180.75</v>
      </c>
      <c r="R919">
        <v>4.5</v>
      </c>
      <c r="S919" t="s">
        <v>276</v>
      </c>
      <c r="T919">
        <v>81.900000000000006</v>
      </c>
      <c r="V919">
        <v>102.6</v>
      </c>
      <c r="W919">
        <v>72.7</v>
      </c>
      <c r="X919">
        <v>11.4</v>
      </c>
      <c r="Y919">
        <v>46.2</v>
      </c>
      <c r="Z919">
        <v>144373535</v>
      </c>
      <c r="AA919">
        <v>61.524009999999997</v>
      </c>
      <c r="AB919">
        <v>105.31875599999999</v>
      </c>
    </row>
    <row r="920" spans="1:28" hidden="1">
      <c r="A920">
        <v>905</v>
      </c>
      <c r="B920">
        <v>3200</v>
      </c>
      <c r="C920" t="s">
        <v>45</v>
      </c>
      <c r="D920" t="s">
        <v>2079</v>
      </c>
      <c r="E920">
        <v>67</v>
      </c>
      <c r="G920" t="s">
        <v>77</v>
      </c>
      <c r="H920" t="s">
        <v>667</v>
      </c>
      <c r="I920" t="s">
        <v>668</v>
      </c>
      <c r="J920" t="s">
        <v>45</v>
      </c>
      <c r="K920" t="s">
        <v>77</v>
      </c>
      <c r="M920" t="b">
        <v>1</v>
      </c>
      <c r="N920" t="s">
        <v>42</v>
      </c>
      <c r="O920" t="s">
        <v>33</v>
      </c>
      <c r="Q920">
        <v>180.44</v>
      </c>
      <c r="R920">
        <v>7.7</v>
      </c>
      <c r="S920" t="s">
        <v>81</v>
      </c>
      <c r="T920">
        <v>28.1</v>
      </c>
      <c r="V920">
        <v>113</v>
      </c>
      <c r="W920">
        <v>69.400000000000006</v>
      </c>
      <c r="X920">
        <v>11.2</v>
      </c>
      <c r="Y920">
        <v>49.7</v>
      </c>
      <c r="Z920">
        <v>1366417754</v>
      </c>
      <c r="AA920">
        <v>20.593684</v>
      </c>
      <c r="AB920">
        <v>78.962879999999998</v>
      </c>
    </row>
    <row r="921" spans="1:28" hidden="1">
      <c r="A921">
        <v>905</v>
      </c>
      <c r="B921">
        <v>3200</v>
      </c>
      <c r="C921" t="s">
        <v>26</v>
      </c>
      <c r="D921" t="s">
        <v>2080</v>
      </c>
      <c r="E921">
        <v>60</v>
      </c>
      <c r="G921" t="s">
        <v>384</v>
      </c>
      <c r="H921" t="s">
        <v>2081</v>
      </c>
      <c r="I921" t="s">
        <v>2082</v>
      </c>
      <c r="J921" t="s">
        <v>26</v>
      </c>
      <c r="K921" t="s">
        <v>384</v>
      </c>
      <c r="M921" t="b">
        <v>1</v>
      </c>
      <c r="N921" t="s">
        <v>42</v>
      </c>
      <c r="O921" t="s">
        <v>33</v>
      </c>
      <c r="Q921">
        <v>167.4</v>
      </c>
      <c r="R921">
        <v>3.7</v>
      </c>
      <c r="S921" t="s">
        <v>563</v>
      </c>
      <c r="T921">
        <v>51.3</v>
      </c>
      <c r="V921">
        <v>115.4</v>
      </c>
      <c r="W921">
        <v>75.7</v>
      </c>
      <c r="X921">
        <v>14.2</v>
      </c>
      <c r="Y921">
        <v>65.099999999999994</v>
      </c>
      <c r="Z921">
        <v>212559417</v>
      </c>
      <c r="AA921">
        <v>-14.235004</v>
      </c>
      <c r="AB921">
        <v>-51.925280000000001</v>
      </c>
    </row>
    <row r="922" spans="1:28">
      <c r="A922">
        <v>905</v>
      </c>
      <c r="B922">
        <v>3200</v>
      </c>
      <c r="C922" t="s">
        <v>54</v>
      </c>
      <c r="D922" t="s">
        <v>2083</v>
      </c>
      <c r="E922">
        <v>69</v>
      </c>
      <c r="F922" t="str">
        <f>IF(E922&gt;=90,"90-100",IF(E922&gt;=80,"80-90",IF(E922&gt;=70,"70-80",IF(E922&gt;=60,"60-70",IF(E922&gt;=50,"50-60",IF(E922&gt;=40,"40-50",IF(E922&gt;=30,"30-40","20-30")))))))</f>
        <v>60-70</v>
      </c>
      <c r="G922" t="s">
        <v>203</v>
      </c>
      <c r="H922" t="s">
        <v>204</v>
      </c>
      <c r="I922" t="s">
        <v>2084</v>
      </c>
      <c r="J922" t="s">
        <v>54</v>
      </c>
      <c r="K922" t="s">
        <v>238</v>
      </c>
      <c r="L922" t="s">
        <v>2085</v>
      </c>
      <c r="M922" t="b">
        <v>1</v>
      </c>
      <c r="N922" t="s">
        <v>419</v>
      </c>
      <c r="O922" t="s">
        <v>4867</v>
      </c>
      <c r="P922" t="s">
        <v>146</v>
      </c>
      <c r="Q922">
        <v>119.62</v>
      </c>
      <c r="R922">
        <v>1.7</v>
      </c>
      <c r="S922" t="s">
        <v>206</v>
      </c>
      <c r="T922">
        <v>60</v>
      </c>
      <c r="U922" t="str">
        <f>IF(T922&gt;=100,"above 100",IF(T922&gt;=80,"80-100",IF(T922&gt;=60,"60-80",IF(T922&gt;=40,"40-60",IF(T922&gt;=20,"20-60","0-20")))))</f>
        <v>60-80</v>
      </c>
      <c r="V922">
        <v>101.2</v>
      </c>
      <c r="W922">
        <v>81.3</v>
      </c>
      <c r="X922">
        <v>25.5</v>
      </c>
      <c r="Y922">
        <v>30.6</v>
      </c>
      <c r="Z922">
        <v>66834405</v>
      </c>
      <c r="AA922">
        <v>55.378050999999999</v>
      </c>
      <c r="AB922">
        <v>-3.4359730000000002</v>
      </c>
    </row>
    <row r="923" spans="1:28" hidden="1">
      <c r="A923">
        <v>905</v>
      </c>
      <c r="B923">
        <v>3200</v>
      </c>
      <c r="C923" t="s">
        <v>288</v>
      </c>
      <c r="D923" t="s">
        <v>2086</v>
      </c>
      <c r="E923">
        <v>60</v>
      </c>
      <c r="G923" t="s">
        <v>103</v>
      </c>
      <c r="H923" t="s">
        <v>1708</v>
      </c>
      <c r="I923" t="s">
        <v>418</v>
      </c>
      <c r="J923" t="s">
        <v>288</v>
      </c>
      <c r="K923" t="s">
        <v>103</v>
      </c>
      <c r="M923" t="b">
        <v>1</v>
      </c>
      <c r="N923" t="s">
        <v>42</v>
      </c>
      <c r="O923" t="s">
        <v>33</v>
      </c>
      <c r="Q923">
        <v>125.08</v>
      </c>
      <c r="R923">
        <v>2.9</v>
      </c>
      <c r="S923" t="s">
        <v>106</v>
      </c>
      <c r="T923">
        <v>50.6</v>
      </c>
      <c r="V923">
        <v>100.2</v>
      </c>
      <c r="W923">
        <v>77</v>
      </c>
      <c r="X923">
        <v>9.4</v>
      </c>
      <c r="Y923">
        <v>59.2</v>
      </c>
      <c r="Z923">
        <v>1397715000</v>
      </c>
      <c r="AA923">
        <v>35.861660000000001</v>
      </c>
      <c r="AB923">
        <v>104.195397</v>
      </c>
    </row>
    <row r="924" spans="1:28" hidden="1">
      <c r="A924">
        <v>905</v>
      </c>
      <c r="B924">
        <v>3200</v>
      </c>
      <c r="C924" t="s">
        <v>54</v>
      </c>
      <c r="D924" t="s">
        <v>2087</v>
      </c>
      <c r="E924">
        <v>71</v>
      </c>
      <c r="G924" t="s">
        <v>38</v>
      </c>
      <c r="H924" t="s">
        <v>65</v>
      </c>
      <c r="I924" t="s">
        <v>231</v>
      </c>
      <c r="J924" t="s">
        <v>54</v>
      </c>
      <c r="K924" t="s">
        <v>38</v>
      </c>
      <c r="M924" t="b">
        <v>1</v>
      </c>
      <c r="N924" t="s">
        <v>32</v>
      </c>
      <c r="O924" t="s">
        <v>33</v>
      </c>
      <c r="Q924">
        <v>117.24</v>
      </c>
      <c r="R924">
        <v>7.5</v>
      </c>
      <c r="S924" t="s">
        <v>44</v>
      </c>
      <c r="T924">
        <v>88.2</v>
      </c>
      <c r="V924">
        <v>101.8</v>
      </c>
      <c r="W924">
        <v>78.5</v>
      </c>
      <c r="X924">
        <v>9.6</v>
      </c>
      <c r="Y924">
        <v>36.6</v>
      </c>
      <c r="Z924">
        <v>328239523</v>
      </c>
      <c r="AA924">
        <v>37.090240000000001</v>
      </c>
      <c r="AB924">
        <v>-95.712890999999999</v>
      </c>
    </row>
    <row r="925" spans="1:28" hidden="1">
      <c r="A925">
        <v>905</v>
      </c>
      <c r="B925">
        <v>3200</v>
      </c>
      <c r="C925" t="s">
        <v>45</v>
      </c>
      <c r="D925" t="s">
        <v>2088</v>
      </c>
      <c r="E925">
        <v>52</v>
      </c>
      <c r="G925" t="s">
        <v>611</v>
      </c>
      <c r="H925" t="s">
        <v>612</v>
      </c>
      <c r="I925" t="s">
        <v>796</v>
      </c>
      <c r="J925" t="s">
        <v>45</v>
      </c>
      <c r="K925" t="s">
        <v>611</v>
      </c>
      <c r="M925" t="b">
        <v>0</v>
      </c>
      <c r="N925" t="s">
        <v>42</v>
      </c>
      <c r="O925" t="s">
        <v>88</v>
      </c>
      <c r="Q925">
        <v>115.16</v>
      </c>
      <c r="R925">
        <v>0.4</v>
      </c>
      <c r="S925" t="s">
        <v>615</v>
      </c>
      <c r="T925">
        <v>94.3</v>
      </c>
      <c r="V925">
        <v>98.1</v>
      </c>
      <c r="W925">
        <v>82.6</v>
      </c>
      <c r="X925">
        <v>15.6</v>
      </c>
      <c r="Y925">
        <v>33.200000000000003</v>
      </c>
      <c r="Z925">
        <v>51709098</v>
      </c>
      <c r="AA925">
        <v>35.907756999999997</v>
      </c>
      <c r="AB925">
        <v>127.76692199999999</v>
      </c>
    </row>
    <row r="926" spans="1:28" hidden="1">
      <c r="A926">
        <v>905</v>
      </c>
      <c r="B926">
        <v>3200</v>
      </c>
      <c r="C926" t="s">
        <v>217</v>
      </c>
      <c r="D926" t="s">
        <v>2089</v>
      </c>
      <c r="E926">
        <v>55</v>
      </c>
      <c r="G926" t="s">
        <v>103</v>
      </c>
      <c r="H926" t="s">
        <v>2090</v>
      </c>
      <c r="I926" t="s">
        <v>2091</v>
      </c>
      <c r="J926" t="s">
        <v>217</v>
      </c>
      <c r="K926" t="s">
        <v>103</v>
      </c>
      <c r="M926" t="b">
        <v>1</v>
      </c>
      <c r="N926" t="s">
        <v>42</v>
      </c>
      <c r="O926" t="s">
        <v>33</v>
      </c>
      <c r="Q926">
        <v>125.08</v>
      </c>
      <c r="R926">
        <v>2.9</v>
      </c>
      <c r="S926" t="s">
        <v>106</v>
      </c>
      <c r="T926">
        <v>50.6</v>
      </c>
      <c r="V926">
        <v>100.2</v>
      </c>
      <c r="W926">
        <v>77</v>
      </c>
      <c r="X926">
        <v>9.4</v>
      </c>
      <c r="Y926">
        <v>59.2</v>
      </c>
      <c r="Z926">
        <v>1397715000</v>
      </c>
      <c r="AA926">
        <v>35.861660000000001</v>
      </c>
      <c r="AB926">
        <v>104.195397</v>
      </c>
    </row>
    <row r="927" spans="1:28" hidden="1">
      <c r="A927">
        <v>905</v>
      </c>
      <c r="B927">
        <v>3200</v>
      </c>
      <c r="C927" t="s">
        <v>217</v>
      </c>
      <c r="D927" t="s">
        <v>2092</v>
      </c>
      <c r="E927">
        <v>54</v>
      </c>
      <c r="G927" t="s">
        <v>103</v>
      </c>
      <c r="H927" t="s">
        <v>215</v>
      </c>
      <c r="I927" t="s">
        <v>217</v>
      </c>
      <c r="J927" t="s">
        <v>217</v>
      </c>
      <c r="K927" t="s">
        <v>103</v>
      </c>
      <c r="M927" t="b">
        <v>1</v>
      </c>
      <c r="N927" t="s">
        <v>42</v>
      </c>
      <c r="O927" t="s">
        <v>33</v>
      </c>
      <c r="Q927">
        <v>125.08</v>
      </c>
      <c r="R927">
        <v>2.9</v>
      </c>
      <c r="S927" t="s">
        <v>106</v>
      </c>
      <c r="T927">
        <v>50.6</v>
      </c>
      <c r="V927">
        <v>100.2</v>
      </c>
      <c r="W927">
        <v>77</v>
      </c>
      <c r="X927">
        <v>9.4</v>
      </c>
      <c r="Y927">
        <v>59.2</v>
      </c>
      <c r="Z927">
        <v>1397715000</v>
      </c>
      <c r="AA927">
        <v>35.861660000000001</v>
      </c>
      <c r="AB927">
        <v>104.195397</v>
      </c>
    </row>
    <row r="928" spans="1:28" hidden="1">
      <c r="A928">
        <v>905</v>
      </c>
      <c r="B928">
        <v>3200</v>
      </c>
      <c r="C928" t="s">
        <v>288</v>
      </c>
      <c r="D928" t="s">
        <v>2093</v>
      </c>
      <c r="E928">
        <v>59</v>
      </c>
      <c r="G928" t="s">
        <v>77</v>
      </c>
      <c r="H928" t="s">
        <v>137</v>
      </c>
      <c r="I928" t="s">
        <v>2094</v>
      </c>
      <c r="J928" t="s">
        <v>288</v>
      </c>
      <c r="K928" t="s">
        <v>77</v>
      </c>
      <c r="M928" t="b">
        <v>0</v>
      </c>
      <c r="N928" t="s">
        <v>32</v>
      </c>
      <c r="O928" t="s">
        <v>33</v>
      </c>
      <c r="Q928">
        <v>180.44</v>
      </c>
      <c r="R928">
        <v>7.7</v>
      </c>
      <c r="S928" t="s">
        <v>81</v>
      </c>
      <c r="T928">
        <v>28.1</v>
      </c>
      <c r="V928">
        <v>113</v>
      </c>
      <c r="W928">
        <v>69.400000000000006</v>
      </c>
      <c r="X928">
        <v>11.2</v>
      </c>
      <c r="Y928">
        <v>49.7</v>
      </c>
      <c r="Z928">
        <v>1366417754</v>
      </c>
      <c r="AA928">
        <v>20.593684</v>
      </c>
      <c r="AB928">
        <v>78.962879999999998</v>
      </c>
    </row>
    <row r="929" spans="1:28" hidden="1">
      <c r="A929">
        <v>905</v>
      </c>
      <c r="B929">
        <v>3200</v>
      </c>
      <c r="C929" t="s">
        <v>288</v>
      </c>
      <c r="D929" t="s">
        <v>2095</v>
      </c>
      <c r="E929">
        <v>68</v>
      </c>
      <c r="G929" t="s">
        <v>77</v>
      </c>
      <c r="H929" t="s">
        <v>137</v>
      </c>
      <c r="I929" t="s">
        <v>2094</v>
      </c>
      <c r="J929" t="s">
        <v>288</v>
      </c>
      <c r="K929" t="s">
        <v>77</v>
      </c>
      <c r="M929" t="b">
        <v>0</v>
      </c>
      <c r="N929" t="s">
        <v>32</v>
      </c>
      <c r="O929" t="s">
        <v>33</v>
      </c>
      <c r="Q929">
        <v>180.44</v>
      </c>
      <c r="R929">
        <v>7.7</v>
      </c>
      <c r="S929" t="s">
        <v>81</v>
      </c>
      <c r="T929">
        <v>28.1</v>
      </c>
      <c r="V929">
        <v>113</v>
      </c>
      <c r="W929">
        <v>69.400000000000006</v>
      </c>
      <c r="X929">
        <v>11.2</v>
      </c>
      <c r="Y929">
        <v>49.7</v>
      </c>
      <c r="Z929">
        <v>1366417754</v>
      </c>
      <c r="AA929">
        <v>20.593684</v>
      </c>
      <c r="AB929">
        <v>78.962879999999998</v>
      </c>
    </row>
    <row r="930" spans="1:28" hidden="1">
      <c r="A930">
        <v>905</v>
      </c>
      <c r="B930">
        <v>3200</v>
      </c>
      <c r="C930" t="s">
        <v>236</v>
      </c>
      <c r="D930" t="s">
        <v>2096</v>
      </c>
      <c r="E930">
        <v>61</v>
      </c>
      <c r="G930" t="s">
        <v>156</v>
      </c>
      <c r="H930" t="s">
        <v>1989</v>
      </c>
      <c r="I930" t="s">
        <v>2097</v>
      </c>
      <c r="J930" t="s">
        <v>236</v>
      </c>
      <c r="K930" t="s">
        <v>1180</v>
      </c>
      <c r="M930" t="b">
        <v>1</v>
      </c>
      <c r="N930" t="s">
        <v>42</v>
      </c>
      <c r="O930" t="s">
        <v>33</v>
      </c>
      <c r="Q930">
        <v>99.55</v>
      </c>
      <c r="R930">
        <v>0.4</v>
      </c>
      <c r="S930" t="s">
        <v>159</v>
      </c>
      <c r="T930">
        <v>59.6</v>
      </c>
      <c r="V930">
        <v>105.2</v>
      </c>
      <c r="W930">
        <v>83.6</v>
      </c>
      <c r="X930">
        <v>10.1</v>
      </c>
      <c r="Y930">
        <v>28.8</v>
      </c>
      <c r="Z930">
        <v>8574832</v>
      </c>
      <c r="AA930">
        <v>46.818187999999999</v>
      </c>
      <c r="AB930">
        <v>8.2275120000000008</v>
      </c>
    </row>
    <row r="931" spans="1:28" hidden="1">
      <c r="A931">
        <v>905</v>
      </c>
      <c r="B931">
        <v>3200</v>
      </c>
      <c r="C931" t="s">
        <v>221</v>
      </c>
      <c r="D931" t="s">
        <v>2098</v>
      </c>
      <c r="E931">
        <v>72</v>
      </c>
      <c r="G931" t="s">
        <v>38</v>
      </c>
      <c r="H931" t="s">
        <v>675</v>
      </c>
      <c r="I931" t="s">
        <v>223</v>
      </c>
      <c r="J931" t="s">
        <v>221</v>
      </c>
      <c r="K931" t="s">
        <v>38</v>
      </c>
      <c r="M931" t="b">
        <v>0</v>
      </c>
      <c r="N931" t="s">
        <v>192</v>
      </c>
      <c r="O931" t="s">
        <v>33</v>
      </c>
      <c r="Q931">
        <v>117.24</v>
      </c>
      <c r="R931">
        <v>7.5</v>
      </c>
      <c r="S931" t="s">
        <v>44</v>
      </c>
      <c r="T931">
        <v>88.2</v>
      </c>
      <c r="V931">
        <v>101.8</v>
      </c>
      <c r="W931">
        <v>78.5</v>
      </c>
      <c r="X931">
        <v>9.6</v>
      </c>
      <c r="Y931">
        <v>36.6</v>
      </c>
      <c r="Z931">
        <v>328239523</v>
      </c>
      <c r="AA931">
        <v>37.090240000000001</v>
      </c>
      <c r="AB931">
        <v>-95.712890999999999</v>
      </c>
    </row>
    <row r="932" spans="1:28" hidden="1">
      <c r="A932">
        <v>905</v>
      </c>
      <c r="B932">
        <v>3200</v>
      </c>
      <c r="C932" t="s">
        <v>36</v>
      </c>
      <c r="D932" t="s">
        <v>2099</v>
      </c>
      <c r="E932">
        <v>86</v>
      </c>
      <c r="G932" t="s">
        <v>38</v>
      </c>
      <c r="H932" t="s">
        <v>2100</v>
      </c>
      <c r="I932" t="s">
        <v>2101</v>
      </c>
      <c r="J932" t="s">
        <v>36</v>
      </c>
      <c r="K932" t="s">
        <v>38</v>
      </c>
      <c r="M932" t="b">
        <v>1</v>
      </c>
      <c r="N932" t="s">
        <v>32</v>
      </c>
      <c r="O932" t="s">
        <v>33</v>
      </c>
      <c r="Q932">
        <v>117.24</v>
      </c>
      <c r="R932">
        <v>7.5</v>
      </c>
      <c r="S932" t="s">
        <v>44</v>
      </c>
      <c r="T932">
        <v>88.2</v>
      </c>
      <c r="V932">
        <v>101.8</v>
      </c>
      <c r="W932">
        <v>78.5</v>
      </c>
      <c r="X932">
        <v>9.6</v>
      </c>
      <c r="Y932">
        <v>36.6</v>
      </c>
      <c r="Z932">
        <v>328239523</v>
      </c>
      <c r="AA932">
        <v>37.090240000000001</v>
      </c>
      <c r="AB932">
        <v>-95.712890999999999</v>
      </c>
    </row>
    <row r="933" spans="1:28" hidden="1">
      <c r="A933">
        <v>905</v>
      </c>
      <c r="B933">
        <v>3200</v>
      </c>
      <c r="C933" t="s">
        <v>469</v>
      </c>
      <c r="D933" t="s">
        <v>2102</v>
      </c>
      <c r="E933">
        <v>69</v>
      </c>
      <c r="G933" t="s">
        <v>260</v>
      </c>
      <c r="H933" t="s">
        <v>515</v>
      </c>
      <c r="I933" t="s">
        <v>1528</v>
      </c>
      <c r="J933" t="s">
        <v>469</v>
      </c>
      <c r="K933" t="s">
        <v>77</v>
      </c>
      <c r="M933" t="b">
        <v>1</v>
      </c>
      <c r="N933" t="s">
        <v>32</v>
      </c>
      <c r="O933" t="s">
        <v>33</v>
      </c>
      <c r="Q933">
        <v>114.52</v>
      </c>
      <c r="R933">
        <v>-1.9</v>
      </c>
      <c r="S933" t="s">
        <v>264</v>
      </c>
      <c r="T933">
        <v>36.799999999999997</v>
      </c>
      <c r="V933">
        <v>108.4</v>
      </c>
      <c r="W933">
        <v>77.8</v>
      </c>
      <c r="X933">
        <v>0.1</v>
      </c>
      <c r="Y933">
        <v>15.9</v>
      </c>
      <c r="Z933">
        <v>9770529</v>
      </c>
      <c r="AA933">
        <v>23.424075999999999</v>
      </c>
      <c r="AB933">
        <v>53.847817999999997</v>
      </c>
    </row>
    <row r="934" spans="1:28">
      <c r="A934">
        <v>905</v>
      </c>
      <c r="B934">
        <v>3200</v>
      </c>
      <c r="C934" t="s">
        <v>54</v>
      </c>
      <c r="D934" t="s">
        <v>2103</v>
      </c>
      <c r="E934">
        <v>73</v>
      </c>
      <c r="F934" t="str">
        <f>IF(E934&gt;=90,"90-100",IF(E934&gt;=80,"80-90",IF(E934&gt;=70,"70-80",IF(E934&gt;=60,"60-70",IF(E934&gt;=50,"50-60",IF(E934&gt;=40,"40-50",IF(E934&gt;=30,"30-40","20-30")))))))</f>
        <v>70-80</v>
      </c>
      <c r="G934" t="s">
        <v>38</v>
      </c>
      <c r="H934" t="s">
        <v>2104</v>
      </c>
      <c r="I934" t="s">
        <v>613</v>
      </c>
      <c r="J934" t="s">
        <v>54</v>
      </c>
      <c r="K934" t="s">
        <v>38</v>
      </c>
      <c r="L934" t="s">
        <v>2105</v>
      </c>
      <c r="M934" t="b">
        <v>1</v>
      </c>
      <c r="N934" t="s">
        <v>42</v>
      </c>
      <c r="O934" t="s">
        <v>4867</v>
      </c>
      <c r="P934" t="s">
        <v>2106</v>
      </c>
      <c r="Q934">
        <v>117.24</v>
      </c>
      <c r="R934">
        <v>7.5</v>
      </c>
      <c r="S934" t="s">
        <v>44</v>
      </c>
      <c r="T934">
        <v>88.2</v>
      </c>
      <c r="U934" t="str">
        <f>IF(T934&gt;=100,"above 100",IF(T934&gt;=80,"80-100",IF(T934&gt;=60,"60-80",IF(T934&gt;=40,"40-60",IF(T934&gt;=20,"20-60","0-20")))))</f>
        <v>80-100</v>
      </c>
      <c r="V934">
        <v>101.8</v>
      </c>
      <c r="W934">
        <v>78.5</v>
      </c>
      <c r="X934">
        <v>9.6</v>
      </c>
      <c r="Y934">
        <v>36.6</v>
      </c>
      <c r="Z934">
        <v>328239523</v>
      </c>
      <c r="AA934">
        <v>37.090240000000001</v>
      </c>
      <c r="AB934">
        <v>-95.712890999999999</v>
      </c>
    </row>
    <row r="935" spans="1:28" hidden="1">
      <c r="A935">
        <v>905</v>
      </c>
      <c r="B935">
        <v>3200</v>
      </c>
      <c r="C935" t="s">
        <v>101</v>
      </c>
      <c r="D935" t="s">
        <v>2107</v>
      </c>
      <c r="E935">
        <v>70</v>
      </c>
      <c r="G935" t="s">
        <v>38</v>
      </c>
      <c r="H935" t="s">
        <v>1029</v>
      </c>
      <c r="I935" t="s">
        <v>1492</v>
      </c>
      <c r="J935" t="s">
        <v>101</v>
      </c>
      <c r="K935" t="s">
        <v>203</v>
      </c>
      <c r="M935" t="b">
        <v>1</v>
      </c>
      <c r="N935" t="s">
        <v>32</v>
      </c>
      <c r="O935" t="s">
        <v>33</v>
      </c>
      <c r="Q935">
        <v>117.24</v>
      </c>
      <c r="R935">
        <v>7.5</v>
      </c>
      <c r="S935" t="s">
        <v>44</v>
      </c>
      <c r="T935">
        <v>88.2</v>
      </c>
      <c r="V935">
        <v>101.8</v>
      </c>
      <c r="W935">
        <v>78.5</v>
      </c>
      <c r="X935">
        <v>9.6</v>
      </c>
      <c r="Y935">
        <v>36.6</v>
      </c>
      <c r="Z935">
        <v>328239523</v>
      </c>
      <c r="AA935">
        <v>37.090240000000001</v>
      </c>
      <c r="AB935">
        <v>-95.712890999999999</v>
      </c>
    </row>
    <row r="936" spans="1:28" hidden="1">
      <c r="A936">
        <v>905</v>
      </c>
      <c r="B936">
        <v>3200</v>
      </c>
      <c r="C936" t="s">
        <v>308</v>
      </c>
      <c r="D936" t="s">
        <v>2108</v>
      </c>
      <c r="E936">
        <v>71</v>
      </c>
      <c r="G936" t="s">
        <v>148</v>
      </c>
      <c r="H936" t="s">
        <v>2109</v>
      </c>
      <c r="I936" t="s">
        <v>2110</v>
      </c>
      <c r="J936" t="s">
        <v>308</v>
      </c>
      <c r="K936" t="s">
        <v>148</v>
      </c>
      <c r="M936" t="b">
        <v>1</v>
      </c>
      <c r="N936" t="s">
        <v>32</v>
      </c>
      <c r="O936" t="s">
        <v>33</v>
      </c>
      <c r="Q936">
        <v>112.85</v>
      </c>
      <c r="R936">
        <v>1.4</v>
      </c>
      <c r="S936" t="s">
        <v>151</v>
      </c>
      <c r="T936">
        <v>70.2</v>
      </c>
      <c r="V936">
        <v>104</v>
      </c>
      <c r="W936">
        <v>80.900000000000006</v>
      </c>
      <c r="X936">
        <v>11.5</v>
      </c>
      <c r="Y936">
        <v>48.8</v>
      </c>
      <c r="Z936">
        <v>83132799</v>
      </c>
      <c r="AA936">
        <v>51.165691000000002</v>
      </c>
      <c r="AB936">
        <v>10.451525999999999</v>
      </c>
    </row>
    <row r="937" spans="1:28" hidden="1">
      <c r="A937">
        <v>905</v>
      </c>
      <c r="B937">
        <v>3200</v>
      </c>
      <c r="C937" t="s">
        <v>250</v>
      </c>
      <c r="D937" t="s">
        <v>2111</v>
      </c>
      <c r="E937">
        <v>84</v>
      </c>
      <c r="G937" t="s">
        <v>38</v>
      </c>
      <c r="H937" t="s">
        <v>484</v>
      </c>
      <c r="I937" t="s">
        <v>2112</v>
      </c>
      <c r="J937" t="s">
        <v>250</v>
      </c>
      <c r="K937" t="s">
        <v>38</v>
      </c>
      <c r="M937" t="b">
        <v>0</v>
      </c>
      <c r="N937" t="s">
        <v>42</v>
      </c>
      <c r="O937" t="s">
        <v>88</v>
      </c>
      <c r="Q937">
        <v>117.24</v>
      </c>
      <c r="R937">
        <v>7.5</v>
      </c>
      <c r="S937" t="s">
        <v>44</v>
      </c>
      <c r="T937">
        <v>88.2</v>
      </c>
      <c r="V937">
        <v>101.8</v>
      </c>
      <c r="W937">
        <v>78.5</v>
      </c>
      <c r="X937">
        <v>9.6</v>
      </c>
      <c r="Y937">
        <v>36.6</v>
      </c>
      <c r="Z937">
        <v>328239523</v>
      </c>
      <c r="AA937">
        <v>37.090240000000001</v>
      </c>
      <c r="AB937">
        <v>-95.712890999999999</v>
      </c>
    </row>
    <row r="938" spans="1:28" hidden="1">
      <c r="A938">
        <v>905</v>
      </c>
      <c r="B938">
        <v>3200</v>
      </c>
      <c r="C938" t="s">
        <v>217</v>
      </c>
      <c r="D938" t="s">
        <v>2113</v>
      </c>
      <c r="E938">
        <v>77</v>
      </c>
      <c r="G938" t="s">
        <v>164</v>
      </c>
      <c r="H938" t="s">
        <v>2114</v>
      </c>
      <c r="I938" t="s">
        <v>690</v>
      </c>
      <c r="J938" t="s">
        <v>217</v>
      </c>
      <c r="K938" t="s">
        <v>164</v>
      </c>
      <c r="M938" t="b">
        <v>0</v>
      </c>
      <c r="N938" t="s">
        <v>32</v>
      </c>
      <c r="O938" t="s">
        <v>88</v>
      </c>
      <c r="Q938">
        <v>110.62</v>
      </c>
      <c r="R938">
        <v>0.6</v>
      </c>
      <c r="S938" t="s">
        <v>539</v>
      </c>
      <c r="T938">
        <v>61.9</v>
      </c>
      <c r="V938">
        <v>101.9</v>
      </c>
      <c r="W938">
        <v>82.9</v>
      </c>
      <c r="X938">
        <v>24.3</v>
      </c>
      <c r="Y938">
        <v>59.1</v>
      </c>
      <c r="Z938">
        <v>60297396</v>
      </c>
      <c r="AA938">
        <v>41.871940000000002</v>
      </c>
      <c r="AB938">
        <v>12.56738</v>
      </c>
    </row>
    <row r="939" spans="1:28" hidden="1">
      <c r="A939">
        <v>905</v>
      </c>
      <c r="B939">
        <v>3200</v>
      </c>
      <c r="C939" t="s">
        <v>26</v>
      </c>
      <c r="D939" t="s">
        <v>2115</v>
      </c>
      <c r="E939">
        <v>60</v>
      </c>
      <c r="G939" t="s">
        <v>103</v>
      </c>
      <c r="H939" t="s">
        <v>143</v>
      </c>
      <c r="I939" t="s">
        <v>150</v>
      </c>
      <c r="J939" t="s">
        <v>26</v>
      </c>
      <c r="K939" t="s">
        <v>103</v>
      </c>
      <c r="M939" t="b">
        <v>1</v>
      </c>
      <c r="N939" t="s">
        <v>42</v>
      </c>
      <c r="O939" t="s">
        <v>33</v>
      </c>
      <c r="Q939">
        <v>125.08</v>
      </c>
      <c r="R939">
        <v>2.9</v>
      </c>
      <c r="S939" t="s">
        <v>106</v>
      </c>
      <c r="T939">
        <v>50.6</v>
      </c>
      <c r="V939">
        <v>100.2</v>
      </c>
      <c r="W939">
        <v>77</v>
      </c>
      <c r="X939">
        <v>9.4</v>
      </c>
      <c r="Y939">
        <v>59.2</v>
      </c>
      <c r="Z939">
        <v>1397715000</v>
      </c>
      <c r="AA939">
        <v>35.861660000000001</v>
      </c>
      <c r="AB939">
        <v>104.195397</v>
      </c>
    </row>
    <row r="940" spans="1:28" hidden="1">
      <c r="A940">
        <v>905</v>
      </c>
      <c r="B940">
        <v>3200</v>
      </c>
      <c r="C940" t="s">
        <v>54</v>
      </c>
      <c r="D940" t="s">
        <v>2116</v>
      </c>
      <c r="E940">
        <v>66</v>
      </c>
      <c r="G940" t="s">
        <v>38</v>
      </c>
      <c r="H940" t="s">
        <v>2117</v>
      </c>
      <c r="I940" t="s">
        <v>2118</v>
      </c>
      <c r="J940" t="s">
        <v>54</v>
      </c>
      <c r="K940" t="s">
        <v>38</v>
      </c>
      <c r="M940" t="b">
        <v>0</v>
      </c>
      <c r="N940" t="s">
        <v>32</v>
      </c>
      <c r="O940" t="s">
        <v>33</v>
      </c>
      <c r="Q940">
        <v>117.24</v>
      </c>
      <c r="R940">
        <v>7.5</v>
      </c>
      <c r="S940" t="s">
        <v>44</v>
      </c>
      <c r="T940">
        <v>88.2</v>
      </c>
      <c r="V940">
        <v>101.8</v>
      </c>
      <c r="W940">
        <v>78.5</v>
      </c>
      <c r="X940">
        <v>9.6</v>
      </c>
      <c r="Y940">
        <v>36.6</v>
      </c>
      <c r="Z940">
        <v>328239523</v>
      </c>
      <c r="AA940">
        <v>37.090240000000001</v>
      </c>
      <c r="AB940">
        <v>-95.712890999999999</v>
      </c>
    </row>
    <row r="941" spans="1:28" hidden="1">
      <c r="A941">
        <v>905</v>
      </c>
      <c r="B941">
        <v>3200</v>
      </c>
      <c r="C941" t="s">
        <v>288</v>
      </c>
      <c r="D941" t="s">
        <v>2119</v>
      </c>
      <c r="E941">
        <v>66</v>
      </c>
      <c r="G941" t="s">
        <v>38</v>
      </c>
      <c r="H941" t="s">
        <v>2120</v>
      </c>
      <c r="I941" t="s">
        <v>971</v>
      </c>
      <c r="J941" t="s">
        <v>288</v>
      </c>
      <c r="K941" t="s">
        <v>38</v>
      </c>
      <c r="M941" t="b">
        <v>0</v>
      </c>
      <c r="N941" t="s">
        <v>32</v>
      </c>
      <c r="O941" t="s">
        <v>88</v>
      </c>
      <c r="Q941">
        <v>117.24</v>
      </c>
      <c r="R941">
        <v>7.5</v>
      </c>
      <c r="S941" t="s">
        <v>44</v>
      </c>
      <c r="T941">
        <v>88.2</v>
      </c>
      <c r="V941">
        <v>101.8</v>
      </c>
      <c r="W941">
        <v>78.5</v>
      </c>
      <c r="X941">
        <v>9.6</v>
      </c>
      <c r="Y941">
        <v>36.6</v>
      </c>
      <c r="Z941">
        <v>328239523</v>
      </c>
      <c r="AA941">
        <v>37.090240000000001</v>
      </c>
      <c r="AB941">
        <v>-95.712890999999999</v>
      </c>
    </row>
    <row r="942" spans="1:28" hidden="1">
      <c r="A942">
        <v>905</v>
      </c>
      <c r="B942">
        <v>3200</v>
      </c>
      <c r="C942" t="s">
        <v>154</v>
      </c>
      <c r="D942" t="s">
        <v>2121</v>
      </c>
      <c r="E942">
        <v>52</v>
      </c>
      <c r="G942" t="s">
        <v>263</v>
      </c>
      <c r="H942" t="s">
        <v>274</v>
      </c>
      <c r="I942" t="s">
        <v>2122</v>
      </c>
      <c r="J942" t="s">
        <v>154</v>
      </c>
      <c r="K942" t="s">
        <v>263</v>
      </c>
      <c r="M942" t="b">
        <v>1</v>
      </c>
      <c r="N942" t="s">
        <v>853</v>
      </c>
      <c r="O942" t="s">
        <v>33</v>
      </c>
      <c r="Q942">
        <v>180.75</v>
      </c>
      <c r="R942">
        <v>4.5</v>
      </c>
      <c r="S942" t="s">
        <v>276</v>
      </c>
      <c r="T942">
        <v>81.900000000000006</v>
      </c>
      <c r="V942">
        <v>102.6</v>
      </c>
      <c r="W942">
        <v>72.7</v>
      </c>
      <c r="X942">
        <v>11.4</v>
      </c>
      <c r="Y942">
        <v>46.2</v>
      </c>
      <c r="Z942">
        <v>144373535</v>
      </c>
      <c r="AA942">
        <v>61.524009999999997</v>
      </c>
      <c r="AB942">
        <v>105.31875599999999</v>
      </c>
    </row>
    <row r="943" spans="1:28" hidden="1">
      <c r="A943">
        <v>905</v>
      </c>
      <c r="B943">
        <v>3200</v>
      </c>
      <c r="C943" t="s">
        <v>45</v>
      </c>
      <c r="D943" t="s">
        <v>2123</v>
      </c>
      <c r="E943">
        <v>48</v>
      </c>
      <c r="G943" t="s">
        <v>148</v>
      </c>
      <c r="H943" t="s">
        <v>722</v>
      </c>
      <c r="I943" t="s">
        <v>572</v>
      </c>
      <c r="J943" t="s">
        <v>45</v>
      </c>
      <c r="K943" t="s">
        <v>148</v>
      </c>
      <c r="M943" t="b">
        <v>0</v>
      </c>
      <c r="N943" t="s">
        <v>212</v>
      </c>
      <c r="O943" t="s">
        <v>33</v>
      </c>
      <c r="Q943">
        <v>112.85</v>
      </c>
      <c r="R943">
        <v>1.4</v>
      </c>
      <c r="S943" t="s">
        <v>151</v>
      </c>
      <c r="T943">
        <v>70.2</v>
      </c>
      <c r="V943">
        <v>104</v>
      </c>
      <c r="W943">
        <v>80.900000000000006</v>
      </c>
      <c r="X943">
        <v>11.5</v>
      </c>
      <c r="Y943">
        <v>48.8</v>
      </c>
      <c r="Z943">
        <v>83132799</v>
      </c>
      <c r="AA943">
        <v>51.165691000000002</v>
      </c>
      <c r="AB943">
        <v>10.451525999999999</v>
      </c>
    </row>
    <row r="944" spans="1:28" hidden="1">
      <c r="A944">
        <v>905</v>
      </c>
      <c r="B944">
        <v>3200</v>
      </c>
      <c r="C944" t="s">
        <v>45</v>
      </c>
      <c r="D944" t="s">
        <v>2124</v>
      </c>
      <c r="E944">
        <v>53</v>
      </c>
      <c r="G944" t="s">
        <v>148</v>
      </c>
      <c r="H944" t="s">
        <v>2125</v>
      </c>
      <c r="I944" t="s">
        <v>572</v>
      </c>
      <c r="J944" t="s">
        <v>45</v>
      </c>
      <c r="K944" t="s">
        <v>148</v>
      </c>
      <c r="M944" t="b">
        <v>0</v>
      </c>
      <c r="N944" t="s">
        <v>212</v>
      </c>
      <c r="O944" t="s">
        <v>33</v>
      </c>
      <c r="Q944">
        <v>112.85</v>
      </c>
      <c r="R944">
        <v>1.4</v>
      </c>
      <c r="S944" t="s">
        <v>151</v>
      </c>
      <c r="T944">
        <v>70.2</v>
      </c>
      <c r="V944">
        <v>104</v>
      </c>
      <c r="W944">
        <v>80.900000000000006</v>
      </c>
      <c r="X944">
        <v>11.5</v>
      </c>
      <c r="Y944">
        <v>48.8</v>
      </c>
      <c r="Z944">
        <v>83132799</v>
      </c>
      <c r="AA944">
        <v>51.165691000000002</v>
      </c>
      <c r="AB944">
        <v>10.451525999999999</v>
      </c>
    </row>
    <row r="945" spans="1:28" hidden="1">
      <c r="A945">
        <v>905</v>
      </c>
      <c r="B945">
        <v>3200</v>
      </c>
      <c r="C945" t="s">
        <v>54</v>
      </c>
      <c r="D945" t="s">
        <v>2126</v>
      </c>
      <c r="E945">
        <v>67</v>
      </c>
      <c r="G945" t="s">
        <v>38</v>
      </c>
      <c r="H945" t="s">
        <v>65</v>
      </c>
      <c r="I945" t="s">
        <v>2127</v>
      </c>
      <c r="J945" t="s">
        <v>54</v>
      </c>
      <c r="K945" t="s">
        <v>38</v>
      </c>
      <c r="M945" t="b">
        <v>1</v>
      </c>
      <c r="N945" t="s">
        <v>42</v>
      </c>
      <c r="O945" t="s">
        <v>33</v>
      </c>
      <c r="Q945">
        <v>117.24</v>
      </c>
      <c r="R945">
        <v>7.5</v>
      </c>
      <c r="S945" t="s">
        <v>44</v>
      </c>
      <c r="T945">
        <v>88.2</v>
      </c>
      <c r="V945">
        <v>101.8</v>
      </c>
      <c r="W945">
        <v>78.5</v>
      </c>
      <c r="X945">
        <v>9.6</v>
      </c>
      <c r="Y945">
        <v>36.6</v>
      </c>
      <c r="Z945">
        <v>328239523</v>
      </c>
      <c r="AA945">
        <v>37.090240000000001</v>
      </c>
      <c r="AB945">
        <v>-95.712890999999999</v>
      </c>
    </row>
    <row r="946" spans="1:28" hidden="1">
      <c r="A946">
        <v>905</v>
      </c>
      <c r="B946">
        <v>3200</v>
      </c>
      <c r="C946" t="s">
        <v>101</v>
      </c>
      <c r="D946" t="s">
        <v>2128</v>
      </c>
      <c r="E946">
        <v>67</v>
      </c>
      <c r="G946" t="s">
        <v>103</v>
      </c>
      <c r="H946" t="s">
        <v>2129</v>
      </c>
      <c r="I946" t="s">
        <v>2130</v>
      </c>
      <c r="J946" t="s">
        <v>101</v>
      </c>
      <c r="K946" t="s">
        <v>103</v>
      </c>
      <c r="M946" t="b">
        <v>1</v>
      </c>
      <c r="N946" t="s">
        <v>42</v>
      </c>
      <c r="O946" t="s">
        <v>33</v>
      </c>
      <c r="Q946">
        <v>125.08</v>
      </c>
      <c r="R946">
        <v>2.9</v>
      </c>
      <c r="S946" t="s">
        <v>106</v>
      </c>
      <c r="T946">
        <v>50.6</v>
      </c>
      <c r="V946">
        <v>100.2</v>
      </c>
      <c r="W946">
        <v>77</v>
      </c>
      <c r="X946">
        <v>9.4</v>
      </c>
      <c r="Y946">
        <v>59.2</v>
      </c>
      <c r="Z946">
        <v>1397715000</v>
      </c>
      <c r="AA946">
        <v>35.861660000000001</v>
      </c>
      <c r="AB946">
        <v>104.195397</v>
      </c>
    </row>
    <row r="947" spans="1:28">
      <c r="A947">
        <v>905</v>
      </c>
      <c r="B947">
        <v>3200</v>
      </c>
      <c r="C947" t="s">
        <v>179</v>
      </c>
      <c r="D947" t="s">
        <v>2131</v>
      </c>
      <c r="E947">
        <v>81</v>
      </c>
      <c r="F947" t="str">
        <f>IF(E947&gt;=90,"90-100",IF(E947&gt;=80,"80-90",IF(E947&gt;=70,"70-80",IF(E947&gt;=60,"60-70",IF(E947&gt;=50,"50-60",IF(E947&gt;=40,"40-50",IF(E947&gt;=30,"30-40","20-30")))))))</f>
        <v>80-90</v>
      </c>
      <c r="G947" t="s">
        <v>38</v>
      </c>
      <c r="H947" t="s">
        <v>257</v>
      </c>
      <c r="I947" t="s">
        <v>2132</v>
      </c>
      <c r="J947" t="s">
        <v>179</v>
      </c>
      <c r="K947" t="s">
        <v>38</v>
      </c>
      <c r="L947" t="s">
        <v>2133</v>
      </c>
      <c r="M947" t="b">
        <v>1</v>
      </c>
      <c r="N947" t="s">
        <v>42</v>
      </c>
      <c r="O947" t="s">
        <v>4867</v>
      </c>
      <c r="P947" t="s">
        <v>110</v>
      </c>
      <c r="Q947">
        <v>117.24</v>
      </c>
      <c r="R947">
        <v>7.5</v>
      </c>
      <c r="S947" t="s">
        <v>44</v>
      </c>
      <c r="T947">
        <v>88.2</v>
      </c>
      <c r="U947" t="str">
        <f>IF(T947&gt;=100,"above 100",IF(T947&gt;=80,"80-100",IF(T947&gt;=60,"60-80",IF(T947&gt;=40,"40-60",IF(T947&gt;=20,"20-60","0-20")))))</f>
        <v>80-100</v>
      </c>
      <c r="V947">
        <v>101.8</v>
      </c>
      <c r="W947">
        <v>78.5</v>
      </c>
      <c r="X947">
        <v>9.6</v>
      </c>
      <c r="Y947">
        <v>36.6</v>
      </c>
      <c r="Z947">
        <v>328239523</v>
      </c>
      <c r="AA947">
        <v>37.090240000000001</v>
      </c>
      <c r="AB947">
        <v>-95.712890999999999</v>
      </c>
    </row>
    <row r="948" spans="1:28" hidden="1">
      <c r="A948">
        <v>905</v>
      </c>
      <c r="B948">
        <v>3200</v>
      </c>
      <c r="C948" t="s">
        <v>179</v>
      </c>
      <c r="D948" t="s">
        <v>2134</v>
      </c>
      <c r="E948">
        <v>65</v>
      </c>
      <c r="G948" t="s">
        <v>38</v>
      </c>
      <c r="H948" t="s">
        <v>359</v>
      </c>
      <c r="I948" t="s">
        <v>1448</v>
      </c>
      <c r="J948" t="s">
        <v>179</v>
      </c>
      <c r="K948" t="s">
        <v>38</v>
      </c>
      <c r="M948" t="b">
        <v>1</v>
      </c>
      <c r="N948" t="s">
        <v>32</v>
      </c>
      <c r="O948" t="s">
        <v>33</v>
      </c>
      <c r="Q948">
        <v>117.24</v>
      </c>
      <c r="R948">
        <v>7.5</v>
      </c>
      <c r="S948" t="s">
        <v>44</v>
      </c>
      <c r="T948">
        <v>88.2</v>
      </c>
      <c r="V948">
        <v>101.8</v>
      </c>
      <c r="W948">
        <v>78.5</v>
      </c>
      <c r="X948">
        <v>9.6</v>
      </c>
      <c r="Y948">
        <v>36.6</v>
      </c>
      <c r="Z948">
        <v>328239523</v>
      </c>
      <c r="AA948">
        <v>37.090240000000001</v>
      </c>
      <c r="AB948">
        <v>-95.712890999999999</v>
      </c>
    </row>
    <row r="949" spans="1:28" hidden="1">
      <c r="A949">
        <v>905</v>
      </c>
      <c r="B949">
        <v>3200</v>
      </c>
      <c r="C949" t="s">
        <v>217</v>
      </c>
      <c r="D949" t="s">
        <v>2135</v>
      </c>
      <c r="E949">
        <v>87</v>
      </c>
      <c r="G949" t="s">
        <v>103</v>
      </c>
      <c r="H949" t="s">
        <v>687</v>
      </c>
      <c r="I949" t="s">
        <v>506</v>
      </c>
      <c r="J949" t="s">
        <v>217</v>
      </c>
      <c r="K949" t="s">
        <v>103</v>
      </c>
      <c r="M949" t="b">
        <v>1</v>
      </c>
      <c r="N949" t="s">
        <v>42</v>
      </c>
      <c r="O949" t="s">
        <v>33</v>
      </c>
      <c r="Q949">
        <v>125.08</v>
      </c>
      <c r="R949">
        <v>2.9</v>
      </c>
      <c r="S949" t="s">
        <v>106</v>
      </c>
      <c r="T949">
        <v>50.6</v>
      </c>
      <c r="V949">
        <v>100.2</v>
      </c>
      <c r="W949">
        <v>77</v>
      </c>
      <c r="X949">
        <v>9.4</v>
      </c>
      <c r="Y949">
        <v>59.2</v>
      </c>
      <c r="Z949">
        <v>1397715000</v>
      </c>
      <c r="AA949">
        <v>35.861660000000001</v>
      </c>
      <c r="AB949">
        <v>104.195397</v>
      </c>
    </row>
    <row r="950" spans="1:28" hidden="1">
      <c r="A950">
        <v>949</v>
      </c>
      <c r="B950">
        <v>3100</v>
      </c>
      <c r="C950" t="s">
        <v>217</v>
      </c>
      <c r="D950" t="s">
        <v>2136</v>
      </c>
      <c r="E950">
        <v>76</v>
      </c>
      <c r="G950" t="s">
        <v>103</v>
      </c>
      <c r="H950" t="s">
        <v>2137</v>
      </c>
      <c r="I950" t="s">
        <v>506</v>
      </c>
      <c r="J950" t="s">
        <v>217</v>
      </c>
      <c r="K950" t="s">
        <v>172</v>
      </c>
      <c r="M950" t="b">
        <v>1</v>
      </c>
      <c r="N950" t="s">
        <v>42</v>
      </c>
      <c r="O950" t="s">
        <v>33</v>
      </c>
      <c r="Q950">
        <v>125.08</v>
      </c>
      <c r="R950">
        <v>2.9</v>
      </c>
      <c r="S950" t="s">
        <v>106</v>
      </c>
      <c r="T950">
        <v>50.6</v>
      </c>
      <c r="V950">
        <v>100.2</v>
      </c>
      <c r="W950">
        <v>77</v>
      </c>
      <c r="X950">
        <v>9.4</v>
      </c>
      <c r="Y950">
        <v>59.2</v>
      </c>
      <c r="Z950">
        <v>1397715000</v>
      </c>
      <c r="AA950">
        <v>35.861660000000001</v>
      </c>
      <c r="AB950">
        <v>104.195397</v>
      </c>
    </row>
    <row r="951" spans="1:28" hidden="1">
      <c r="A951">
        <v>949</v>
      </c>
      <c r="B951">
        <v>3100</v>
      </c>
      <c r="C951" t="s">
        <v>179</v>
      </c>
      <c r="D951" t="s">
        <v>2138</v>
      </c>
      <c r="E951">
        <v>53</v>
      </c>
      <c r="G951" t="s">
        <v>203</v>
      </c>
      <c r="H951" t="s">
        <v>2139</v>
      </c>
      <c r="I951" t="s">
        <v>976</v>
      </c>
      <c r="J951" t="s">
        <v>179</v>
      </c>
      <c r="K951" t="s">
        <v>203</v>
      </c>
      <c r="M951" t="b">
        <v>1</v>
      </c>
      <c r="N951" t="s">
        <v>32</v>
      </c>
      <c r="O951" t="s">
        <v>33</v>
      </c>
      <c r="Q951">
        <v>119.62</v>
      </c>
      <c r="R951">
        <v>1.7</v>
      </c>
      <c r="S951" t="s">
        <v>206</v>
      </c>
      <c r="T951">
        <v>60</v>
      </c>
      <c r="V951">
        <v>101.2</v>
      </c>
      <c r="W951">
        <v>81.3</v>
      </c>
      <c r="X951">
        <v>25.5</v>
      </c>
      <c r="Y951">
        <v>30.6</v>
      </c>
      <c r="Z951">
        <v>66834405</v>
      </c>
      <c r="AA951">
        <v>55.378050999999999</v>
      </c>
      <c r="AB951">
        <v>-3.4359730000000002</v>
      </c>
    </row>
    <row r="952" spans="1:28" hidden="1">
      <c r="A952">
        <v>949</v>
      </c>
      <c r="B952">
        <v>3100</v>
      </c>
      <c r="C952" t="s">
        <v>54</v>
      </c>
      <c r="D952" t="s">
        <v>2140</v>
      </c>
      <c r="E952">
        <v>37</v>
      </c>
      <c r="G952" t="s">
        <v>38</v>
      </c>
      <c r="H952" t="s">
        <v>1202</v>
      </c>
      <c r="I952" t="s">
        <v>231</v>
      </c>
      <c r="J952" t="s">
        <v>54</v>
      </c>
      <c r="K952" t="s">
        <v>127</v>
      </c>
      <c r="M952" t="b">
        <v>1</v>
      </c>
      <c r="N952" t="s">
        <v>32</v>
      </c>
      <c r="O952" t="s">
        <v>33</v>
      </c>
      <c r="Q952">
        <v>117.24</v>
      </c>
      <c r="R952">
        <v>7.5</v>
      </c>
      <c r="S952" t="s">
        <v>44</v>
      </c>
      <c r="T952">
        <v>88.2</v>
      </c>
      <c r="V952">
        <v>101.8</v>
      </c>
      <c r="W952">
        <v>78.5</v>
      </c>
      <c r="X952">
        <v>9.6</v>
      </c>
      <c r="Y952">
        <v>36.6</v>
      </c>
      <c r="Z952">
        <v>328239523</v>
      </c>
      <c r="AA952">
        <v>37.090240000000001</v>
      </c>
      <c r="AB952">
        <v>-95.712890999999999</v>
      </c>
    </row>
    <row r="953" spans="1:28" hidden="1">
      <c r="A953">
        <v>949</v>
      </c>
      <c r="B953">
        <v>3100</v>
      </c>
      <c r="C953" t="s">
        <v>101</v>
      </c>
      <c r="D953" t="s">
        <v>2141</v>
      </c>
      <c r="E953">
        <v>55</v>
      </c>
      <c r="G953" t="s">
        <v>103</v>
      </c>
      <c r="H953" t="s">
        <v>521</v>
      </c>
      <c r="I953" t="s">
        <v>1990</v>
      </c>
      <c r="J953" t="s">
        <v>101</v>
      </c>
      <c r="K953" t="s">
        <v>103</v>
      </c>
      <c r="M953" t="b">
        <v>1</v>
      </c>
      <c r="N953" t="s">
        <v>32</v>
      </c>
      <c r="O953" t="s">
        <v>33</v>
      </c>
      <c r="Q953">
        <v>125.08</v>
      </c>
      <c r="R953">
        <v>2.9</v>
      </c>
      <c r="S953" t="s">
        <v>106</v>
      </c>
      <c r="T953">
        <v>50.6</v>
      </c>
      <c r="V953">
        <v>100.2</v>
      </c>
      <c r="W953">
        <v>77</v>
      </c>
      <c r="X953">
        <v>9.4</v>
      </c>
      <c r="Y953">
        <v>59.2</v>
      </c>
      <c r="Z953">
        <v>1397715000</v>
      </c>
      <c r="AA953">
        <v>35.861660000000001</v>
      </c>
      <c r="AB953">
        <v>104.195397</v>
      </c>
    </row>
    <row r="954" spans="1:28" hidden="1">
      <c r="A954">
        <v>949</v>
      </c>
      <c r="B954">
        <v>3100</v>
      </c>
      <c r="C954" t="s">
        <v>217</v>
      </c>
      <c r="D954" t="s">
        <v>2142</v>
      </c>
      <c r="E954">
        <v>72</v>
      </c>
      <c r="G954" t="s">
        <v>77</v>
      </c>
      <c r="H954" t="s">
        <v>248</v>
      </c>
      <c r="I954" t="s">
        <v>450</v>
      </c>
      <c r="J954" t="s">
        <v>217</v>
      </c>
      <c r="K954" t="s">
        <v>77</v>
      </c>
      <c r="M954" t="b">
        <v>1</v>
      </c>
      <c r="N954" t="s">
        <v>42</v>
      </c>
      <c r="O954" t="s">
        <v>33</v>
      </c>
      <c r="Q954">
        <v>180.44</v>
      </c>
      <c r="R954">
        <v>7.7</v>
      </c>
      <c r="S954" t="s">
        <v>81</v>
      </c>
      <c r="T954">
        <v>28.1</v>
      </c>
      <c r="V954">
        <v>113</v>
      </c>
      <c r="W954">
        <v>69.400000000000006</v>
      </c>
      <c r="X954">
        <v>11.2</v>
      </c>
      <c r="Y954">
        <v>49.7</v>
      </c>
      <c r="Z954">
        <v>1366417754</v>
      </c>
      <c r="AA954">
        <v>20.593684</v>
      </c>
      <c r="AB954">
        <v>78.962879999999998</v>
      </c>
    </row>
    <row r="955" spans="1:28" hidden="1">
      <c r="A955">
        <v>949</v>
      </c>
      <c r="B955">
        <v>3100</v>
      </c>
      <c r="C955" t="s">
        <v>217</v>
      </c>
      <c r="D955" t="s">
        <v>2143</v>
      </c>
      <c r="E955">
        <v>75</v>
      </c>
      <c r="G955" t="s">
        <v>77</v>
      </c>
      <c r="H955" t="s">
        <v>248</v>
      </c>
      <c r="I955" t="s">
        <v>450</v>
      </c>
      <c r="J955" t="s">
        <v>217</v>
      </c>
      <c r="K955" t="s">
        <v>77</v>
      </c>
      <c r="M955" t="b">
        <v>1</v>
      </c>
      <c r="N955" t="s">
        <v>42</v>
      </c>
      <c r="O955" t="s">
        <v>33</v>
      </c>
      <c r="Q955">
        <v>180.44</v>
      </c>
      <c r="R955">
        <v>7.7</v>
      </c>
      <c r="S955" t="s">
        <v>81</v>
      </c>
      <c r="T955">
        <v>28.1</v>
      </c>
      <c r="V955">
        <v>113</v>
      </c>
      <c r="W955">
        <v>69.400000000000006</v>
      </c>
      <c r="X955">
        <v>11.2</v>
      </c>
      <c r="Y955">
        <v>49.7</v>
      </c>
      <c r="Z955">
        <v>1366417754</v>
      </c>
      <c r="AA955">
        <v>20.593684</v>
      </c>
      <c r="AB955">
        <v>78.962879999999998</v>
      </c>
    </row>
    <row r="956" spans="1:28" hidden="1">
      <c r="A956">
        <v>949</v>
      </c>
      <c r="B956">
        <v>3100</v>
      </c>
      <c r="C956" t="s">
        <v>54</v>
      </c>
      <c r="D956" t="s">
        <v>2144</v>
      </c>
      <c r="E956">
        <v>77</v>
      </c>
      <c r="G956" t="s">
        <v>156</v>
      </c>
      <c r="H956" t="s">
        <v>2145</v>
      </c>
      <c r="I956" t="s">
        <v>231</v>
      </c>
      <c r="J956" t="s">
        <v>54</v>
      </c>
      <c r="K956" t="s">
        <v>156</v>
      </c>
      <c r="M956" t="b">
        <v>1</v>
      </c>
      <c r="N956" t="s">
        <v>42</v>
      </c>
      <c r="O956" t="s">
        <v>33</v>
      </c>
      <c r="Q956">
        <v>99.55</v>
      </c>
      <c r="R956">
        <v>0.4</v>
      </c>
      <c r="S956" t="s">
        <v>159</v>
      </c>
      <c r="T956">
        <v>59.6</v>
      </c>
      <c r="V956">
        <v>105.2</v>
      </c>
      <c r="W956">
        <v>83.6</v>
      </c>
      <c r="X956">
        <v>10.1</v>
      </c>
      <c r="Y956">
        <v>28.8</v>
      </c>
      <c r="Z956">
        <v>8574832</v>
      </c>
      <c r="AA956">
        <v>46.818187999999999</v>
      </c>
      <c r="AB956">
        <v>8.2275120000000008</v>
      </c>
    </row>
    <row r="957" spans="1:28" hidden="1">
      <c r="A957">
        <v>949</v>
      </c>
      <c r="B957">
        <v>3100</v>
      </c>
      <c r="C957" t="s">
        <v>217</v>
      </c>
      <c r="D957" t="s">
        <v>2146</v>
      </c>
      <c r="E957">
        <v>85</v>
      </c>
      <c r="G957" t="s">
        <v>28</v>
      </c>
      <c r="H957" t="s">
        <v>29</v>
      </c>
      <c r="I957" t="s">
        <v>1759</v>
      </c>
      <c r="J957" t="s">
        <v>217</v>
      </c>
      <c r="K957" t="s">
        <v>28</v>
      </c>
      <c r="M957" t="b">
        <v>1</v>
      </c>
      <c r="N957" t="s">
        <v>42</v>
      </c>
      <c r="O957" t="s">
        <v>33</v>
      </c>
      <c r="Q957">
        <v>110.05</v>
      </c>
      <c r="R957">
        <v>1.1000000000000001</v>
      </c>
      <c r="S957" t="s">
        <v>35</v>
      </c>
      <c r="T957">
        <v>65.599999999999994</v>
      </c>
      <c r="V957">
        <v>102.5</v>
      </c>
      <c r="W957">
        <v>82.5</v>
      </c>
      <c r="X957">
        <v>24.2</v>
      </c>
      <c r="Y957">
        <v>60.7</v>
      </c>
      <c r="Z957">
        <v>67059887</v>
      </c>
      <c r="AA957">
        <v>46.227637999999999</v>
      </c>
      <c r="AB957">
        <v>2.213749</v>
      </c>
    </row>
    <row r="958" spans="1:28" hidden="1">
      <c r="A958">
        <v>949</v>
      </c>
      <c r="B958">
        <v>3100</v>
      </c>
      <c r="C958" t="s">
        <v>221</v>
      </c>
      <c r="D958" t="s">
        <v>2147</v>
      </c>
      <c r="E958">
        <v>50</v>
      </c>
      <c r="G958" t="s">
        <v>263</v>
      </c>
      <c r="H958" t="s">
        <v>274</v>
      </c>
      <c r="I958" t="s">
        <v>223</v>
      </c>
      <c r="J958" t="s">
        <v>221</v>
      </c>
      <c r="K958" t="s">
        <v>263</v>
      </c>
      <c r="M958" t="b">
        <v>1</v>
      </c>
      <c r="N958" t="s">
        <v>32</v>
      </c>
      <c r="O958" t="s">
        <v>33</v>
      </c>
      <c r="Q958">
        <v>180.75</v>
      </c>
      <c r="R958">
        <v>4.5</v>
      </c>
      <c r="S958" t="s">
        <v>276</v>
      </c>
      <c r="T958">
        <v>81.900000000000006</v>
      </c>
      <c r="V958">
        <v>102.6</v>
      </c>
      <c r="W958">
        <v>72.7</v>
      </c>
      <c r="X958">
        <v>11.4</v>
      </c>
      <c r="Y958">
        <v>46.2</v>
      </c>
      <c r="Z958">
        <v>144373535</v>
      </c>
      <c r="AA958">
        <v>61.524009999999997</v>
      </c>
      <c r="AB958">
        <v>105.31875599999999</v>
      </c>
    </row>
    <row r="959" spans="1:28" hidden="1">
      <c r="A959">
        <v>949</v>
      </c>
      <c r="B959">
        <v>3100</v>
      </c>
      <c r="C959" t="s">
        <v>63</v>
      </c>
      <c r="D959" t="s">
        <v>2148</v>
      </c>
      <c r="E959">
        <v>46</v>
      </c>
      <c r="G959" t="s">
        <v>38</v>
      </c>
      <c r="H959" t="s">
        <v>2149</v>
      </c>
      <c r="I959" t="s">
        <v>2150</v>
      </c>
      <c r="J959" t="s">
        <v>63</v>
      </c>
      <c r="K959" t="s">
        <v>38</v>
      </c>
      <c r="M959" t="b">
        <v>1</v>
      </c>
      <c r="N959" t="s">
        <v>42</v>
      </c>
      <c r="O959" t="s">
        <v>33</v>
      </c>
      <c r="Q959">
        <v>117.24</v>
      </c>
      <c r="R959">
        <v>7.5</v>
      </c>
      <c r="S959" t="s">
        <v>44</v>
      </c>
      <c r="T959">
        <v>88.2</v>
      </c>
      <c r="V959">
        <v>101.8</v>
      </c>
      <c r="W959">
        <v>78.5</v>
      </c>
      <c r="X959">
        <v>9.6</v>
      </c>
      <c r="Y959">
        <v>36.6</v>
      </c>
      <c r="Z959">
        <v>328239523</v>
      </c>
      <c r="AA959">
        <v>37.090240000000001</v>
      </c>
      <c r="AB959">
        <v>-95.712890999999999</v>
      </c>
    </row>
    <row r="960" spans="1:28">
      <c r="A960">
        <v>949</v>
      </c>
      <c r="B960">
        <v>3100</v>
      </c>
      <c r="C960" t="s">
        <v>45</v>
      </c>
      <c r="D960" t="s">
        <v>2151</v>
      </c>
      <c r="E960">
        <v>62</v>
      </c>
      <c r="F960" t="str">
        <f>IF(E960&gt;=90,"90-100",IF(E960&gt;=80,"80-90",IF(E960&gt;=70,"70-80",IF(E960&gt;=60,"60-70",IF(E960&gt;=50,"50-60",IF(E960&gt;=40,"40-50",IF(E960&gt;=30,"30-40","20-30")))))))</f>
        <v>60-70</v>
      </c>
      <c r="G960" t="s">
        <v>38</v>
      </c>
      <c r="H960" t="s">
        <v>2152</v>
      </c>
      <c r="I960" t="s">
        <v>2153</v>
      </c>
      <c r="J960" t="s">
        <v>45</v>
      </c>
      <c r="K960" t="s">
        <v>38</v>
      </c>
      <c r="L960" t="s">
        <v>2153</v>
      </c>
      <c r="M960" t="b">
        <v>1</v>
      </c>
      <c r="N960" t="s">
        <v>42</v>
      </c>
      <c r="O960" t="s">
        <v>4867</v>
      </c>
      <c r="P960" t="s">
        <v>43</v>
      </c>
      <c r="Q960">
        <v>117.24</v>
      </c>
      <c r="R960">
        <v>7.5</v>
      </c>
      <c r="S960" t="s">
        <v>44</v>
      </c>
      <c r="T960">
        <v>88.2</v>
      </c>
      <c r="U960" t="str">
        <f>IF(T960&gt;=100,"above 100",IF(T960&gt;=80,"80-100",IF(T960&gt;=60,"60-80",IF(T960&gt;=40,"40-60",IF(T960&gt;=20,"20-60","0-20")))))</f>
        <v>80-100</v>
      </c>
      <c r="V960">
        <v>101.8</v>
      </c>
      <c r="W960">
        <v>78.5</v>
      </c>
      <c r="X960">
        <v>9.6</v>
      </c>
      <c r="Y960">
        <v>36.6</v>
      </c>
      <c r="Z960">
        <v>328239523</v>
      </c>
      <c r="AA960">
        <v>37.090240000000001</v>
      </c>
      <c r="AB960">
        <v>-95.712890999999999</v>
      </c>
    </row>
    <row r="961" spans="1:28" hidden="1">
      <c r="A961">
        <v>949</v>
      </c>
      <c r="B961">
        <v>3100</v>
      </c>
      <c r="C961" t="s">
        <v>308</v>
      </c>
      <c r="D961" t="s">
        <v>2154</v>
      </c>
      <c r="E961">
        <v>82</v>
      </c>
      <c r="G961" t="s">
        <v>156</v>
      </c>
      <c r="H961" t="s">
        <v>1251</v>
      </c>
      <c r="I961" t="s">
        <v>2155</v>
      </c>
      <c r="J961" t="s">
        <v>308</v>
      </c>
      <c r="K961" t="s">
        <v>397</v>
      </c>
      <c r="M961" t="b">
        <v>1</v>
      </c>
      <c r="N961" t="s">
        <v>42</v>
      </c>
      <c r="O961" t="s">
        <v>33</v>
      </c>
      <c r="Q961">
        <v>99.55</v>
      </c>
      <c r="R961">
        <v>0.4</v>
      </c>
      <c r="S961" t="s">
        <v>159</v>
      </c>
      <c r="T961">
        <v>59.6</v>
      </c>
      <c r="V961">
        <v>105.2</v>
      </c>
      <c r="W961">
        <v>83.6</v>
      </c>
      <c r="X961">
        <v>10.1</v>
      </c>
      <c r="Y961">
        <v>28.8</v>
      </c>
      <c r="Z961">
        <v>8574832</v>
      </c>
      <c r="AA961">
        <v>46.818187999999999</v>
      </c>
      <c r="AB961">
        <v>8.2275120000000008</v>
      </c>
    </row>
    <row r="962" spans="1:28" hidden="1">
      <c r="A962">
        <v>949</v>
      </c>
      <c r="B962">
        <v>3100</v>
      </c>
      <c r="C962" t="s">
        <v>26</v>
      </c>
      <c r="D962" t="s">
        <v>2156</v>
      </c>
      <c r="E962">
        <v>73</v>
      </c>
      <c r="G962" t="s">
        <v>384</v>
      </c>
      <c r="H962" t="s">
        <v>2157</v>
      </c>
      <c r="I962" t="s">
        <v>2158</v>
      </c>
      <c r="J962" t="s">
        <v>26</v>
      </c>
      <c r="K962" t="s">
        <v>384</v>
      </c>
      <c r="M962" t="b">
        <v>1</v>
      </c>
      <c r="N962" t="s">
        <v>42</v>
      </c>
      <c r="O962" t="s">
        <v>33</v>
      </c>
      <c r="Q962">
        <v>167.4</v>
      </c>
      <c r="R962">
        <v>3.7</v>
      </c>
      <c r="S962" t="s">
        <v>563</v>
      </c>
      <c r="T962">
        <v>51.3</v>
      </c>
      <c r="V962">
        <v>115.4</v>
      </c>
      <c r="W962">
        <v>75.7</v>
      </c>
      <c r="X962">
        <v>14.2</v>
      </c>
      <c r="Y962">
        <v>65.099999999999994</v>
      </c>
      <c r="Z962">
        <v>212559417</v>
      </c>
      <c r="AA962">
        <v>-14.235004</v>
      </c>
      <c r="AB962">
        <v>-51.925280000000001</v>
      </c>
    </row>
    <row r="963" spans="1:28" hidden="1">
      <c r="A963">
        <v>949</v>
      </c>
      <c r="B963">
        <v>3100</v>
      </c>
      <c r="C963" t="s">
        <v>217</v>
      </c>
      <c r="D963" t="s">
        <v>2159</v>
      </c>
      <c r="E963">
        <v>73</v>
      </c>
      <c r="G963" t="s">
        <v>395</v>
      </c>
      <c r="H963" t="s">
        <v>395</v>
      </c>
      <c r="I963" t="s">
        <v>2160</v>
      </c>
      <c r="J963" t="s">
        <v>217</v>
      </c>
      <c r="K963" t="s">
        <v>395</v>
      </c>
      <c r="M963" t="b">
        <v>0</v>
      </c>
      <c r="N963" t="s">
        <v>42</v>
      </c>
      <c r="O963" t="s">
        <v>33</v>
      </c>
      <c r="Q963">
        <v>114.41</v>
      </c>
      <c r="R963">
        <v>0.6</v>
      </c>
      <c r="S963" t="s">
        <v>451</v>
      </c>
      <c r="T963">
        <v>84.8</v>
      </c>
      <c r="V963">
        <v>100.6</v>
      </c>
      <c r="W963">
        <v>83.1</v>
      </c>
      <c r="X963">
        <v>13.1</v>
      </c>
      <c r="Y963">
        <v>21</v>
      </c>
      <c r="Z963">
        <v>5703569</v>
      </c>
      <c r="AA963">
        <v>1.3520829999999999</v>
      </c>
      <c r="AB963">
        <v>103.819836</v>
      </c>
    </row>
    <row r="964" spans="1:28" hidden="1">
      <c r="A964">
        <v>949</v>
      </c>
      <c r="B964">
        <v>3100</v>
      </c>
      <c r="C964" t="s">
        <v>26</v>
      </c>
      <c r="D964" t="s">
        <v>2161</v>
      </c>
      <c r="E964">
        <v>52</v>
      </c>
      <c r="G964" t="s">
        <v>38</v>
      </c>
      <c r="H964" t="s">
        <v>65</v>
      </c>
      <c r="I964" t="s">
        <v>316</v>
      </c>
      <c r="J964" t="s">
        <v>26</v>
      </c>
      <c r="K964" t="s">
        <v>38</v>
      </c>
      <c r="M964" t="b">
        <v>0</v>
      </c>
      <c r="N964" t="s">
        <v>42</v>
      </c>
      <c r="O964" t="s">
        <v>88</v>
      </c>
      <c r="Q964">
        <v>117.24</v>
      </c>
      <c r="R964">
        <v>7.5</v>
      </c>
      <c r="S964" t="s">
        <v>44</v>
      </c>
      <c r="T964">
        <v>88.2</v>
      </c>
      <c r="V964">
        <v>101.8</v>
      </c>
      <c r="W964">
        <v>78.5</v>
      </c>
      <c r="X964">
        <v>9.6</v>
      </c>
      <c r="Y964">
        <v>36.6</v>
      </c>
      <c r="Z964">
        <v>328239523</v>
      </c>
      <c r="AA964">
        <v>37.090240000000001</v>
      </c>
      <c r="AB964">
        <v>-95.712890999999999</v>
      </c>
    </row>
    <row r="965" spans="1:28" hidden="1">
      <c r="A965">
        <v>949</v>
      </c>
      <c r="B965">
        <v>3100</v>
      </c>
      <c r="C965" t="s">
        <v>101</v>
      </c>
      <c r="D965" t="s">
        <v>2162</v>
      </c>
      <c r="E965">
        <v>90</v>
      </c>
      <c r="G965" t="s">
        <v>38</v>
      </c>
      <c r="H965" t="s">
        <v>2163</v>
      </c>
      <c r="I965" t="s">
        <v>2164</v>
      </c>
      <c r="J965" t="s">
        <v>101</v>
      </c>
      <c r="K965" t="s">
        <v>38</v>
      </c>
      <c r="M965" t="b">
        <v>1</v>
      </c>
      <c r="N965" t="s">
        <v>32</v>
      </c>
      <c r="O965" t="s">
        <v>33</v>
      </c>
      <c r="Q965">
        <v>117.24</v>
      </c>
      <c r="R965">
        <v>7.5</v>
      </c>
      <c r="S965" t="s">
        <v>44</v>
      </c>
      <c r="T965">
        <v>88.2</v>
      </c>
      <c r="V965">
        <v>101.8</v>
      </c>
      <c r="W965">
        <v>78.5</v>
      </c>
      <c r="X965">
        <v>9.6</v>
      </c>
      <c r="Y965">
        <v>36.6</v>
      </c>
      <c r="Z965">
        <v>328239523</v>
      </c>
      <c r="AA965">
        <v>37.090240000000001</v>
      </c>
      <c r="AB965">
        <v>-95.712890999999999</v>
      </c>
    </row>
    <row r="966" spans="1:28" hidden="1">
      <c r="A966">
        <v>949</v>
      </c>
      <c r="B966">
        <v>3100</v>
      </c>
      <c r="C966" t="s">
        <v>217</v>
      </c>
      <c r="D966" t="s">
        <v>2165</v>
      </c>
      <c r="E966">
        <v>71</v>
      </c>
      <c r="G966" t="s">
        <v>172</v>
      </c>
      <c r="H966" t="s">
        <v>172</v>
      </c>
      <c r="I966" t="s">
        <v>1749</v>
      </c>
      <c r="J966" t="s">
        <v>217</v>
      </c>
      <c r="K966" t="s">
        <v>103</v>
      </c>
      <c r="M966" t="b">
        <v>1</v>
      </c>
      <c r="N966" t="s">
        <v>42</v>
      </c>
      <c r="O966" t="s">
        <v>33</v>
      </c>
    </row>
    <row r="967" spans="1:28" hidden="1">
      <c r="A967">
        <v>949</v>
      </c>
      <c r="B967">
        <v>3100</v>
      </c>
      <c r="C967" t="s">
        <v>217</v>
      </c>
      <c r="D967" t="s">
        <v>2166</v>
      </c>
      <c r="E967">
        <v>67</v>
      </c>
      <c r="G967" t="s">
        <v>263</v>
      </c>
      <c r="H967" t="s">
        <v>1286</v>
      </c>
      <c r="I967" t="s">
        <v>2167</v>
      </c>
      <c r="J967" t="s">
        <v>217</v>
      </c>
      <c r="K967" t="s">
        <v>263</v>
      </c>
      <c r="M967" t="b">
        <v>1</v>
      </c>
      <c r="N967" t="s">
        <v>853</v>
      </c>
      <c r="O967" t="s">
        <v>33</v>
      </c>
      <c r="Q967">
        <v>180.75</v>
      </c>
      <c r="R967">
        <v>4.5</v>
      </c>
      <c r="S967" t="s">
        <v>276</v>
      </c>
      <c r="T967">
        <v>81.900000000000006</v>
      </c>
      <c r="V967">
        <v>102.6</v>
      </c>
      <c r="W967">
        <v>72.7</v>
      </c>
      <c r="X967">
        <v>11.4</v>
      </c>
      <c r="Y967">
        <v>46.2</v>
      </c>
      <c r="Z967">
        <v>144373535</v>
      </c>
      <c r="AA967">
        <v>61.524009999999997</v>
      </c>
      <c r="AB967">
        <v>105.31875599999999</v>
      </c>
    </row>
    <row r="968" spans="1:28" hidden="1">
      <c r="A968">
        <v>949</v>
      </c>
      <c r="B968">
        <v>3100</v>
      </c>
      <c r="C968" t="s">
        <v>236</v>
      </c>
      <c r="D968" t="s">
        <v>2168</v>
      </c>
      <c r="E968">
        <v>59</v>
      </c>
      <c r="G968" t="s">
        <v>156</v>
      </c>
      <c r="H968" t="s">
        <v>2169</v>
      </c>
      <c r="I968" t="s">
        <v>2097</v>
      </c>
      <c r="J968" t="s">
        <v>236</v>
      </c>
      <c r="K968" t="s">
        <v>95</v>
      </c>
      <c r="M968" t="b">
        <v>1</v>
      </c>
      <c r="N968" t="s">
        <v>42</v>
      </c>
      <c r="O968" t="s">
        <v>33</v>
      </c>
      <c r="Q968">
        <v>99.55</v>
      </c>
      <c r="R968">
        <v>0.4</v>
      </c>
      <c r="S968" t="s">
        <v>159</v>
      </c>
      <c r="T968">
        <v>59.6</v>
      </c>
      <c r="V968">
        <v>105.2</v>
      </c>
      <c r="W968">
        <v>83.6</v>
      </c>
      <c r="X968">
        <v>10.1</v>
      </c>
      <c r="Y968">
        <v>28.8</v>
      </c>
      <c r="Z968">
        <v>8574832</v>
      </c>
      <c r="AA968">
        <v>46.818187999999999</v>
      </c>
      <c r="AB968">
        <v>8.2275120000000008</v>
      </c>
    </row>
    <row r="969" spans="1:28" hidden="1">
      <c r="A969">
        <v>949</v>
      </c>
      <c r="B969">
        <v>3100</v>
      </c>
      <c r="C969" t="s">
        <v>26</v>
      </c>
      <c r="D969" t="s">
        <v>2170</v>
      </c>
      <c r="E969">
        <v>46</v>
      </c>
      <c r="G969" t="s">
        <v>77</v>
      </c>
      <c r="H969" t="s">
        <v>882</v>
      </c>
      <c r="I969" t="s">
        <v>2171</v>
      </c>
      <c r="J969" t="s">
        <v>26</v>
      </c>
      <c r="K969" t="s">
        <v>77</v>
      </c>
      <c r="M969" t="b">
        <v>1</v>
      </c>
      <c r="N969" t="s">
        <v>32</v>
      </c>
      <c r="O969" t="s">
        <v>33</v>
      </c>
      <c r="Q969">
        <v>180.44</v>
      </c>
      <c r="R969">
        <v>7.7</v>
      </c>
      <c r="S969" t="s">
        <v>81</v>
      </c>
      <c r="T969">
        <v>28.1</v>
      </c>
      <c r="V969">
        <v>113</v>
      </c>
      <c r="W969">
        <v>69.400000000000006</v>
      </c>
      <c r="X969">
        <v>11.2</v>
      </c>
      <c r="Y969">
        <v>49.7</v>
      </c>
      <c r="Z969">
        <v>1366417754</v>
      </c>
      <c r="AA969">
        <v>20.593684</v>
      </c>
      <c r="AB969">
        <v>78.962879999999998</v>
      </c>
    </row>
    <row r="970" spans="1:28" hidden="1">
      <c r="A970">
        <v>949</v>
      </c>
      <c r="B970">
        <v>3100</v>
      </c>
      <c r="C970" t="s">
        <v>75</v>
      </c>
      <c r="D970" t="s">
        <v>2172</v>
      </c>
      <c r="E970">
        <v>67</v>
      </c>
      <c r="G970" t="s">
        <v>339</v>
      </c>
      <c r="H970" t="s">
        <v>339</v>
      </c>
      <c r="I970" t="s">
        <v>75</v>
      </c>
      <c r="J970" t="s">
        <v>75</v>
      </c>
      <c r="K970" t="s">
        <v>203</v>
      </c>
      <c r="M970" t="b">
        <v>1</v>
      </c>
      <c r="N970" t="s">
        <v>32</v>
      </c>
      <c r="O970" t="s">
        <v>33</v>
      </c>
      <c r="S970" t="s">
        <v>343</v>
      </c>
      <c r="Z970">
        <v>38964</v>
      </c>
      <c r="AA970">
        <v>43.738417599999998</v>
      </c>
      <c r="AB970">
        <v>7.4246157999999998</v>
      </c>
    </row>
    <row r="971" spans="1:28">
      <c r="A971">
        <v>949</v>
      </c>
      <c r="B971">
        <v>3100</v>
      </c>
      <c r="C971" t="s">
        <v>54</v>
      </c>
      <c r="D971" t="s">
        <v>2173</v>
      </c>
      <c r="E971">
        <v>66</v>
      </c>
      <c r="F971" t="str">
        <f>IF(E971&gt;=90,"90-100",IF(E971&gt;=80,"80-90",IF(E971&gt;=70,"70-80",IF(E971&gt;=60,"60-70",IF(E971&gt;=50,"50-60",IF(E971&gt;=40,"40-50",IF(E971&gt;=30,"30-40","20-30")))))))</f>
        <v>60-70</v>
      </c>
      <c r="G971" t="s">
        <v>38</v>
      </c>
      <c r="H971" t="s">
        <v>2174</v>
      </c>
      <c r="I971" t="s">
        <v>613</v>
      </c>
      <c r="J971" t="s">
        <v>54</v>
      </c>
      <c r="K971" t="s">
        <v>38</v>
      </c>
      <c r="L971" t="s">
        <v>2175</v>
      </c>
      <c r="M971" t="b">
        <v>1</v>
      </c>
      <c r="N971" t="s">
        <v>32</v>
      </c>
      <c r="O971" t="s">
        <v>4867</v>
      </c>
      <c r="P971" t="s">
        <v>2176</v>
      </c>
      <c r="Q971">
        <v>117.24</v>
      </c>
      <c r="R971">
        <v>7.5</v>
      </c>
      <c r="S971" t="s">
        <v>44</v>
      </c>
      <c r="T971">
        <v>88.2</v>
      </c>
      <c r="U971" t="str">
        <f>IF(T971&gt;=100,"above 100",IF(T971&gt;=80,"80-100",IF(T971&gt;=60,"60-80",IF(T971&gt;=40,"40-60",IF(T971&gt;=20,"20-60","0-20")))))</f>
        <v>80-100</v>
      </c>
      <c r="V971">
        <v>101.8</v>
      </c>
      <c r="W971">
        <v>78.5</v>
      </c>
      <c r="X971">
        <v>9.6</v>
      </c>
      <c r="Y971">
        <v>36.6</v>
      </c>
      <c r="Z971">
        <v>328239523</v>
      </c>
      <c r="AA971">
        <v>37.090240000000001</v>
      </c>
      <c r="AB971">
        <v>-95.712890999999999</v>
      </c>
    </row>
    <row r="972" spans="1:28" hidden="1">
      <c r="A972">
        <v>949</v>
      </c>
      <c r="B972">
        <v>3100</v>
      </c>
      <c r="C972" t="s">
        <v>221</v>
      </c>
      <c r="D972" t="s">
        <v>2177</v>
      </c>
      <c r="E972">
        <v>71</v>
      </c>
      <c r="G972" t="s">
        <v>172</v>
      </c>
      <c r="H972" t="s">
        <v>172</v>
      </c>
      <c r="I972" t="s">
        <v>223</v>
      </c>
      <c r="J972" t="s">
        <v>221</v>
      </c>
      <c r="K972" t="s">
        <v>172</v>
      </c>
      <c r="M972" t="b">
        <v>1</v>
      </c>
      <c r="N972" t="s">
        <v>42</v>
      </c>
      <c r="O972" t="s">
        <v>33</v>
      </c>
    </row>
    <row r="973" spans="1:28" hidden="1">
      <c r="A973">
        <v>949</v>
      </c>
      <c r="B973">
        <v>3100</v>
      </c>
      <c r="C973" t="s">
        <v>221</v>
      </c>
      <c r="D973" t="s">
        <v>2178</v>
      </c>
      <c r="E973">
        <v>59</v>
      </c>
      <c r="G973" t="s">
        <v>38</v>
      </c>
      <c r="H973" t="s">
        <v>65</v>
      </c>
      <c r="I973" t="s">
        <v>223</v>
      </c>
      <c r="J973" t="s">
        <v>221</v>
      </c>
      <c r="K973" t="s">
        <v>148</v>
      </c>
      <c r="M973" t="b">
        <v>0</v>
      </c>
      <c r="N973" t="s">
        <v>42</v>
      </c>
      <c r="O973" t="s">
        <v>88</v>
      </c>
      <c r="Q973">
        <v>117.24</v>
      </c>
      <c r="R973">
        <v>7.5</v>
      </c>
      <c r="S973" t="s">
        <v>44</v>
      </c>
      <c r="T973">
        <v>88.2</v>
      </c>
      <c r="V973">
        <v>101.8</v>
      </c>
      <c r="W973">
        <v>78.5</v>
      </c>
      <c r="X973">
        <v>9.6</v>
      </c>
      <c r="Y973">
        <v>36.6</v>
      </c>
      <c r="Z973">
        <v>328239523</v>
      </c>
      <c r="AA973">
        <v>37.090240000000001</v>
      </c>
      <c r="AB973">
        <v>-95.712890999999999</v>
      </c>
    </row>
    <row r="974" spans="1:28" hidden="1">
      <c r="A974">
        <v>949</v>
      </c>
      <c r="B974">
        <v>3100</v>
      </c>
      <c r="C974" t="s">
        <v>54</v>
      </c>
      <c r="D974" t="s">
        <v>2179</v>
      </c>
      <c r="E974">
        <v>51</v>
      </c>
      <c r="G974" t="s">
        <v>156</v>
      </c>
      <c r="I974" t="s">
        <v>383</v>
      </c>
      <c r="J974" t="s">
        <v>54</v>
      </c>
      <c r="K974" t="s">
        <v>263</v>
      </c>
      <c r="M974" t="b">
        <v>1</v>
      </c>
      <c r="N974" t="s">
        <v>419</v>
      </c>
      <c r="O974" t="s">
        <v>33</v>
      </c>
      <c r="Q974">
        <v>99.55</v>
      </c>
      <c r="R974">
        <v>0.4</v>
      </c>
      <c r="S974" t="s">
        <v>159</v>
      </c>
      <c r="T974">
        <v>59.6</v>
      </c>
      <c r="V974">
        <v>105.2</v>
      </c>
      <c r="W974">
        <v>83.6</v>
      </c>
      <c r="X974">
        <v>10.1</v>
      </c>
      <c r="Y974">
        <v>28.8</v>
      </c>
      <c r="Z974">
        <v>8574832</v>
      </c>
      <c r="AA974">
        <v>46.818187999999999</v>
      </c>
      <c r="AB974">
        <v>8.2275120000000008</v>
      </c>
    </row>
    <row r="975" spans="1:28">
      <c r="A975">
        <v>949</v>
      </c>
      <c r="B975">
        <v>3100</v>
      </c>
      <c r="C975" t="s">
        <v>54</v>
      </c>
      <c r="D975" t="s">
        <v>2180</v>
      </c>
      <c r="E975">
        <v>63</v>
      </c>
      <c r="F975" t="str">
        <f>IF(E975&gt;=90,"90-100",IF(E975&gt;=80,"80-90",IF(E975&gt;=70,"70-80",IF(E975&gt;=60,"60-70",IF(E975&gt;=50,"50-60",IF(E975&gt;=40,"40-50",IF(E975&gt;=30,"30-40","20-30")))))))</f>
        <v>60-70</v>
      </c>
      <c r="G975" t="s">
        <v>38</v>
      </c>
      <c r="H975" t="s">
        <v>307</v>
      </c>
      <c r="I975" t="s">
        <v>1193</v>
      </c>
      <c r="J975" t="s">
        <v>54</v>
      </c>
      <c r="K975" t="s">
        <v>38</v>
      </c>
      <c r="L975" t="s">
        <v>2181</v>
      </c>
      <c r="M975" t="b">
        <v>0</v>
      </c>
      <c r="N975" t="s">
        <v>42</v>
      </c>
      <c r="O975" t="s">
        <v>4866</v>
      </c>
      <c r="P975" t="s">
        <v>110</v>
      </c>
      <c r="Q975">
        <v>117.24</v>
      </c>
      <c r="R975">
        <v>7.5</v>
      </c>
      <c r="S975" t="s">
        <v>44</v>
      </c>
      <c r="T975">
        <v>88.2</v>
      </c>
      <c r="U975" t="str">
        <f>IF(T975&gt;=100,"above 100",IF(T975&gt;=80,"80-100",IF(T975&gt;=60,"60-80",IF(T975&gt;=40,"40-60",IF(T975&gt;=20,"20-60","0-20")))))</f>
        <v>80-100</v>
      </c>
      <c r="V975">
        <v>101.8</v>
      </c>
      <c r="W975">
        <v>78.5</v>
      </c>
      <c r="X975">
        <v>9.6</v>
      </c>
      <c r="Y975">
        <v>36.6</v>
      </c>
      <c r="Z975">
        <v>328239523</v>
      </c>
      <c r="AA975">
        <v>37.090240000000001</v>
      </c>
      <c r="AB975">
        <v>-95.712890999999999</v>
      </c>
    </row>
    <row r="976" spans="1:28" hidden="1">
      <c r="A976">
        <v>949</v>
      </c>
      <c r="B976">
        <v>3100</v>
      </c>
      <c r="C976" t="s">
        <v>75</v>
      </c>
      <c r="D976" t="s">
        <v>2182</v>
      </c>
      <c r="E976">
        <v>79</v>
      </c>
      <c r="G976" t="s">
        <v>252</v>
      </c>
      <c r="H976" t="s">
        <v>253</v>
      </c>
      <c r="I976" t="s">
        <v>75</v>
      </c>
      <c r="J976" t="s">
        <v>75</v>
      </c>
      <c r="K976" t="s">
        <v>252</v>
      </c>
      <c r="M976" t="b">
        <v>0</v>
      </c>
      <c r="N976" t="s">
        <v>42</v>
      </c>
      <c r="O976" t="s">
        <v>33</v>
      </c>
      <c r="Q976">
        <v>151.18</v>
      </c>
      <c r="R976">
        <v>3</v>
      </c>
      <c r="S976" t="s">
        <v>255</v>
      </c>
      <c r="T976">
        <v>36.299999999999997</v>
      </c>
      <c r="V976">
        <v>106.4</v>
      </c>
      <c r="W976">
        <v>71.5</v>
      </c>
      <c r="X976">
        <v>10.199999999999999</v>
      </c>
      <c r="Y976">
        <v>30.1</v>
      </c>
      <c r="Z976">
        <v>270203917</v>
      </c>
      <c r="AA976">
        <v>-0.78927499999999995</v>
      </c>
      <c r="AB976">
        <v>113.92132700000001</v>
      </c>
    </row>
    <row r="977" spans="1:28" hidden="1">
      <c r="A977">
        <v>949</v>
      </c>
      <c r="B977">
        <v>3100</v>
      </c>
      <c r="C977" t="s">
        <v>26</v>
      </c>
      <c r="D977" t="s">
        <v>2183</v>
      </c>
      <c r="E977">
        <v>67</v>
      </c>
      <c r="G977" t="s">
        <v>164</v>
      </c>
      <c r="H977" t="s">
        <v>2184</v>
      </c>
      <c r="I977" t="s">
        <v>2062</v>
      </c>
      <c r="J977" t="s">
        <v>26</v>
      </c>
      <c r="K977" t="s">
        <v>164</v>
      </c>
      <c r="M977" t="b">
        <v>1</v>
      </c>
      <c r="N977" t="s">
        <v>42</v>
      </c>
      <c r="O977" t="s">
        <v>33</v>
      </c>
      <c r="Q977">
        <v>110.62</v>
      </c>
      <c r="R977">
        <v>0.6</v>
      </c>
      <c r="S977" t="s">
        <v>539</v>
      </c>
      <c r="T977">
        <v>61.9</v>
      </c>
      <c r="V977">
        <v>101.9</v>
      </c>
      <c r="W977">
        <v>82.9</v>
      </c>
      <c r="X977">
        <v>24.3</v>
      </c>
      <c r="Y977">
        <v>59.1</v>
      </c>
      <c r="Z977">
        <v>60297396</v>
      </c>
      <c r="AA977">
        <v>41.871940000000002</v>
      </c>
      <c r="AB977">
        <v>12.56738</v>
      </c>
    </row>
    <row r="978" spans="1:28" hidden="1">
      <c r="A978">
        <v>949</v>
      </c>
      <c r="B978">
        <v>3100</v>
      </c>
      <c r="C978" t="s">
        <v>63</v>
      </c>
      <c r="D978" t="s">
        <v>2185</v>
      </c>
      <c r="E978">
        <v>80</v>
      </c>
      <c r="G978" t="s">
        <v>148</v>
      </c>
      <c r="H978" t="s">
        <v>2186</v>
      </c>
      <c r="I978" t="s">
        <v>1626</v>
      </c>
      <c r="J978" t="s">
        <v>63</v>
      </c>
      <c r="K978" t="s">
        <v>148</v>
      </c>
      <c r="M978" t="b">
        <v>0</v>
      </c>
      <c r="N978" t="s">
        <v>42</v>
      </c>
      <c r="O978" t="s">
        <v>88</v>
      </c>
      <c r="Q978">
        <v>112.85</v>
      </c>
      <c r="R978">
        <v>1.4</v>
      </c>
      <c r="S978" t="s">
        <v>151</v>
      </c>
      <c r="T978">
        <v>70.2</v>
      </c>
      <c r="V978">
        <v>104</v>
      </c>
      <c r="W978">
        <v>80.900000000000006</v>
      </c>
      <c r="X978">
        <v>11.5</v>
      </c>
      <c r="Y978">
        <v>48.8</v>
      </c>
      <c r="Z978">
        <v>83132799</v>
      </c>
      <c r="AA978">
        <v>51.165691000000002</v>
      </c>
      <c r="AB978">
        <v>10.451525999999999</v>
      </c>
    </row>
    <row r="979" spans="1:28" hidden="1">
      <c r="A979">
        <v>949</v>
      </c>
      <c r="B979">
        <v>3100</v>
      </c>
      <c r="C979" t="s">
        <v>221</v>
      </c>
      <c r="D979" t="s">
        <v>2187</v>
      </c>
      <c r="E979">
        <v>74</v>
      </c>
      <c r="G979" t="s">
        <v>172</v>
      </c>
      <c r="H979" t="s">
        <v>172</v>
      </c>
      <c r="I979" t="s">
        <v>223</v>
      </c>
      <c r="J979" t="s">
        <v>221</v>
      </c>
      <c r="K979" t="s">
        <v>172</v>
      </c>
      <c r="M979" t="b">
        <v>1</v>
      </c>
      <c r="N979" t="s">
        <v>42</v>
      </c>
      <c r="O979" t="s">
        <v>88</v>
      </c>
    </row>
    <row r="980" spans="1:28" hidden="1">
      <c r="A980">
        <v>949</v>
      </c>
      <c r="B980">
        <v>3100</v>
      </c>
      <c r="C980" t="s">
        <v>54</v>
      </c>
      <c r="D980" t="s">
        <v>2188</v>
      </c>
      <c r="E980">
        <v>35</v>
      </c>
      <c r="G980" t="s">
        <v>1462</v>
      </c>
      <c r="H980" t="s">
        <v>1463</v>
      </c>
      <c r="I980" t="s">
        <v>2189</v>
      </c>
      <c r="J980" t="s">
        <v>54</v>
      </c>
      <c r="K980" t="s">
        <v>1462</v>
      </c>
      <c r="M980" t="b">
        <v>1</v>
      </c>
      <c r="N980" t="s">
        <v>32</v>
      </c>
      <c r="O980" t="s">
        <v>33</v>
      </c>
      <c r="Q980">
        <v>182.75</v>
      </c>
      <c r="R980">
        <v>5.2</v>
      </c>
      <c r="S980" t="s">
        <v>1464</v>
      </c>
      <c r="T980">
        <v>61.7</v>
      </c>
      <c r="V980">
        <v>104.4</v>
      </c>
      <c r="W980">
        <v>73.2</v>
      </c>
      <c r="X980">
        <v>11.7</v>
      </c>
      <c r="Y980">
        <v>28.4</v>
      </c>
      <c r="Z980">
        <v>18513930</v>
      </c>
      <c r="AA980">
        <v>48.019573000000001</v>
      </c>
      <c r="AB980">
        <v>66.923683999999994</v>
      </c>
    </row>
    <row r="981" spans="1:28" hidden="1">
      <c r="A981">
        <v>949</v>
      </c>
      <c r="B981">
        <v>3100</v>
      </c>
      <c r="C981" t="s">
        <v>26</v>
      </c>
      <c r="D981" t="s">
        <v>2190</v>
      </c>
      <c r="E981">
        <v>74</v>
      </c>
      <c r="G981" t="s">
        <v>38</v>
      </c>
      <c r="H981" t="s">
        <v>2191</v>
      </c>
      <c r="I981" t="s">
        <v>2192</v>
      </c>
      <c r="J981" t="s">
        <v>26</v>
      </c>
      <c r="K981" t="s">
        <v>38</v>
      </c>
      <c r="M981" t="b">
        <v>1</v>
      </c>
      <c r="N981" t="s">
        <v>32</v>
      </c>
      <c r="O981" t="s">
        <v>33</v>
      </c>
      <c r="Q981">
        <v>117.24</v>
      </c>
      <c r="R981">
        <v>7.5</v>
      </c>
      <c r="S981" t="s">
        <v>44</v>
      </c>
      <c r="T981">
        <v>88.2</v>
      </c>
      <c r="V981">
        <v>101.8</v>
      </c>
      <c r="W981">
        <v>78.5</v>
      </c>
      <c r="X981">
        <v>9.6</v>
      </c>
      <c r="Y981">
        <v>36.6</v>
      </c>
      <c r="Z981">
        <v>328239523</v>
      </c>
      <c r="AA981">
        <v>37.090240000000001</v>
      </c>
      <c r="AB981">
        <v>-95.712890999999999</v>
      </c>
    </row>
    <row r="982" spans="1:28" hidden="1">
      <c r="A982">
        <v>949</v>
      </c>
      <c r="B982">
        <v>3100</v>
      </c>
      <c r="C982" t="s">
        <v>63</v>
      </c>
      <c r="D982" t="s">
        <v>2193</v>
      </c>
      <c r="E982">
        <v>53</v>
      </c>
      <c r="G982" t="s">
        <v>611</v>
      </c>
      <c r="H982" t="s">
        <v>2194</v>
      </c>
      <c r="I982" t="s">
        <v>245</v>
      </c>
      <c r="J982" t="s">
        <v>63</v>
      </c>
      <c r="K982" t="s">
        <v>611</v>
      </c>
      <c r="M982" t="b">
        <v>1</v>
      </c>
      <c r="N982" t="s">
        <v>32</v>
      </c>
      <c r="O982" t="s">
        <v>88</v>
      </c>
      <c r="Q982">
        <v>115.16</v>
      </c>
      <c r="R982">
        <v>0.4</v>
      </c>
      <c r="S982" t="s">
        <v>615</v>
      </c>
      <c r="T982">
        <v>94.3</v>
      </c>
      <c r="V982">
        <v>98.1</v>
      </c>
      <c r="W982">
        <v>82.6</v>
      </c>
      <c r="X982">
        <v>15.6</v>
      </c>
      <c r="Y982">
        <v>33.200000000000003</v>
      </c>
      <c r="Z982">
        <v>51709098</v>
      </c>
      <c r="AA982">
        <v>35.907756999999997</v>
      </c>
      <c r="AB982">
        <v>127.76692199999999</v>
      </c>
    </row>
    <row r="983" spans="1:28" hidden="1">
      <c r="A983">
        <v>982</v>
      </c>
      <c r="B983">
        <v>3000</v>
      </c>
      <c r="C983" t="s">
        <v>75</v>
      </c>
      <c r="D983" t="s">
        <v>2195</v>
      </c>
      <c r="G983" t="s">
        <v>260</v>
      </c>
      <c r="H983" t="s">
        <v>515</v>
      </c>
      <c r="I983" t="s">
        <v>75</v>
      </c>
      <c r="J983" t="s">
        <v>75</v>
      </c>
      <c r="K983" t="s">
        <v>260</v>
      </c>
      <c r="M983" t="b">
        <v>0</v>
      </c>
      <c r="N983" t="s">
        <v>32</v>
      </c>
      <c r="O983" t="s">
        <v>33</v>
      </c>
      <c r="P983" t="s">
        <v>2196</v>
      </c>
      <c r="Q983">
        <v>114.52</v>
      </c>
      <c r="R983">
        <v>-1.9</v>
      </c>
      <c r="S983" t="s">
        <v>264</v>
      </c>
      <c r="T983">
        <v>36.799999999999997</v>
      </c>
      <c r="V983">
        <v>108.4</v>
      </c>
      <c r="W983">
        <v>77.8</v>
      </c>
      <c r="X983">
        <v>0.1</v>
      </c>
      <c r="Y983">
        <v>15.9</v>
      </c>
      <c r="Z983">
        <v>9770529</v>
      </c>
      <c r="AA983">
        <v>23.424075999999999</v>
      </c>
      <c r="AB983">
        <v>53.847817999999997</v>
      </c>
    </row>
    <row r="984" spans="1:28" hidden="1">
      <c r="A984">
        <v>982</v>
      </c>
      <c r="B984">
        <v>3000</v>
      </c>
      <c r="C984" t="s">
        <v>75</v>
      </c>
      <c r="D984" t="s">
        <v>2197</v>
      </c>
      <c r="E984">
        <v>94</v>
      </c>
      <c r="G984" t="s">
        <v>1267</v>
      </c>
      <c r="H984" t="s">
        <v>1268</v>
      </c>
      <c r="I984" t="s">
        <v>75</v>
      </c>
      <c r="J984" t="s">
        <v>75</v>
      </c>
      <c r="K984" t="s">
        <v>1267</v>
      </c>
      <c r="M984" t="b">
        <v>0</v>
      </c>
      <c r="N984" t="s">
        <v>32</v>
      </c>
      <c r="O984" t="s">
        <v>88</v>
      </c>
      <c r="Q984">
        <v>234.44</v>
      </c>
      <c r="R984">
        <v>15.2</v>
      </c>
      <c r="S984" t="s">
        <v>1270</v>
      </c>
      <c r="T984">
        <v>23.9</v>
      </c>
      <c r="V984">
        <v>93.2</v>
      </c>
      <c r="W984">
        <v>77.400000000000006</v>
      </c>
      <c r="X984">
        <v>17.899999999999999</v>
      </c>
      <c r="Y984">
        <v>42.3</v>
      </c>
      <c r="Z984">
        <v>83429615</v>
      </c>
      <c r="AA984">
        <v>38.963745000000003</v>
      </c>
      <c r="AB984">
        <v>35.243321999999999</v>
      </c>
    </row>
    <row r="985" spans="1:28" hidden="1">
      <c r="A985">
        <v>982</v>
      </c>
      <c r="B985">
        <v>3000</v>
      </c>
      <c r="C985" t="s">
        <v>221</v>
      </c>
      <c r="D985" t="s">
        <v>2198</v>
      </c>
      <c r="E985">
        <v>61</v>
      </c>
      <c r="G985" t="s">
        <v>38</v>
      </c>
      <c r="H985" t="s">
        <v>675</v>
      </c>
      <c r="I985" t="s">
        <v>900</v>
      </c>
      <c r="J985" t="s">
        <v>221</v>
      </c>
      <c r="K985" t="s">
        <v>38</v>
      </c>
      <c r="M985" t="b">
        <v>0</v>
      </c>
      <c r="N985" t="s">
        <v>32</v>
      </c>
      <c r="O985" t="s">
        <v>33</v>
      </c>
      <c r="Q985">
        <v>117.24</v>
      </c>
      <c r="R985">
        <v>7.5</v>
      </c>
      <c r="S985" t="s">
        <v>44</v>
      </c>
      <c r="T985">
        <v>88.2</v>
      </c>
      <c r="V985">
        <v>101.8</v>
      </c>
      <c r="W985">
        <v>78.5</v>
      </c>
      <c r="X985">
        <v>9.6</v>
      </c>
      <c r="Y985">
        <v>36.6</v>
      </c>
      <c r="Z985">
        <v>328239523</v>
      </c>
      <c r="AA985">
        <v>37.090240000000001</v>
      </c>
      <c r="AB985">
        <v>-95.712890999999999</v>
      </c>
    </row>
    <row r="986" spans="1:28" hidden="1">
      <c r="A986">
        <v>982</v>
      </c>
      <c r="B986">
        <v>3000</v>
      </c>
      <c r="C986" t="s">
        <v>250</v>
      </c>
      <c r="D986" t="s">
        <v>2199</v>
      </c>
      <c r="E986">
        <v>85</v>
      </c>
      <c r="G986" t="s">
        <v>38</v>
      </c>
      <c r="H986" t="s">
        <v>2200</v>
      </c>
      <c r="I986" t="s">
        <v>351</v>
      </c>
      <c r="J986" t="s">
        <v>250</v>
      </c>
      <c r="K986" t="s">
        <v>38</v>
      </c>
      <c r="M986" t="b">
        <v>1</v>
      </c>
      <c r="N986" t="s">
        <v>32</v>
      </c>
      <c r="O986" t="s">
        <v>33</v>
      </c>
      <c r="Q986">
        <v>117.24</v>
      </c>
      <c r="R986">
        <v>7.5</v>
      </c>
      <c r="S986" t="s">
        <v>44</v>
      </c>
      <c r="T986">
        <v>88.2</v>
      </c>
      <c r="V986">
        <v>101.8</v>
      </c>
      <c r="W986">
        <v>78.5</v>
      </c>
      <c r="X986">
        <v>9.6</v>
      </c>
      <c r="Y986">
        <v>36.6</v>
      </c>
      <c r="Z986">
        <v>328239523</v>
      </c>
      <c r="AA986">
        <v>37.090240000000001</v>
      </c>
      <c r="AB986">
        <v>-95.712890999999999</v>
      </c>
    </row>
    <row r="987" spans="1:28" hidden="1">
      <c r="A987">
        <v>982</v>
      </c>
      <c r="B987">
        <v>3000</v>
      </c>
      <c r="C987" t="s">
        <v>36</v>
      </c>
      <c r="D987" t="s">
        <v>2201</v>
      </c>
      <c r="E987">
        <v>90</v>
      </c>
      <c r="G987" t="s">
        <v>38</v>
      </c>
      <c r="H987" t="s">
        <v>184</v>
      </c>
      <c r="I987" t="s">
        <v>2202</v>
      </c>
      <c r="J987" t="s">
        <v>36</v>
      </c>
      <c r="K987" t="s">
        <v>38</v>
      </c>
      <c r="M987" t="b">
        <v>1</v>
      </c>
      <c r="N987" t="s">
        <v>32</v>
      </c>
      <c r="O987" t="s">
        <v>33</v>
      </c>
      <c r="Q987">
        <v>117.24</v>
      </c>
      <c r="R987">
        <v>7.5</v>
      </c>
      <c r="S987" t="s">
        <v>44</v>
      </c>
      <c r="T987">
        <v>88.2</v>
      </c>
      <c r="V987">
        <v>101.8</v>
      </c>
      <c r="W987">
        <v>78.5</v>
      </c>
      <c r="X987">
        <v>9.6</v>
      </c>
      <c r="Y987">
        <v>36.6</v>
      </c>
      <c r="Z987">
        <v>328239523</v>
      </c>
      <c r="AA987">
        <v>37.090240000000001</v>
      </c>
      <c r="AB987">
        <v>-95.712890999999999</v>
      </c>
    </row>
    <row r="988" spans="1:28" hidden="1">
      <c r="A988">
        <v>982</v>
      </c>
      <c r="B988">
        <v>3000</v>
      </c>
      <c r="C988" t="s">
        <v>45</v>
      </c>
      <c r="D988" t="s">
        <v>2203</v>
      </c>
      <c r="E988">
        <v>66</v>
      </c>
      <c r="G988" t="s">
        <v>156</v>
      </c>
      <c r="H988" t="s">
        <v>413</v>
      </c>
      <c r="I988" t="s">
        <v>1343</v>
      </c>
      <c r="J988" t="s">
        <v>45</v>
      </c>
      <c r="K988" t="s">
        <v>156</v>
      </c>
      <c r="M988" t="b">
        <v>0</v>
      </c>
      <c r="N988" t="s">
        <v>419</v>
      </c>
      <c r="O988" t="s">
        <v>88</v>
      </c>
      <c r="Q988">
        <v>99.55</v>
      </c>
      <c r="R988">
        <v>0.4</v>
      </c>
      <c r="S988" t="s">
        <v>159</v>
      </c>
      <c r="T988">
        <v>59.6</v>
      </c>
      <c r="V988">
        <v>105.2</v>
      </c>
      <c r="W988">
        <v>83.6</v>
      </c>
      <c r="X988">
        <v>10.1</v>
      </c>
      <c r="Y988">
        <v>28.8</v>
      </c>
      <c r="Z988">
        <v>8574832</v>
      </c>
      <c r="AA988">
        <v>46.818187999999999</v>
      </c>
      <c r="AB988">
        <v>8.2275120000000008</v>
      </c>
    </row>
    <row r="989" spans="1:28" hidden="1">
      <c r="A989">
        <v>982</v>
      </c>
      <c r="B989">
        <v>3000</v>
      </c>
      <c r="C989" t="s">
        <v>288</v>
      </c>
      <c r="D989" t="s">
        <v>2204</v>
      </c>
      <c r="E989">
        <v>70</v>
      </c>
      <c r="G989" t="s">
        <v>103</v>
      </c>
      <c r="H989" t="s">
        <v>2205</v>
      </c>
      <c r="I989" t="s">
        <v>418</v>
      </c>
      <c r="J989" t="s">
        <v>288</v>
      </c>
      <c r="K989" t="s">
        <v>103</v>
      </c>
      <c r="M989" t="b">
        <v>1</v>
      </c>
      <c r="N989" t="s">
        <v>42</v>
      </c>
      <c r="O989" t="s">
        <v>33</v>
      </c>
      <c r="Q989">
        <v>125.08</v>
      </c>
      <c r="R989">
        <v>2.9</v>
      </c>
      <c r="S989" t="s">
        <v>106</v>
      </c>
      <c r="T989">
        <v>50.6</v>
      </c>
      <c r="V989">
        <v>100.2</v>
      </c>
      <c r="W989">
        <v>77</v>
      </c>
      <c r="X989">
        <v>9.4</v>
      </c>
      <c r="Y989">
        <v>59.2</v>
      </c>
      <c r="Z989">
        <v>1397715000</v>
      </c>
      <c r="AA989">
        <v>35.861660000000001</v>
      </c>
      <c r="AB989">
        <v>104.195397</v>
      </c>
    </row>
    <row r="990" spans="1:28" hidden="1">
      <c r="A990">
        <v>982</v>
      </c>
      <c r="B990">
        <v>3000</v>
      </c>
      <c r="C990" t="s">
        <v>101</v>
      </c>
      <c r="D990" t="s">
        <v>2206</v>
      </c>
      <c r="E990">
        <v>80</v>
      </c>
      <c r="G990" t="s">
        <v>28</v>
      </c>
      <c r="H990" t="s">
        <v>29</v>
      </c>
      <c r="I990" t="s">
        <v>1632</v>
      </c>
      <c r="J990" t="s">
        <v>101</v>
      </c>
      <c r="K990" t="s">
        <v>28</v>
      </c>
      <c r="M990" t="b">
        <v>0</v>
      </c>
      <c r="N990" t="s">
        <v>32</v>
      </c>
      <c r="O990" t="s">
        <v>33</v>
      </c>
      <c r="Q990">
        <v>110.05</v>
      </c>
      <c r="R990">
        <v>1.1000000000000001</v>
      </c>
      <c r="S990" t="s">
        <v>35</v>
      </c>
      <c r="T990">
        <v>65.599999999999994</v>
      </c>
      <c r="V990">
        <v>102.5</v>
      </c>
      <c r="W990">
        <v>82.5</v>
      </c>
      <c r="X990">
        <v>24.2</v>
      </c>
      <c r="Y990">
        <v>60.7</v>
      </c>
      <c r="Z990">
        <v>67059887</v>
      </c>
      <c r="AA990">
        <v>46.227637999999999</v>
      </c>
      <c r="AB990">
        <v>2.213749</v>
      </c>
    </row>
    <row r="991" spans="1:28" hidden="1">
      <c r="A991">
        <v>982</v>
      </c>
      <c r="B991">
        <v>3000</v>
      </c>
      <c r="C991" t="s">
        <v>221</v>
      </c>
      <c r="D991" t="s">
        <v>2207</v>
      </c>
      <c r="G991" t="s">
        <v>172</v>
      </c>
      <c r="H991" t="s">
        <v>172</v>
      </c>
      <c r="I991" t="s">
        <v>223</v>
      </c>
      <c r="J991" t="s">
        <v>221</v>
      </c>
      <c r="K991" t="s">
        <v>172</v>
      </c>
      <c r="M991" t="b">
        <v>0</v>
      </c>
      <c r="N991" t="s">
        <v>42</v>
      </c>
      <c r="O991" t="s">
        <v>88</v>
      </c>
    </row>
    <row r="992" spans="1:28" hidden="1">
      <c r="A992">
        <v>982</v>
      </c>
      <c r="B992">
        <v>3000</v>
      </c>
      <c r="C992" t="s">
        <v>26</v>
      </c>
      <c r="D992" t="s">
        <v>2208</v>
      </c>
      <c r="E992">
        <v>60</v>
      </c>
      <c r="G992" t="s">
        <v>38</v>
      </c>
      <c r="H992" t="s">
        <v>2209</v>
      </c>
      <c r="I992" t="s">
        <v>2210</v>
      </c>
      <c r="J992" t="s">
        <v>26</v>
      </c>
      <c r="K992" t="s">
        <v>38</v>
      </c>
      <c r="M992" t="b">
        <v>1</v>
      </c>
      <c r="N992" t="s">
        <v>419</v>
      </c>
      <c r="O992" t="s">
        <v>33</v>
      </c>
      <c r="Q992">
        <v>117.24</v>
      </c>
      <c r="R992">
        <v>7.5</v>
      </c>
      <c r="S992" t="s">
        <v>44</v>
      </c>
      <c r="T992">
        <v>88.2</v>
      </c>
      <c r="V992">
        <v>101.8</v>
      </c>
      <c r="W992">
        <v>78.5</v>
      </c>
      <c r="X992">
        <v>9.6</v>
      </c>
      <c r="Y992">
        <v>36.6</v>
      </c>
      <c r="Z992">
        <v>328239523</v>
      </c>
      <c r="AA992">
        <v>37.090240000000001</v>
      </c>
      <c r="AB992">
        <v>-95.712890999999999</v>
      </c>
    </row>
    <row r="993" spans="1:28" hidden="1">
      <c r="A993">
        <v>982</v>
      </c>
      <c r="B993">
        <v>3000</v>
      </c>
      <c r="C993" t="s">
        <v>221</v>
      </c>
      <c r="D993" t="s">
        <v>2211</v>
      </c>
      <c r="E993">
        <v>63</v>
      </c>
      <c r="G993" t="s">
        <v>103</v>
      </c>
      <c r="H993" t="s">
        <v>489</v>
      </c>
      <c r="I993" t="s">
        <v>223</v>
      </c>
      <c r="J993" t="s">
        <v>221</v>
      </c>
      <c r="K993" t="s">
        <v>103</v>
      </c>
      <c r="M993" t="b">
        <v>1</v>
      </c>
      <c r="N993" t="s">
        <v>42</v>
      </c>
      <c r="O993" t="s">
        <v>33</v>
      </c>
      <c r="Q993">
        <v>125.08</v>
      </c>
      <c r="R993">
        <v>2.9</v>
      </c>
      <c r="S993" t="s">
        <v>106</v>
      </c>
      <c r="T993">
        <v>50.6</v>
      </c>
      <c r="V993">
        <v>100.2</v>
      </c>
      <c r="W993">
        <v>77</v>
      </c>
      <c r="X993">
        <v>9.4</v>
      </c>
      <c r="Y993">
        <v>59.2</v>
      </c>
      <c r="Z993">
        <v>1397715000</v>
      </c>
      <c r="AA993">
        <v>35.861660000000001</v>
      </c>
      <c r="AB993">
        <v>104.195397</v>
      </c>
    </row>
    <row r="994" spans="1:28">
      <c r="A994">
        <v>982</v>
      </c>
      <c r="B994">
        <v>3000</v>
      </c>
      <c r="C994" t="s">
        <v>54</v>
      </c>
      <c r="D994" t="s">
        <v>2212</v>
      </c>
      <c r="E994">
        <v>73</v>
      </c>
      <c r="F994" t="str">
        <f>IF(E994&gt;=90,"90-100",IF(E994&gt;=80,"80-90",IF(E994&gt;=70,"70-80",IF(E994&gt;=60,"60-70",IF(E994&gt;=50,"50-60",IF(E994&gt;=40,"40-50",IF(E994&gt;=30,"30-40","20-30")))))))</f>
        <v>70-80</v>
      </c>
      <c r="G994" t="s">
        <v>38</v>
      </c>
      <c r="H994" t="s">
        <v>2213</v>
      </c>
      <c r="I994" t="s">
        <v>613</v>
      </c>
      <c r="J994" t="s">
        <v>54</v>
      </c>
      <c r="K994" t="s">
        <v>38</v>
      </c>
      <c r="L994" t="s">
        <v>2105</v>
      </c>
      <c r="M994" t="b">
        <v>1</v>
      </c>
      <c r="N994" t="s">
        <v>42</v>
      </c>
      <c r="O994" t="s">
        <v>4867</v>
      </c>
      <c r="P994" t="s">
        <v>2214</v>
      </c>
      <c r="Q994">
        <v>117.24</v>
      </c>
      <c r="R994">
        <v>7.5</v>
      </c>
      <c r="S994" t="s">
        <v>44</v>
      </c>
      <c r="T994">
        <v>88.2</v>
      </c>
      <c r="U994" t="str">
        <f t="shared" ref="U994:U995" si="36">IF(T994&gt;=100,"above 100",IF(T994&gt;=80,"80-100",IF(T994&gt;=60,"60-80",IF(T994&gt;=40,"40-60",IF(T994&gt;=20,"20-60","0-20")))))</f>
        <v>80-100</v>
      </c>
      <c r="V994">
        <v>101.8</v>
      </c>
      <c r="W994">
        <v>78.5</v>
      </c>
      <c r="X994">
        <v>9.6</v>
      </c>
      <c r="Y994">
        <v>36.6</v>
      </c>
      <c r="Z994">
        <v>328239523</v>
      </c>
      <c r="AA994">
        <v>37.090240000000001</v>
      </c>
      <c r="AB994">
        <v>-95.712890999999999</v>
      </c>
    </row>
    <row r="995" spans="1:28">
      <c r="A995">
        <v>982</v>
      </c>
      <c r="B995">
        <v>3000</v>
      </c>
      <c r="C995" t="s">
        <v>26</v>
      </c>
      <c r="D995" t="s">
        <v>2215</v>
      </c>
      <c r="E995">
        <v>95</v>
      </c>
      <c r="F995" t="str">
        <f>IF(E995&gt;=90,"90-100",IF(E995&gt;=80,"80-90",IF(E995&gt;=70,"70-80",IF(E995&gt;=60,"60-70",IF(E995&gt;=50,"50-60",IF(E995&gt;=40,"40-50",IF(E995&gt;=30,"30-40","20-30")))))))</f>
        <v>90-100</v>
      </c>
      <c r="G995" t="s">
        <v>127</v>
      </c>
      <c r="H995" t="s">
        <v>1129</v>
      </c>
      <c r="I995" t="s">
        <v>755</v>
      </c>
      <c r="J995" t="s">
        <v>26</v>
      </c>
      <c r="K995" t="s">
        <v>127</v>
      </c>
      <c r="L995" t="s">
        <v>2216</v>
      </c>
      <c r="M995" t="b">
        <v>1</v>
      </c>
      <c r="N995" t="s">
        <v>42</v>
      </c>
      <c r="O995" t="s">
        <v>4867</v>
      </c>
      <c r="P995" t="s">
        <v>131</v>
      </c>
      <c r="Q995">
        <v>116.76</v>
      </c>
      <c r="R995">
        <v>1.9</v>
      </c>
      <c r="S995" t="s">
        <v>132</v>
      </c>
      <c r="T995">
        <v>68.900000000000006</v>
      </c>
      <c r="U995" t="str">
        <f t="shared" si="36"/>
        <v>60-80</v>
      </c>
      <c r="V995">
        <v>100.9</v>
      </c>
      <c r="W995">
        <v>81.900000000000006</v>
      </c>
      <c r="X995">
        <v>12.8</v>
      </c>
      <c r="Y995">
        <v>24.5</v>
      </c>
      <c r="Z995">
        <v>36991981</v>
      </c>
      <c r="AA995">
        <v>56.130366000000002</v>
      </c>
      <c r="AB995">
        <v>-106.346771</v>
      </c>
    </row>
    <row r="996" spans="1:28" hidden="1">
      <c r="A996">
        <v>982</v>
      </c>
      <c r="B996">
        <v>3000</v>
      </c>
      <c r="C996" t="s">
        <v>36</v>
      </c>
      <c r="D996" t="s">
        <v>2217</v>
      </c>
      <c r="E996">
        <v>78</v>
      </c>
      <c r="I996" t="s">
        <v>1839</v>
      </c>
      <c r="J996" t="s">
        <v>36</v>
      </c>
      <c r="K996" t="s">
        <v>161</v>
      </c>
      <c r="M996" t="b">
        <v>0</v>
      </c>
      <c r="N996" t="s">
        <v>192</v>
      </c>
      <c r="O996" t="s">
        <v>88</v>
      </c>
    </row>
    <row r="997" spans="1:28" hidden="1">
      <c r="A997">
        <v>982</v>
      </c>
      <c r="B997">
        <v>3000</v>
      </c>
      <c r="C997" t="s">
        <v>221</v>
      </c>
      <c r="D997" t="s">
        <v>2218</v>
      </c>
      <c r="E997">
        <v>76</v>
      </c>
      <c r="G997" t="s">
        <v>38</v>
      </c>
      <c r="H997" t="s">
        <v>2219</v>
      </c>
      <c r="I997" t="s">
        <v>2220</v>
      </c>
      <c r="J997" t="s">
        <v>221</v>
      </c>
      <c r="K997" t="s">
        <v>38</v>
      </c>
      <c r="M997" t="b">
        <v>0</v>
      </c>
      <c r="N997" t="s">
        <v>32</v>
      </c>
      <c r="O997" t="s">
        <v>33</v>
      </c>
      <c r="Q997">
        <v>117.24</v>
      </c>
      <c r="R997">
        <v>7.5</v>
      </c>
      <c r="S997" t="s">
        <v>44</v>
      </c>
      <c r="T997">
        <v>88.2</v>
      </c>
      <c r="V997">
        <v>101.8</v>
      </c>
      <c r="W997">
        <v>78.5</v>
      </c>
      <c r="X997">
        <v>9.6</v>
      </c>
      <c r="Y997">
        <v>36.6</v>
      </c>
      <c r="Z997">
        <v>328239523</v>
      </c>
      <c r="AA997">
        <v>37.090240000000001</v>
      </c>
      <c r="AB997">
        <v>-95.712890999999999</v>
      </c>
    </row>
    <row r="998" spans="1:28" hidden="1">
      <c r="A998">
        <v>982</v>
      </c>
      <c r="B998">
        <v>3000</v>
      </c>
      <c r="C998" t="s">
        <v>54</v>
      </c>
      <c r="D998" t="s">
        <v>2221</v>
      </c>
      <c r="E998">
        <v>57</v>
      </c>
      <c r="G998" t="s">
        <v>38</v>
      </c>
      <c r="H998" t="s">
        <v>2222</v>
      </c>
      <c r="I998" t="s">
        <v>613</v>
      </c>
      <c r="J998" t="s">
        <v>54</v>
      </c>
      <c r="K998" t="s">
        <v>38</v>
      </c>
      <c r="M998" t="b">
        <v>1</v>
      </c>
      <c r="N998" t="s">
        <v>192</v>
      </c>
      <c r="O998" t="s">
        <v>33</v>
      </c>
      <c r="Q998">
        <v>117.24</v>
      </c>
      <c r="R998">
        <v>7.5</v>
      </c>
      <c r="S998" t="s">
        <v>44</v>
      </c>
      <c r="T998">
        <v>88.2</v>
      </c>
      <c r="V998">
        <v>101.8</v>
      </c>
      <c r="W998">
        <v>78.5</v>
      </c>
      <c r="X998">
        <v>9.6</v>
      </c>
      <c r="Y998">
        <v>36.6</v>
      </c>
      <c r="Z998">
        <v>328239523</v>
      </c>
      <c r="AA998">
        <v>37.090240000000001</v>
      </c>
      <c r="AB998">
        <v>-95.712890999999999</v>
      </c>
    </row>
    <row r="999" spans="1:28" hidden="1">
      <c r="A999">
        <v>982</v>
      </c>
      <c r="B999">
        <v>3000</v>
      </c>
      <c r="C999" t="s">
        <v>236</v>
      </c>
      <c r="D999" t="s">
        <v>2223</v>
      </c>
      <c r="E999">
        <v>62</v>
      </c>
      <c r="G999" t="s">
        <v>103</v>
      </c>
      <c r="H999" t="s">
        <v>2224</v>
      </c>
      <c r="I999" t="s">
        <v>2225</v>
      </c>
      <c r="J999" t="s">
        <v>236</v>
      </c>
      <c r="K999" t="s">
        <v>103</v>
      </c>
      <c r="M999" t="b">
        <v>1</v>
      </c>
      <c r="N999" t="s">
        <v>32</v>
      </c>
      <c r="O999" t="s">
        <v>33</v>
      </c>
      <c r="Q999">
        <v>125.08</v>
      </c>
      <c r="R999">
        <v>2.9</v>
      </c>
      <c r="S999" t="s">
        <v>106</v>
      </c>
      <c r="T999">
        <v>50.6</v>
      </c>
      <c r="V999">
        <v>100.2</v>
      </c>
      <c r="W999">
        <v>77</v>
      </c>
      <c r="X999">
        <v>9.4</v>
      </c>
      <c r="Y999">
        <v>59.2</v>
      </c>
      <c r="Z999">
        <v>1397715000</v>
      </c>
      <c r="AA999">
        <v>35.861660000000001</v>
      </c>
      <c r="AB999">
        <v>104.195397</v>
      </c>
    </row>
    <row r="1000" spans="1:28" hidden="1">
      <c r="A1000">
        <v>982</v>
      </c>
      <c r="B1000">
        <v>3000</v>
      </c>
      <c r="C1000" t="s">
        <v>36</v>
      </c>
      <c r="D1000" t="s">
        <v>2226</v>
      </c>
      <c r="E1000">
        <v>65</v>
      </c>
      <c r="G1000" t="s">
        <v>38</v>
      </c>
      <c r="H1000" t="s">
        <v>2227</v>
      </c>
      <c r="I1000" t="s">
        <v>2228</v>
      </c>
      <c r="J1000" t="s">
        <v>36</v>
      </c>
      <c r="K1000" t="s">
        <v>38</v>
      </c>
      <c r="M1000" t="b">
        <v>1</v>
      </c>
      <c r="N1000" t="s">
        <v>42</v>
      </c>
      <c r="O1000" t="s">
        <v>33</v>
      </c>
      <c r="Q1000">
        <v>117.24</v>
      </c>
      <c r="R1000">
        <v>7.5</v>
      </c>
      <c r="S1000" t="s">
        <v>44</v>
      </c>
      <c r="T1000">
        <v>88.2</v>
      </c>
      <c r="V1000">
        <v>101.8</v>
      </c>
      <c r="W1000">
        <v>78.5</v>
      </c>
      <c r="X1000">
        <v>9.6</v>
      </c>
      <c r="Y1000">
        <v>36.6</v>
      </c>
      <c r="Z1000">
        <v>328239523</v>
      </c>
      <c r="AA1000">
        <v>37.090240000000001</v>
      </c>
      <c r="AB1000">
        <v>-95.712890999999999</v>
      </c>
    </row>
    <row r="1001" spans="1:28" hidden="1">
      <c r="A1001">
        <v>982</v>
      </c>
      <c r="B1001">
        <v>3000</v>
      </c>
      <c r="C1001" t="s">
        <v>101</v>
      </c>
      <c r="D1001" t="s">
        <v>2229</v>
      </c>
      <c r="E1001">
        <v>76</v>
      </c>
      <c r="G1001" t="s">
        <v>395</v>
      </c>
      <c r="H1001" t="s">
        <v>395</v>
      </c>
      <c r="I1001" t="s">
        <v>1305</v>
      </c>
      <c r="J1001" t="s">
        <v>101</v>
      </c>
      <c r="K1001" t="s">
        <v>395</v>
      </c>
      <c r="M1001" t="b">
        <v>1</v>
      </c>
      <c r="N1001" t="s">
        <v>32</v>
      </c>
      <c r="O1001" t="s">
        <v>33</v>
      </c>
      <c r="Q1001">
        <v>114.41</v>
      </c>
      <c r="R1001">
        <v>0.6</v>
      </c>
      <c r="S1001" t="s">
        <v>451</v>
      </c>
      <c r="T1001">
        <v>84.8</v>
      </c>
      <c r="V1001">
        <v>100.6</v>
      </c>
      <c r="W1001">
        <v>83.1</v>
      </c>
      <c r="X1001">
        <v>13.1</v>
      </c>
      <c r="Y1001">
        <v>21</v>
      </c>
      <c r="Z1001">
        <v>5703569</v>
      </c>
      <c r="AA1001">
        <v>1.3520829999999999</v>
      </c>
      <c r="AB1001">
        <v>103.819836</v>
      </c>
    </row>
    <row r="1002" spans="1:28" hidden="1">
      <c r="A1002">
        <v>982</v>
      </c>
      <c r="B1002">
        <v>3000</v>
      </c>
      <c r="C1002" t="s">
        <v>75</v>
      </c>
      <c r="D1002" t="s">
        <v>2230</v>
      </c>
      <c r="E1002">
        <v>75</v>
      </c>
      <c r="G1002" t="s">
        <v>70</v>
      </c>
      <c r="H1002" t="s">
        <v>71</v>
      </c>
      <c r="I1002" t="s">
        <v>383</v>
      </c>
      <c r="J1002" t="s">
        <v>75</v>
      </c>
      <c r="K1002" t="s">
        <v>70</v>
      </c>
      <c r="M1002" t="b">
        <v>0</v>
      </c>
      <c r="N1002" t="s">
        <v>32</v>
      </c>
      <c r="O1002" t="s">
        <v>33</v>
      </c>
      <c r="Q1002">
        <v>141.54</v>
      </c>
      <c r="R1002">
        <v>3.6</v>
      </c>
      <c r="S1002" t="s">
        <v>74</v>
      </c>
      <c r="T1002">
        <v>40.200000000000003</v>
      </c>
      <c r="V1002">
        <v>105.8</v>
      </c>
      <c r="W1002">
        <v>75</v>
      </c>
      <c r="X1002">
        <v>13.1</v>
      </c>
      <c r="Y1002">
        <v>55.1</v>
      </c>
      <c r="Z1002">
        <v>126014024</v>
      </c>
      <c r="AA1002">
        <v>23.634501</v>
      </c>
      <c r="AB1002">
        <v>-102.552784</v>
      </c>
    </row>
    <row r="1003" spans="1:28" hidden="1">
      <c r="A1003">
        <v>982</v>
      </c>
      <c r="B1003">
        <v>3000</v>
      </c>
      <c r="C1003" t="s">
        <v>217</v>
      </c>
      <c r="D1003" t="s">
        <v>2231</v>
      </c>
      <c r="E1003">
        <v>66</v>
      </c>
      <c r="G1003" t="s">
        <v>164</v>
      </c>
      <c r="H1003" t="s">
        <v>538</v>
      </c>
      <c r="I1003" t="s">
        <v>2004</v>
      </c>
      <c r="J1003" t="s">
        <v>217</v>
      </c>
      <c r="K1003" t="s">
        <v>164</v>
      </c>
      <c r="M1003" t="b">
        <v>0</v>
      </c>
      <c r="N1003" t="s">
        <v>42</v>
      </c>
      <c r="O1003" t="s">
        <v>88</v>
      </c>
      <c r="Q1003">
        <v>110.62</v>
      </c>
      <c r="R1003">
        <v>0.6</v>
      </c>
      <c r="S1003" t="s">
        <v>539</v>
      </c>
      <c r="T1003">
        <v>61.9</v>
      </c>
      <c r="V1003">
        <v>101.9</v>
      </c>
      <c r="W1003">
        <v>82.9</v>
      </c>
      <c r="X1003">
        <v>24.3</v>
      </c>
      <c r="Y1003">
        <v>59.1</v>
      </c>
      <c r="Z1003">
        <v>60297396</v>
      </c>
      <c r="AA1003">
        <v>41.871940000000002</v>
      </c>
      <c r="AB1003">
        <v>12.56738</v>
      </c>
    </row>
    <row r="1004" spans="1:28" hidden="1">
      <c r="A1004">
        <v>982</v>
      </c>
      <c r="B1004">
        <v>3000</v>
      </c>
      <c r="C1004" t="s">
        <v>221</v>
      </c>
      <c r="D1004" t="s">
        <v>2232</v>
      </c>
      <c r="E1004">
        <v>64</v>
      </c>
      <c r="G1004" t="s">
        <v>103</v>
      </c>
      <c r="H1004" t="s">
        <v>176</v>
      </c>
      <c r="I1004" t="s">
        <v>223</v>
      </c>
      <c r="J1004" t="s">
        <v>221</v>
      </c>
      <c r="K1004" t="s">
        <v>103</v>
      </c>
      <c r="M1004" t="b">
        <v>1</v>
      </c>
      <c r="N1004" t="s">
        <v>42</v>
      </c>
      <c r="O1004" t="s">
        <v>33</v>
      </c>
      <c r="Q1004">
        <v>125.08</v>
      </c>
      <c r="R1004">
        <v>2.9</v>
      </c>
      <c r="S1004" t="s">
        <v>106</v>
      </c>
      <c r="T1004">
        <v>50.6</v>
      </c>
      <c r="V1004">
        <v>100.2</v>
      </c>
      <c r="W1004">
        <v>77</v>
      </c>
      <c r="X1004">
        <v>9.4</v>
      </c>
      <c r="Y1004">
        <v>59.2</v>
      </c>
      <c r="Z1004">
        <v>1397715000</v>
      </c>
      <c r="AA1004">
        <v>35.861660000000001</v>
      </c>
      <c r="AB1004">
        <v>104.195397</v>
      </c>
    </row>
    <row r="1005" spans="1:28" hidden="1">
      <c r="A1005">
        <v>982</v>
      </c>
      <c r="B1005">
        <v>3000</v>
      </c>
      <c r="C1005" t="s">
        <v>217</v>
      </c>
      <c r="D1005" t="s">
        <v>2233</v>
      </c>
      <c r="E1005">
        <v>67</v>
      </c>
      <c r="G1005" t="s">
        <v>77</v>
      </c>
      <c r="H1005" t="s">
        <v>248</v>
      </c>
      <c r="I1005" t="s">
        <v>287</v>
      </c>
      <c r="J1005" t="s">
        <v>217</v>
      </c>
      <c r="K1005" t="s">
        <v>77</v>
      </c>
      <c r="M1005" t="b">
        <v>0</v>
      </c>
      <c r="N1005" t="s">
        <v>32</v>
      </c>
      <c r="O1005" t="s">
        <v>33</v>
      </c>
      <c r="Q1005">
        <v>180.44</v>
      </c>
      <c r="R1005">
        <v>7.7</v>
      </c>
      <c r="S1005" t="s">
        <v>81</v>
      </c>
      <c r="T1005">
        <v>28.1</v>
      </c>
      <c r="V1005">
        <v>113</v>
      </c>
      <c r="W1005">
        <v>69.400000000000006</v>
      </c>
      <c r="X1005">
        <v>11.2</v>
      </c>
      <c r="Y1005">
        <v>49.7</v>
      </c>
      <c r="Z1005">
        <v>1366417754</v>
      </c>
      <c r="AA1005">
        <v>20.593684</v>
      </c>
      <c r="AB1005">
        <v>78.962879999999998</v>
      </c>
    </row>
    <row r="1006" spans="1:28" hidden="1">
      <c r="A1006">
        <v>982</v>
      </c>
      <c r="B1006">
        <v>3000</v>
      </c>
      <c r="C1006" t="s">
        <v>26</v>
      </c>
      <c r="D1006" t="s">
        <v>2234</v>
      </c>
      <c r="E1006">
        <v>71</v>
      </c>
      <c r="G1006" t="s">
        <v>148</v>
      </c>
      <c r="H1006" t="s">
        <v>2235</v>
      </c>
      <c r="I1006" t="s">
        <v>200</v>
      </c>
      <c r="J1006" t="s">
        <v>26</v>
      </c>
      <c r="K1006" t="s">
        <v>148</v>
      </c>
      <c r="M1006" t="b">
        <v>1</v>
      </c>
      <c r="N1006" t="s">
        <v>42</v>
      </c>
      <c r="O1006" t="s">
        <v>33</v>
      </c>
      <c r="Q1006">
        <v>112.85</v>
      </c>
      <c r="R1006">
        <v>1.4</v>
      </c>
      <c r="S1006" t="s">
        <v>151</v>
      </c>
      <c r="T1006">
        <v>70.2</v>
      </c>
      <c r="V1006">
        <v>104</v>
      </c>
      <c r="W1006">
        <v>80.900000000000006</v>
      </c>
      <c r="X1006">
        <v>11.5</v>
      </c>
      <c r="Y1006">
        <v>48.8</v>
      </c>
      <c r="Z1006">
        <v>83132799</v>
      </c>
      <c r="AA1006">
        <v>51.165691000000002</v>
      </c>
      <c r="AB1006">
        <v>10.451525999999999</v>
      </c>
    </row>
    <row r="1007" spans="1:28" hidden="1">
      <c r="A1007">
        <v>982</v>
      </c>
      <c r="B1007">
        <v>3000</v>
      </c>
      <c r="C1007" t="s">
        <v>288</v>
      </c>
      <c r="D1007" t="s">
        <v>2236</v>
      </c>
      <c r="E1007">
        <v>51</v>
      </c>
      <c r="G1007" t="s">
        <v>156</v>
      </c>
      <c r="H1007" t="s">
        <v>2237</v>
      </c>
      <c r="I1007" t="s">
        <v>418</v>
      </c>
      <c r="J1007" t="s">
        <v>288</v>
      </c>
      <c r="K1007" t="s">
        <v>263</v>
      </c>
      <c r="M1007" t="b">
        <v>1</v>
      </c>
      <c r="N1007" t="s">
        <v>32</v>
      </c>
      <c r="O1007" t="s">
        <v>33</v>
      </c>
      <c r="Q1007">
        <v>99.55</v>
      </c>
      <c r="R1007">
        <v>0.4</v>
      </c>
      <c r="S1007" t="s">
        <v>159</v>
      </c>
      <c r="T1007">
        <v>59.6</v>
      </c>
      <c r="V1007">
        <v>105.2</v>
      </c>
      <c r="W1007">
        <v>83.6</v>
      </c>
      <c r="X1007">
        <v>10.1</v>
      </c>
      <c r="Y1007">
        <v>28.8</v>
      </c>
      <c r="Z1007">
        <v>8574832</v>
      </c>
      <c r="AA1007">
        <v>46.818187999999999</v>
      </c>
      <c r="AB1007">
        <v>8.2275120000000008</v>
      </c>
    </row>
    <row r="1008" spans="1:28" hidden="1">
      <c r="A1008">
        <v>982</v>
      </c>
      <c r="B1008">
        <v>3000</v>
      </c>
      <c r="C1008" t="s">
        <v>26</v>
      </c>
      <c r="D1008" t="s">
        <v>2238</v>
      </c>
      <c r="E1008">
        <v>73</v>
      </c>
      <c r="G1008" t="s">
        <v>810</v>
      </c>
      <c r="H1008" t="s">
        <v>811</v>
      </c>
      <c r="I1008" t="s">
        <v>410</v>
      </c>
      <c r="J1008" t="s">
        <v>26</v>
      </c>
      <c r="K1008" t="s">
        <v>810</v>
      </c>
      <c r="M1008" t="b">
        <v>1</v>
      </c>
      <c r="N1008" t="s">
        <v>42</v>
      </c>
      <c r="O1008" t="s">
        <v>33</v>
      </c>
    </row>
    <row r="1009" spans="1:28" hidden="1">
      <c r="A1009">
        <v>982</v>
      </c>
      <c r="B1009">
        <v>3000</v>
      </c>
      <c r="C1009" t="s">
        <v>45</v>
      </c>
      <c r="D1009" t="s">
        <v>2239</v>
      </c>
      <c r="E1009">
        <v>67</v>
      </c>
      <c r="G1009" t="s">
        <v>103</v>
      </c>
      <c r="H1009" t="s">
        <v>1785</v>
      </c>
      <c r="I1009" t="s">
        <v>897</v>
      </c>
      <c r="J1009" t="s">
        <v>45</v>
      </c>
      <c r="K1009" t="s">
        <v>103</v>
      </c>
      <c r="M1009" t="b">
        <v>1</v>
      </c>
      <c r="N1009" t="s">
        <v>42</v>
      </c>
      <c r="O1009" t="s">
        <v>33</v>
      </c>
      <c r="Q1009">
        <v>125.08</v>
      </c>
      <c r="R1009">
        <v>2.9</v>
      </c>
      <c r="S1009" t="s">
        <v>106</v>
      </c>
      <c r="T1009">
        <v>50.6</v>
      </c>
      <c r="V1009">
        <v>100.2</v>
      </c>
      <c r="W1009">
        <v>77</v>
      </c>
      <c r="X1009">
        <v>9.4</v>
      </c>
      <c r="Y1009">
        <v>59.2</v>
      </c>
      <c r="Z1009">
        <v>1397715000</v>
      </c>
      <c r="AA1009">
        <v>35.861660000000001</v>
      </c>
      <c r="AB1009">
        <v>104.195397</v>
      </c>
    </row>
    <row r="1010" spans="1:28" hidden="1">
      <c r="A1010">
        <v>982</v>
      </c>
      <c r="B1010">
        <v>3000</v>
      </c>
      <c r="C1010" t="s">
        <v>101</v>
      </c>
      <c r="D1010" t="s">
        <v>2240</v>
      </c>
      <c r="E1010">
        <v>71</v>
      </c>
      <c r="G1010" t="s">
        <v>77</v>
      </c>
      <c r="H1010" t="s">
        <v>78</v>
      </c>
      <c r="I1010" t="s">
        <v>1260</v>
      </c>
      <c r="J1010" t="s">
        <v>101</v>
      </c>
      <c r="K1010" t="s">
        <v>77</v>
      </c>
      <c r="M1010" t="b">
        <v>0</v>
      </c>
      <c r="N1010" t="s">
        <v>42</v>
      </c>
      <c r="O1010" t="s">
        <v>33</v>
      </c>
      <c r="Q1010">
        <v>180.44</v>
      </c>
      <c r="R1010">
        <v>7.7</v>
      </c>
      <c r="S1010" t="s">
        <v>81</v>
      </c>
      <c r="T1010">
        <v>28.1</v>
      </c>
      <c r="V1010">
        <v>113</v>
      </c>
      <c r="W1010">
        <v>69.400000000000006</v>
      </c>
      <c r="X1010">
        <v>11.2</v>
      </c>
      <c r="Y1010">
        <v>49.7</v>
      </c>
      <c r="Z1010">
        <v>1366417754</v>
      </c>
      <c r="AA1010">
        <v>20.593684</v>
      </c>
      <c r="AB1010">
        <v>78.962879999999998</v>
      </c>
    </row>
    <row r="1011" spans="1:28" hidden="1">
      <c r="A1011">
        <v>982</v>
      </c>
      <c r="B1011">
        <v>3000</v>
      </c>
      <c r="C1011" t="s">
        <v>288</v>
      </c>
      <c r="D1011" t="s">
        <v>2241</v>
      </c>
      <c r="E1011">
        <v>59</v>
      </c>
      <c r="G1011" t="s">
        <v>28</v>
      </c>
      <c r="H1011" t="s">
        <v>2242</v>
      </c>
      <c r="I1011" t="s">
        <v>2243</v>
      </c>
      <c r="J1011" t="s">
        <v>288</v>
      </c>
      <c r="K1011" t="s">
        <v>28</v>
      </c>
      <c r="M1011" t="b">
        <v>1</v>
      </c>
      <c r="N1011" t="s">
        <v>42</v>
      </c>
      <c r="O1011" t="s">
        <v>33</v>
      </c>
      <c r="Q1011">
        <v>110.05</v>
      </c>
      <c r="R1011">
        <v>1.1000000000000001</v>
      </c>
      <c r="S1011" t="s">
        <v>35</v>
      </c>
      <c r="T1011">
        <v>65.599999999999994</v>
      </c>
      <c r="V1011">
        <v>102.5</v>
      </c>
      <c r="W1011">
        <v>82.5</v>
      </c>
      <c r="X1011">
        <v>24.2</v>
      </c>
      <c r="Y1011">
        <v>60.7</v>
      </c>
      <c r="Z1011">
        <v>67059887</v>
      </c>
      <c r="AA1011">
        <v>46.227637999999999</v>
      </c>
      <c r="AB1011">
        <v>2.213749</v>
      </c>
    </row>
    <row r="1012" spans="1:28" hidden="1">
      <c r="A1012">
        <v>982</v>
      </c>
      <c r="B1012">
        <v>3000</v>
      </c>
      <c r="C1012" t="s">
        <v>288</v>
      </c>
      <c r="D1012" t="s">
        <v>2244</v>
      </c>
      <c r="E1012">
        <v>68</v>
      </c>
      <c r="G1012" t="s">
        <v>156</v>
      </c>
      <c r="H1012" t="s">
        <v>1363</v>
      </c>
      <c r="I1012" t="s">
        <v>418</v>
      </c>
      <c r="J1012" t="s">
        <v>288</v>
      </c>
      <c r="K1012" t="s">
        <v>156</v>
      </c>
      <c r="M1012" t="b">
        <v>0</v>
      </c>
      <c r="N1012" t="s">
        <v>42</v>
      </c>
      <c r="O1012" t="s">
        <v>88</v>
      </c>
      <c r="Q1012">
        <v>99.55</v>
      </c>
      <c r="R1012">
        <v>0.4</v>
      </c>
      <c r="S1012" t="s">
        <v>159</v>
      </c>
      <c r="T1012">
        <v>59.6</v>
      </c>
      <c r="V1012">
        <v>105.2</v>
      </c>
      <c r="W1012">
        <v>83.6</v>
      </c>
      <c r="X1012">
        <v>10.1</v>
      </c>
      <c r="Y1012">
        <v>28.8</v>
      </c>
      <c r="Z1012">
        <v>8574832</v>
      </c>
      <c r="AA1012">
        <v>46.818187999999999</v>
      </c>
      <c r="AB1012">
        <v>8.2275120000000008</v>
      </c>
    </row>
    <row r="1013" spans="1:28">
      <c r="A1013">
        <v>982</v>
      </c>
      <c r="B1013">
        <v>3000</v>
      </c>
      <c r="C1013" t="s">
        <v>54</v>
      </c>
      <c r="D1013" t="s">
        <v>2245</v>
      </c>
      <c r="E1013">
        <v>67</v>
      </c>
      <c r="F1013" t="str">
        <f>IF(E1013&gt;=90,"90-100",IF(E1013&gt;=80,"80-90",IF(E1013&gt;=70,"70-80",IF(E1013&gt;=60,"60-70",IF(E1013&gt;=50,"50-60",IF(E1013&gt;=40,"40-50",IF(E1013&gt;=30,"30-40","20-30")))))))</f>
        <v>60-70</v>
      </c>
      <c r="G1013" t="s">
        <v>38</v>
      </c>
      <c r="H1013" t="s">
        <v>65</v>
      </c>
      <c r="I1013" t="s">
        <v>185</v>
      </c>
      <c r="J1013" t="s">
        <v>54</v>
      </c>
      <c r="K1013" t="s">
        <v>38</v>
      </c>
      <c r="L1013" t="s">
        <v>2246</v>
      </c>
      <c r="M1013" t="b">
        <v>1</v>
      </c>
      <c r="N1013" t="s">
        <v>42</v>
      </c>
      <c r="O1013" t="s">
        <v>4867</v>
      </c>
      <c r="P1013" t="s">
        <v>146</v>
      </c>
      <c r="Q1013">
        <v>117.24</v>
      </c>
      <c r="R1013">
        <v>7.5</v>
      </c>
      <c r="S1013" t="s">
        <v>44</v>
      </c>
      <c r="T1013">
        <v>88.2</v>
      </c>
      <c r="U1013" t="str">
        <f>IF(T1013&gt;=100,"above 100",IF(T1013&gt;=80,"80-100",IF(T1013&gt;=60,"60-80",IF(T1013&gt;=40,"40-60",IF(T1013&gt;=20,"20-60","0-20")))))</f>
        <v>80-100</v>
      </c>
      <c r="V1013">
        <v>101.8</v>
      </c>
      <c r="W1013">
        <v>78.5</v>
      </c>
      <c r="X1013">
        <v>9.6</v>
      </c>
      <c r="Y1013">
        <v>36.6</v>
      </c>
      <c r="Z1013">
        <v>328239523</v>
      </c>
      <c r="AA1013">
        <v>37.090240000000001</v>
      </c>
      <c r="AB1013">
        <v>-95.712890999999999</v>
      </c>
    </row>
    <row r="1014" spans="1:28" hidden="1">
      <c r="A1014">
        <v>982</v>
      </c>
      <c r="B1014">
        <v>3000</v>
      </c>
      <c r="C1014" t="s">
        <v>288</v>
      </c>
      <c r="D1014" t="s">
        <v>2247</v>
      </c>
      <c r="E1014">
        <v>67</v>
      </c>
      <c r="G1014" t="s">
        <v>77</v>
      </c>
      <c r="H1014" t="s">
        <v>78</v>
      </c>
      <c r="I1014" t="s">
        <v>418</v>
      </c>
      <c r="J1014" t="s">
        <v>288</v>
      </c>
      <c r="K1014" t="s">
        <v>77</v>
      </c>
      <c r="M1014" t="b">
        <v>0</v>
      </c>
      <c r="N1014" t="s">
        <v>42</v>
      </c>
      <c r="O1014" t="s">
        <v>33</v>
      </c>
      <c r="Q1014">
        <v>180.44</v>
      </c>
      <c r="R1014">
        <v>7.7</v>
      </c>
      <c r="S1014" t="s">
        <v>81</v>
      </c>
      <c r="T1014">
        <v>28.1</v>
      </c>
      <c r="V1014">
        <v>113</v>
      </c>
      <c r="W1014">
        <v>69.400000000000006</v>
      </c>
      <c r="X1014">
        <v>11.2</v>
      </c>
      <c r="Y1014">
        <v>49.7</v>
      </c>
      <c r="Z1014">
        <v>1366417754</v>
      </c>
      <c r="AA1014">
        <v>20.593684</v>
      </c>
      <c r="AB1014">
        <v>78.962879999999998</v>
      </c>
    </row>
    <row r="1015" spans="1:28" hidden="1">
      <c r="A1015">
        <v>982</v>
      </c>
      <c r="B1015">
        <v>3000</v>
      </c>
      <c r="C1015" t="s">
        <v>26</v>
      </c>
      <c r="D1015" t="s">
        <v>2248</v>
      </c>
      <c r="E1015">
        <v>71</v>
      </c>
      <c r="G1015" t="s">
        <v>103</v>
      </c>
      <c r="H1015" t="s">
        <v>1514</v>
      </c>
      <c r="I1015" t="s">
        <v>200</v>
      </c>
      <c r="J1015" t="s">
        <v>26</v>
      </c>
      <c r="K1015" t="s">
        <v>103</v>
      </c>
      <c r="M1015" t="b">
        <v>1</v>
      </c>
      <c r="N1015" t="s">
        <v>42</v>
      </c>
      <c r="O1015" t="s">
        <v>33</v>
      </c>
      <c r="Q1015">
        <v>125.08</v>
      </c>
      <c r="R1015">
        <v>2.9</v>
      </c>
      <c r="S1015" t="s">
        <v>106</v>
      </c>
      <c r="T1015">
        <v>50.6</v>
      </c>
      <c r="V1015">
        <v>100.2</v>
      </c>
      <c r="W1015">
        <v>77</v>
      </c>
      <c r="X1015">
        <v>9.4</v>
      </c>
      <c r="Y1015">
        <v>59.2</v>
      </c>
      <c r="Z1015">
        <v>1397715000</v>
      </c>
      <c r="AA1015">
        <v>35.861660000000001</v>
      </c>
      <c r="AB1015">
        <v>104.195397</v>
      </c>
    </row>
    <row r="1016" spans="1:28" hidden="1">
      <c r="A1016">
        <v>982</v>
      </c>
      <c r="B1016">
        <v>3000</v>
      </c>
      <c r="C1016" t="s">
        <v>26</v>
      </c>
      <c r="D1016" t="s">
        <v>2249</v>
      </c>
      <c r="E1016">
        <v>86</v>
      </c>
      <c r="G1016" t="s">
        <v>203</v>
      </c>
      <c r="H1016" t="s">
        <v>204</v>
      </c>
      <c r="I1016" t="s">
        <v>792</v>
      </c>
      <c r="J1016" t="s">
        <v>26</v>
      </c>
      <c r="K1016" t="s">
        <v>203</v>
      </c>
      <c r="M1016" t="b">
        <v>0</v>
      </c>
      <c r="N1016" t="s">
        <v>853</v>
      </c>
      <c r="O1016" t="s">
        <v>33</v>
      </c>
      <c r="Q1016">
        <v>119.62</v>
      </c>
      <c r="R1016">
        <v>1.7</v>
      </c>
      <c r="S1016" t="s">
        <v>206</v>
      </c>
      <c r="T1016">
        <v>60</v>
      </c>
      <c r="V1016">
        <v>101.2</v>
      </c>
      <c r="W1016">
        <v>81.3</v>
      </c>
      <c r="X1016">
        <v>25.5</v>
      </c>
      <c r="Y1016">
        <v>30.6</v>
      </c>
      <c r="Z1016">
        <v>66834405</v>
      </c>
      <c r="AA1016">
        <v>55.378050999999999</v>
      </c>
      <c r="AB1016">
        <v>-3.4359730000000002</v>
      </c>
    </row>
    <row r="1017" spans="1:28" hidden="1">
      <c r="A1017">
        <v>982</v>
      </c>
      <c r="B1017">
        <v>3000</v>
      </c>
      <c r="C1017" t="s">
        <v>101</v>
      </c>
      <c r="D1017" t="s">
        <v>2250</v>
      </c>
      <c r="E1017">
        <v>64</v>
      </c>
      <c r="G1017" t="s">
        <v>38</v>
      </c>
      <c r="H1017" t="s">
        <v>1491</v>
      </c>
      <c r="I1017" t="s">
        <v>1875</v>
      </c>
      <c r="J1017" t="s">
        <v>101</v>
      </c>
      <c r="K1017" t="s">
        <v>38</v>
      </c>
      <c r="M1017" t="b">
        <v>0</v>
      </c>
      <c r="N1017" t="s">
        <v>212</v>
      </c>
      <c r="O1017" t="s">
        <v>33</v>
      </c>
      <c r="Q1017">
        <v>117.24</v>
      </c>
      <c r="R1017">
        <v>7.5</v>
      </c>
      <c r="S1017" t="s">
        <v>44</v>
      </c>
      <c r="T1017">
        <v>88.2</v>
      </c>
      <c r="V1017">
        <v>101.8</v>
      </c>
      <c r="W1017">
        <v>78.5</v>
      </c>
      <c r="X1017">
        <v>9.6</v>
      </c>
      <c r="Y1017">
        <v>36.6</v>
      </c>
      <c r="Z1017">
        <v>328239523</v>
      </c>
      <c r="AA1017">
        <v>37.090240000000001</v>
      </c>
      <c r="AB1017">
        <v>-95.712890999999999</v>
      </c>
    </row>
    <row r="1018" spans="1:28" hidden="1">
      <c r="A1018">
        <v>982</v>
      </c>
      <c r="B1018">
        <v>3000</v>
      </c>
      <c r="C1018" t="s">
        <v>221</v>
      </c>
      <c r="D1018" t="s">
        <v>2251</v>
      </c>
      <c r="E1018">
        <v>55</v>
      </c>
      <c r="G1018" t="s">
        <v>397</v>
      </c>
      <c r="H1018" t="s">
        <v>2252</v>
      </c>
      <c r="I1018" t="s">
        <v>223</v>
      </c>
      <c r="J1018" t="s">
        <v>221</v>
      </c>
      <c r="K1018" t="s">
        <v>397</v>
      </c>
      <c r="M1018" t="b">
        <v>1</v>
      </c>
      <c r="N1018" t="s">
        <v>42</v>
      </c>
      <c r="O1018" t="s">
        <v>33</v>
      </c>
      <c r="Q1018">
        <v>110.51</v>
      </c>
      <c r="R1018">
        <v>1.8</v>
      </c>
      <c r="S1018" t="s">
        <v>401</v>
      </c>
      <c r="T1018">
        <v>67</v>
      </c>
      <c r="V1018">
        <v>126.6</v>
      </c>
      <c r="W1018">
        <v>82.5</v>
      </c>
      <c r="X1018">
        <v>27.9</v>
      </c>
      <c r="Y1018">
        <v>49.1</v>
      </c>
      <c r="Z1018">
        <v>10285453</v>
      </c>
      <c r="AA1018">
        <v>60.128160999999999</v>
      </c>
      <c r="AB1018">
        <v>18.643501000000001</v>
      </c>
    </row>
    <row r="1019" spans="1:28" hidden="1">
      <c r="A1019">
        <v>982</v>
      </c>
      <c r="B1019">
        <v>3000</v>
      </c>
      <c r="C1019" t="s">
        <v>101</v>
      </c>
      <c r="D1019" t="s">
        <v>2253</v>
      </c>
      <c r="E1019">
        <v>54</v>
      </c>
      <c r="G1019" t="s">
        <v>103</v>
      </c>
      <c r="H1019" t="s">
        <v>521</v>
      </c>
      <c r="I1019" t="s">
        <v>861</v>
      </c>
      <c r="J1019" t="s">
        <v>101</v>
      </c>
      <c r="K1019" t="s">
        <v>103</v>
      </c>
      <c r="M1019" t="b">
        <v>1</v>
      </c>
      <c r="N1019" t="s">
        <v>42</v>
      </c>
      <c r="O1019" t="s">
        <v>33</v>
      </c>
      <c r="Q1019">
        <v>125.08</v>
      </c>
      <c r="R1019">
        <v>2.9</v>
      </c>
      <c r="S1019" t="s">
        <v>106</v>
      </c>
      <c r="T1019">
        <v>50.6</v>
      </c>
      <c r="V1019">
        <v>100.2</v>
      </c>
      <c r="W1019">
        <v>77</v>
      </c>
      <c r="X1019">
        <v>9.4</v>
      </c>
      <c r="Y1019">
        <v>59.2</v>
      </c>
      <c r="Z1019">
        <v>1397715000</v>
      </c>
      <c r="AA1019">
        <v>35.861660000000001</v>
      </c>
      <c r="AB1019">
        <v>104.195397</v>
      </c>
    </row>
    <row r="1020" spans="1:28" hidden="1">
      <c r="A1020">
        <v>982</v>
      </c>
      <c r="B1020">
        <v>3000</v>
      </c>
      <c r="C1020" t="s">
        <v>217</v>
      </c>
      <c r="D1020" t="s">
        <v>2254</v>
      </c>
      <c r="E1020">
        <v>63</v>
      </c>
      <c r="G1020" t="s">
        <v>395</v>
      </c>
      <c r="H1020" t="s">
        <v>395</v>
      </c>
      <c r="I1020" t="s">
        <v>2160</v>
      </c>
      <c r="J1020" t="s">
        <v>217</v>
      </c>
      <c r="K1020" t="s">
        <v>252</v>
      </c>
      <c r="M1020" t="b">
        <v>1</v>
      </c>
      <c r="N1020" t="s">
        <v>32</v>
      </c>
      <c r="O1020" t="s">
        <v>33</v>
      </c>
      <c r="Q1020">
        <v>114.41</v>
      </c>
      <c r="R1020">
        <v>0.6</v>
      </c>
      <c r="S1020" t="s">
        <v>451</v>
      </c>
      <c r="T1020">
        <v>84.8</v>
      </c>
      <c r="V1020">
        <v>100.6</v>
      </c>
      <c r="W1020">
        <v>83.1</v>
      </c>
      <c r="X1020">
        <v>13.1</v>
      </c>
      <c r="Y1020">
        <v>21</v>
      </c>
      <c r="Z1020">
        <v>5703569</v>
      </c>
      <c r="AA1020">
        <v>1.3520829999999999</v>
      </c>
      <c r="AB1020">
        <v>103.819836</v>
      </c>
    </row>
    <row r="1021" spans="1:28" hidden="1">
      <c r="A1021">
        <v>982</v>
      </c>
      <c r="B1021">
        <v>3000</v>
      </c>
      <c r="C1021" t="s">
        <v>75</v>
      </c>
      <c r="D1021" t="s">
        <v>2255</v>
      </c>
      <c r="E1021">
        <v>60</v>
      </c>
      <c r="G1021" t="s">
        <v>103</v>
      </c>
      <c r="H1021" t="s">
        <v>2256</v>
      </c>
      <c r="I1021" t="s">
        <v>75</v>
      </c>
      <c r="J1021" t="s">
        <v>75</v>
      </c>
      <c r="K1021" t="s">
        <v>103</v>
      </c>
      <c r="M1021" t="b">
        <v>1</v>
      </c>
      <c r="N1021" t="s">
        <v>32</v>
      </c>
      <c r="O1021" t="s">
        <v>33</v>
      </c>
      <c r="Q1021">
        <v>125.08</v>
      </c>
      <c r="R1021">
        <v>2.9</v>
      </c>
      <c r="S1021" t="s">
        <v>106</v>
      </c>
      <c r="T1021">
        <v>50.6</v>
      </c>
      <c r="V1021">
        <v>100.2</v>
      </c>
      <c r="W1021">
        <v>77</v>
      </c>
      <c r="X1021">
        <v>9.4</v>
      </c>
      <c r="Y1021">
        <v>59.2</v>
      </c>
      <c r="Z1021">
        <v>1397715000</v>
      </c>
      <c r="AA1021">
        <v>35.861660000000001</v>
      </c>
      <c r="AB1021">
        <v>104.195397</v>
      </c>
    </row>
    <row r="1022" spans="1:28" hidden="1">
      <c r="A1022">
        <v>982</v>
      </c>
      <c r="B1022">
        <v>3000</v>
      </c>
      <c r="C1022" t="s">
        <v>75</v>
      </c>
      <c r="D1022" t="s">
        <v>2257</v>
      </c>
      <c r="E1022">
        <v>73</v>
      </c>
      <c r="G1022" t="s">
        <v>395</v>
      </c>
      <c r="H1022" t="s">
        <v>395</v>
      </c>
      <c r="I1022" t="s">
        <v>75</v>
      </c>
      <c r="J1022" t="s">
        <v>75</v>
      </c>
      <c r="K1022" t="s">
        <v>252</v>
      </c>
      <c r="M1022" t="b">
        <v>1</v>
      </c>
      <c r="N1022" t="s">
        <v>32</v>
      </c>
      <c r="O1022" t="s">
        <v>33</v>
      </c>
      <c r="Q1022">
        <v>114.41</v>
      </c>
      <c r="R1022">
        <v>0.6</v>
      </c>
      <c r="S1022" t="s">
        <v>451</v>
      </c>
      <c r="T1022">
        <v>84.8</v>
      </c>
      <c r="V1022">
        <v>100.6</v>
      </c>
      <c r="W1022">
        <v>83.1</v>
      </c>
      <c r="X1022">
        <v>13.1</v>
      </c>
      <c r="Y1022">
        <v>21</v>
      </c>
      <c r="Z1022">
        <v>5703569</v>
      </c>
      <c r="AA1022">
        <v>1.3520829999999999</v>
      </c>
      <c r="AB1022">
        <v>103.819836</v>
      </c>
    </row>
    <row r="1023" spans="1:28" hidden="1">
      <c r="A1023">
        <v>982</v>
      </c>
      <c r="B1023">
        <v>3000</v>
      </c>
      <c r="C1023" t="s">
        <v>308</v>
      </c>
      <c r="D1023" t="s">
        <v>2258</v>
      </c>
      <c r="E1023">
        <v>65</v>
      </c>
      <c r="G1023" t="s">
        <v>260</v>
      </c>
      <c r="H1023" t="s">
        <v>515</v>
      </c>
      <c r="I1023" t="s">
        <v>2155</v>
      </c>
      <c r="J1023" t="s">
        <v>308</v>
      </c>
      <c r="K1023" t="s">
        <v>77</v>
      </c>
      <c r="M1023" t="b">
        <v>0</v>
      </c>
      <c r="N1023" t="s">
        <v>32</v>
      </c>
      <c r="O1023" t="s">
        <v>33</v>
      </c>
      <c r="Q1023">
        <v>114.52</v>
      </c>
      <c r="R1023">
        <v>-1.9</v>
      </c>
      <c r="S1023" t="s">
        <v>264</v>
      </c>
      <c r="T1023">
        <v>36.799999999999997</v>
      </c>
      <c r="V1023">
        <v>108.4</v>
      </c>
      <c r="W1023">
        <v>77.8</v>
      </c>
      <c r="X1023">
        <v>0.1</v>
      </c>
      <c r="Y1023">
        <v>15.9</v>
      </c>
      <c r="Z1023">
        <v>9770529</v>
      </c>
      <c r="AA1023">
        <v>23.424075999999999</v>
      </c>
      <c r="AB1023">
        <v>53.847817999999997</v>
      </c>
    </row>
    <row r="1024" spans="1:28" hidden="1">
      <c r="A1024">
        <v>982</v>
      </c>
      <c r="B1024">
        <v>3000</v>
      </c>
      <c r="C1024" t="s">
        <v>63</v>
      </c>
      <c r="D1024" t="s">
        <v>2259</v>
      </c>
      <c r="E1024">
        <v>42</v>
      </c>
      <c r="G1024" t="s">
        <v>395</v>
      </c>
      <c r="H1024" t="s">
        <v>395</v>
      </c>
      <c r="I1024" t="s">
        <v>1472</v>
      </c>
      <c r="J1024" t="s">
        <v>63</v>
      </c>
      <c r="K1024" t="s">
        <v>395</v>
      </c>
      <c r="M1024" t="b">
        <v>1</v>
      </c>
      <c r="N1024" t="s">
        <v>42</v>
      </c>
      <c r="O1024" t="s">
        <v>33</v>
      </c>
      <c r="Q1024">
        <v>114.41</v>
      </c>
      <c r="R1024">
        <v>0.6</v>
      </c>
      <c r="S1024" t="s">
        <v>451</v>
      </c>
      <c r="T1024">
        <v>84.8</v>
      </c>
      <c r="V1024">
        <v>100.6</v>
      </c>
      <c r="W1024">
        <v>83.1</v>
      </c>
      <c r="X1024">
        <v>13.1</v>
      </c>
      <c r="Y1024">
        <v>21</v>
      </c>
      <c r="Z1024">
        <v>5703569</v>
      </c>
      <c r="AA1024">
        <v>1.3520829999999999</v>
      </c>
      <c r="AB1024">
        <v>103.819836</v>
      </c>
    </row>
    <row r="1025" spans="1:28" hidden="1">
      <c r="A1025">
        <v>982</v>
      </c>
      <c r="B1025">
        <v>3000</v>
      </c>
      <c r="C1025" t="s">
        <v>288</v>
      </c>
      <c r="D1025" t="s">
        <v>2260</v>
      </c>
      <c r="E1025">
        <v>60</v>
      </c>
      <c r="G1025" t="s">
        <v>103</v>
      </c>
      <c r="H1025" t="s">
        <v>104</v>
      </c>
      <c r="I1025" t="s">
        <v>418</v>
      </c>
      <c r="J1025" t="s">
        <v>288</v>
      </c>
      <c r="K1025" t="s">
        <v>103</v>
      </c>
      <c r="M1025" t="b">
        <v>1</v>
      </c>
      <c r="N1025" t="s">
        <v>32</v>
      </c>
      <c r="O1025" t="s">
        <v>33</v>
      </c>
      <c r="Q1025">
        <v>125.08</v>
      </c>
      <c r="R1025">
        <v>2.9</v>
      </c>
      <c r="S1025" t="s">
        <v>106</v>
      </c>
      <c r="T1025">
        <v>50.6</v>
      </c>
      <c r="V1025">
        <v>100.2</v>
      </c>
      <c r="W1025">
        <v>77</v>
      </c>
      <c r="X1025">
        <v>9.4</v>
      </c>
      <c r="Y1025">
        <v>59.2</v>
      </c>
      <c r="Z1025">
        <v>1397715000</v>
      </c>
      <c r="AA1025">
        <v>35.861660000000001</v>
      </c>
      <c r="AB1025">
        <v>104.195397</v>
      </c>
    </row>
    <row r="1026" spans="1:28" hidden="1">
      <c r="A1026">
        <v>982</v>
      </c>
      <c r="B1026">
        <v>3000</v>
      </c>
      <c r="C1026" t="s">
        <v>54</v>
      </c>
      <c r="D1026" t="s">
        <v>2261</v>
      </c>
      <c r="E1026">
        <v>50</v>
      </c>
      <c r="G1026" t="s">
        <v>172</v>
      </c>
      <c r="H1026" t="s">
        <v>172</v>
      </c>
      <c r="I1026" t="s">
        <v>231</v>
      </c>
      <c r="J1026" t="s">
        <v>54</v>
      </c>
      <c r="K1026" t="s">
        <v>103</v>
      </c>
      <c r="M1026" t="b">
        <v>1</v>
      </c>
      <c r="N1026" t="s">
        <v>419</v>
      </c>
      <c r="O1026" t="s">
        <v>33</v>
      </c>
    </row>
    <row r="1027" spans="1:28" hidden="1">
      <c r="A1027">
        <v>982</v>
      </c>
      <c r="B1027">
        <v>3000</v>
      </c>
      <c r="C1027" t="s">
        <v>217</v>
      </c>
      <c r="D1027" t="s">
        <v>2262</v>
      </c>
      <c r="E1027">
        <v>65</v>
      </c>
      <c r="G1027" t="s">
        <v>103</v>
      </c>
      <c r="H1027" t="s">
        <v>215</v>
      </c>
      <c r="I1027" t="s">
        <v>2263</v>
      </c>
      <c r="J1027" t="s">
        <v>217</v>
      </c>
      <c r="K1027" t="s">
        <v>103</v>
      </c>
      <c r="M1027" t="b">
        <v>1</v>
      </c>
      <c r="N1027" t="s">
        <v>42</v>
      </c>
      <c r="O1027" t="s">
        <v>33</v>
      </c>
      <c r="Q1027">
        <v>125.08</v>
      </c>
      <c r="R1027">
        <v>2.9</v>
      </c>
      <c r="S1027" t="s">
        <v>106</v>
      </c>
      <c r="T1027">
        <v>50.6</v>
      </c>
      <c r="V1027">
        <v>100.2</v>
      </c>
      <c r="W1027">
        <v>77</v>
      </c>
      <c r="X1027">
        <v>9.4</v>
      </c>
      <c r="Y1027">
        <v>59.2</v>
      </c>
      <c r="Z1027">
        <v>1397715000</v>
      </c>
      <c r="AA1027">
        <v>35.861660000000001</v>
      </c>
      <c r="AB1027">
        <v>104.195397</v>
      </c>
    </row>
    <row r="1028" spans="1:28" hidden="1">
      <c r="A1028">
        <v>1027</v>
      </c>
      <c r="B1028">
        <v>2900</v>
      </c>
      <c r="C1028" t="s">
        <v>26</v>
      </c>
      <c r="D1028" t="s">
        <v>2264</v>
      </c>
      <c r="E1028">
        <v>69</v>
      </c>
      <c r="G1028" t="s">
        <v>95</v>
      </c>
      <c r="H1028" t="s">
        <v>2265</v>
      </c>
      <c r="I1028" t="s">
        <v>200</v>
      </c>
      <c r="J1028" t="s">
        <v>26</v>
      </c>
      <c r="K1028" t="s">
        <v>95</v>
      </c>
      <c r="M1028" t="b">
        <v>1</v>
      </c>
      <c r="N1028" t="s">
        <v>32</v>
      </c>
      <c r="O1028" t="s">
        <v>33</v>
      </c>
      <c r="Q1028">
        <v>110.96</v>
      </c>
      <c r="R1028">
        <v>0.7</v>
      </c>
      <c r="S1028" t="s">
        <v>98</v>
      </c>
      <c r="T1028">
        <v>88.9</v>
      </c>
      <c r="V1028">
        <v>102.7</v>
      </c>
      <c r="W1028">
        <v>83.3</v>
      </c>
      <c r="X1028">
        <v>14.2</v>
      </c>
      <c r="Y1028">
        <v>47</v>
      </c>
      <c r="Z1028">
        <v>47076781</v>
      </c>
      <c r="AA1028">
        <v>40.463667000000001</v>
      </c>
      <c r="AB1028">
        <v>-3.7492200000000002</v>
      </c>
    </row>
    <row r="1029" spans="1:28" hidden="1">
      <c r="A1029">
        <v>1027</v>
      </c>
      <c r="B1029">
        <v>2900</v>
      </c>
      <c r="C1029" t="s">
        <v>36</v>
      </c>
      <c r="D1029" t="s">
        <v>2266</v>
      </c>
      <c r="E1029">
        <v>82</v>
      </c>
      <c r="G1029" t="s">
        <v>164</v>
      </c>
      <c r="H1029" t="s">
        <v>2267</v>
      </c>
      <c r="I1029" t="s">
        <v>2268</v>
      </c>
      <c r="J1029" t="s">
        <v>36</v>
      </c>
      <c r="K1029" t="s">
        <v>164</v>
      </c>
      <c r="M1029" t="b">
        <v>0</v>
      </c>
      <c r="N1029" t="s">
        <v>32</v>
      </c>
      <c r="O1029" t="s">
        <v>33</v>
      </c>
      <c r="Q1029">
        <v>110.62</v>
      </c>
      <c r="R1029">
        <v>0.6</v>
      </c>
      <c r="S1029" t="s">
        <v>539</v>
      </c>
      <c r="T1029">
        <v>61.9</v>
      </c>
      <c r="V1029">
        <v>101.9</v>
      </c>
      <c r="W1029">
        <v>82.9</v>
      </c>
      <c r="X1029">
        <v>24.3</v>
      </c>
      <c r="Y1029">
        <v>59.1</v>
      </c>
      <c r="Z1029">
        <v>60297396</v>
      </c>
      <c r="AA1029">
        <v>41.871940000000002</v>
      </c>
      <c r="AB1029">
        <v>12.56738</v>
      </c>
    </row>
    <row r="1030" spans="1:28" hidden="1">
      <c r="A1030">
        <v>1027</v>
      </c>
      <c r="B1030">
        <v>2900</v>
      </c>
      <c r="C1030" t="s">
        <v>288</v>
      </c>
      <c r="D1030" t="s">
        <v>2269</v>
      </c>
      <c r="E1030">
        <v>65</v>
      </c>
      <c r="G1030" t="s">
        <v>103</v>
      </c>
      <c r="H1030" t="s">
        <v>2270</v>
      </c>
      <c r="I1030" t="s">
        <v>418</v>
      </c>
      <c r="J1030" t="s">
        <v>288</v>
      </c>
      <c r="K1030" t="s">
        <v>103</v>
      </c>
      <c r="M1030" t="b">
        <v>1</v>
      </c>
      <c r="N1030" t="s">
        <v>419</v>
      </c>
      <c r="O1030" t="s">
        <v>33</v>
      </c>
      <c r="Q1030">
        <v>125.08</v>
      </c>
      <c r="R1030">
        <v>2.9</v>
      </c>
      <c r="S1030" t="s">
        <v>106</v>
      </c>
      <c r="T1030">
        <v>50.6</v>
      </c>
      <c r="V1030">
        <v>100.2</v>
      </c>
      <c r="W1030">
        <v>77</v>
      </c>
      <c r="X1030">
        <v>9.4</v>
      </c>
      <c r="Y1030">
        <v>59.2</v>
      </c>
      <c r="Z1030">
        <v>1397715000</v>
      </c>
      <c r="AA1030">
        <v>35.861660000000001</v>
      </c>
      <c r="AB1030">
        <v>104.195397</v>
      </c>
    </row>
    <row r="1031" spans="1:28" hidden="1">
      <c r="A1031">
        <v>1027</v>
      </c>
      <c r="B1031">
        <v>2900</v>
      </c>
      <c r="C1031" t="s">
        <v>221</v>
      </c>
      <c r="D1031" t="s">
        <v>2271</v>
      </c>
      <c r="E1031">
        <v>60</v>
      </c>
      <c r="G1031" t="s">
        <v>38</v>
      </c>
      <c r="H1031" t="s">
        <v>2272</v>
      </c>
      <c r="I1031" t="s">
        <v>223</v>
      </c>
      <c r="J1031" t="s">
        <v>221</v>
      </c>
      <c r="K1031" t="s">
        <v>38</v>
      </c>
      <c r="M1031" t="b">
        <v>1</v>
      </c>
      <c r="N1031" t="s">
        <v>192</v>
      </c>
      <c r="O1031" t="s">
        <v>33</v>
      </c>
      <c r="Q1031">
        <v>117.24</v>
      </c>
      <c r="R1031">
        <v>7.5</v>
      </c>
      <c r="S1031" t="s">
        <v>44</v>
      </c>
      <c r="T1031">
        <v>88.2</v>
      </c>
      <c r="V1031">
        <v>101.8</v>
      </c>
      <c r="W1031">
        <v>78.5</v>
      </c>
      <c r="X1031">
        <v>9.6</v>
      </c>
      <c r="Y1031">
        <v>36.6</v>
      </c>
      <c r="Z1031">
        <v>328239523</v>
      </c>
      <c r="AA1031">
        <v>37.090240000000001</v>
      </c>
      <c r="AB1031">
        <v>-95.712890999999999</v>
      </c>
    </row>
    <row r="1032" spans="1:28" hidden="1">
      <c r="A1032">
        <v>1027</v>
      </c>
      <c r="B1032">
        <v>2900</v>
      </c>
      <c r="C1032" t="s">
        <v>68</v>
      </c>
      <c r="D1032" t="s">
        <v>2273</v>
      </c>
      <c r="E1032">
        <v>70</v>
      </c>
      <c r="G1032" t="s">
        <v>203</v>
      </c>
      <c r="H1032" t="s">
        <v>975</v>
      </c>
      <c r="I1032" t="s">
        <v>2274</v>
      </c>
      <c r="J1032" t="s">
        <v>68</v>
      </c>
      <c r="K1032" t="s">
        <v>203</v>
      </c>
      <c r="M1032" t="b">
        <v>1</v>
      </c>
      <c r="N1032" t="s">
        <v>42</v>
      </c>
      <c r="O1032" t="s">
        <v>33</v>
      </c>
      <c r="Q1032">
        <v>119.62</v>
      </c>
      <c r="R1032">
        <v>1.7</v>
      </c>
      <c r="S1032" t="s">
        <v>206</v>
      </c>
      <c r="T1032">
        <v>60</v>
      </c>
      <c r="V1032">
        <v>101.2</v>
      </c>
      <c r="W1032">
        <v>81.3</v>
      </c>
      <c r="X1032">
        <v>25.5</v>
      </c>
      <c r="Y1032">
        <v>30.6</v>
      </c>
      <c r="Z1032">
        <v>66834405</v>
      </c>
      <c r="AA1032">
        <v>55.378050999999999</v>
      </c>
      <c r="AB1032">
        <v>-3.4359730000000002</v>
      </c>
    </row>
    <row r="1033" spans="1:28">
      <c r="A1033">
        <v>1027</v>
      </c>
      <c r="B1033">
        <v>2900</v>
      </c>
      <c r="C1033" t="s">
        <v>45</v>
      </c>
      <c r="D1033" t="s">
        <v>2275</v>
      </c>
      <c r="E1033">
        <v>79</v>
      </c>
      <c r="F1033" t="str">
        <f>IF(E1033&gt;=90,"90-100",IF(E1033&gt;=80,"80-90",IF(E1033&gt;=70,"70-80",IF(E1033&gt;=60,"60-70",IF(E1033&gt;=50,"50-60",IF(E1033&gt;=40,"40-50",IF(E1033&gt;=30,"30-40","20-30")))))))</f>
        <v>70-80</v>
      </c>
      <c r="G1033" t="s">
        <v>38</v>
      </c>
      <c r="H1033" t="s">
        <v>257</v>
      </c>
      <c r="I1033" t="s">
        <v>2276</v>
      </c>
      <c r="J1033" t="s">
        <v>45</v>
      </c>
      <c r="K1033" t="s">
        <v>38</v>
      </c>
      <c r="L1033" t="s">
        <v>2277</v>
      </c>
      <c r="M1033" t="b">
        <v>1</v>
      </c>
      <c r="N1033" t="s">
        <v>42</v>
      </c>
      <c r="O1033" t="s">
        <v>4867</v>
      </c>
      <c r="P1033" t="s">
        <v>110</v>
      </c>
      <c r="Q1033">
        <v>117.24</v>
      </c>
      <c r="R1033">
        <v>7.5</v>
      </c>
      <c r="S1033" t="s">
        <v>44</v>
      </c>
      <c r="T1033">
        <v>88.2</v>
      </c>
      <c r="U1033" t="str">
        <f t="shared" ref="U1033:U1034" si="37">IF(T1033&gt;=100,"above 100",IF(T1033&gt;=80,"80-100",IF(T1033&gt;=60,"60-80",IF(T1033&gt;=40,"40-60",IF(T1033&gt;=20,"20-60","0-20")))))</f>
        <v>80-100</v>
      </c>
      <c r="V1033">
        <v>101.8</v>
      </c>
      <c r="W1033">
        <v>78.5</v>
      </c>
      <c r="X1033">
        <v>9.6</v>
      </c>
      <c r="Y1033">
        <v>36.6</v>
      </c>
      <c r="Z1033">
        <v>328239523</v>
      </c>
      <c r="AA1033">
        <v>37.090240000000001</v>
      </c>
      <c r="AB1033">
        <v>-95.712890999999999</v>
      </c>
    </row>
    <row r="1034" spans="1:28">
      <c r="A1034">
        <v>1027</v>
      </c>
      <c r="B1034">
        <v>2900</v>
      </c>
      <c r="C1034" t="s">
        <v>26</v>
      </c>
      <c r="D1034" t="s">
        <v>2278</v>
      </c>
      <c r="E1034">
        <v>66</v>
      </c>
      <c r="F1034" t="str">
        <f>IF(E1034&gt;=90,"90-100",IF(E1034&gt;=80,"80-90",IF(E1034&gt;=70,"70-80",IF(E1034&gt;=60,"60-70",IF(E1034&gt;=50,"50-60",IF(E1034&gt;=40,"40-50",IF(E1034&gt;=30,"30-40","20-30")))))))</f>
        <v>60-70</v>
      </c>
      <c r="G1034" t="s">
        <v>127</v>
      </c>
      <c r="H1034" t="s">
        <v>1129</v>
      </c>
      <c r="I1034" t="s">
        <v>2279</v>
      </c>
      <c r="J1034" t="s">
        <v>26</v>
      </c>
      <c r="K1034" t="s">
        <v>127</v>
      </c>
      <c r="L1034" t="s">
        <v>1131</v>
      </c>
      <c r="M1034" t="b">
        <v>1</v>
      </c>
      <c r="N1034" t="s">
        <v>32</v>
      </c>
      <c r="O1034" t="s">
        <v>4867</v>
      </c>
      <c r="P1034" t="s">
        <v>2280</v>
      </c>
      <c r="Q1034">
        <v>116.76</v>
      </c>
      <c r="R1034">
        <v>1.9</v>
      </c>
      <c r="S1034" t="s">
        <v>132</v>
      </c>
      <c r="T1034">
        <v>68.900000000000006</v>
      </c>
      <c r="U1034" t="str">
        <f t="shared" si="37"/>
        <v>60-80</v>
      </c>
      <c r="V1034">
        <v>100.9</v>
      </c>
      <c r="W1034">
        <v>81.900000000000006</v>
      </c>
      <c r="X1034">
        <v>12.8</v>
      </c>
      <c r="Y1034">
        <v>24.5</v>
      </c>
      <c r="Z1034">
        <v>36991981</v>
      </c>
      <c r="AA1034">
        <v>56.130366000000002</v>
      </c>
      <c r="AB1034">
        <v>-106.346771</v>
      </c>
    </row>
    <row r="1035" spans="1:28" hidden="1">
      <c r="A1035">
        <v>1027</v>
      </c>
      <c r="B1035">
        <v>2900</v>
      </c>
      <c r="C1035" t="s">
        <v>26</v>
      </c>
      <c r="D1035" t="s">
        <v>2281</v>
      </c>
      <c r="E1035">
        <v>78</v>
      </c>
      <c r="G1035" t="s">
        <v>38</v>
      </c>
      <c r="H1035" t="s">
        <v>39</v>
      </c>
      <c r="I1035" t="s">
        <v>2282</v>
      </c>
      <c r="J1035" t="s">
        <v>26</v>
      </c>
      <c r="K1035" t="s">
        <v>38</v>
      </c>
      <c r="M1035" t="b">
        <v>1</v>
      </c>
      <c r="N1035" t="s">
        <v>32</v>
      </c>
      <c r="O1035" t="s">
        <v>33</v>
      </c>
      <c r="Q1035">
        <v>117.24</v>
      </c>
      <c r="R1035">
        <v>7.5</v>
      </c>
      <c r="S1035" t="s">
        <v>44</v>
      </c>
      <c r="T1035">
        <v>88.2</v>
      </c>
      <c r="V1035">
        <v>101.8</v>
      </c>
      <c r="W1035">
        <v>78.5</v>
      </c>
      <c r="X1035">
        <v>9.6</v>
      </c>
      <c r="Y1035">
        <v>36.6</v>
      </c>
      <c r="Z1035">
        <v>328239523</v>
      </c>
      <c r="AA1035">
        <v>37.090240000000001</v>
      </c>
      <c r="AB1035">
        <v>-95.712890999999999</v>
      </c>
    </row>
    <row r="1036" spans="1:28" hidden="1">
      <c r="A1036">
        <v>1027</v>
      </c>
      <c r="B1036">
        <v>2900</v>
      </c>
      <c r="C1036" t="s">
        <v>478</v>
      </c>
      <c r="D1036" t="s">
        <v>2283</v>
      </c>
      <c r="E1036">
        <v>92</v>
      </c>
      <c r="G1036" t="s">
        <v>203</v>
      </c>
      <c r="H1036" t="s">
        <v>204</v>
      </c>
      <c r="I1036" t="s">
        <v>2284</v>
      </c>
      <c r="J1036" t="s">
        <v>478</v>
      </c>
      <c r="K1036" t="s">
        <v>203</v>
      </c>
      <c r="M1036" t="b">
        <v>1</v>
      </c>
      <c r="N1036" t="s">
        <v>42</v>
      </c>
      <c r="O1036" t="s">
        <v>33</v>
      </c>
      <c r="Q1036">
        <v>119.62</v>
      </c>
      <c r="R1036">
        <v>1.7</v>
      </c>
      <c r="S1036" t="s">
        <v>206</v>
      </c>
      <c r="T1036">
        <v>60</v>
      </c>
      <c r="V1036">
        <v>101.2</v>
      </c>
      <c r="W1036">
        <v>81.3</v>
      </c>
      <c r="X1036">
        <v>25.5</v>
      </c>
      <c r="Y1036">
        <v>30.6</v>
      </c>
      <c r="Z1036">
        <v>66834405</v>
      </c>
      <c r="AA1036">
        <v>55.378050999999999</v>
      </c>
      <c r="AB1036">
        <v>-3.4359730000000002</v>
      </c>
    </row>
    <row r="1037" spans="1:28" hidden="1">
      <c r="A1037">
        <v>1027</v>
      </c>
      <c r="B1037">
        <v>2900</v>
      </c>
      <c r="C1037" t="s">
        <v>45</v>
      </c>
      <c r="D1037" t="s">
        <v>2285</v>
      </c>
      <c r="E1037">
        <v>79</v>
      </c>
      <c r="G1037" t="s">
        <v>342</v>
      </c>
      <c r="H1037" t="s">
        <v>1093</v>
      </c>
      <c r="I1037" t="s">
        <v>2286</v>
      </c>
      <c r="J1037" t="s">
        <v>45</v>
      </c>
      <c r="K1037" t="s">
        <v>342</v>
      </c>
      <c r="M1037" t="b">
        <v>1</v>
      </c>
      <c r="N1037" t="s">
        <v>42</v>
      </c>
      <c r="O1037" t="s">
        <v>33</v>
      </c>
      <c r="Q1037">
        <v>108.15</v>
      </c>
      <c r="R1037">
        <v>0.8</v>
      </c>
      <c r="S1037" t="s">
        <v>532</v>
      </c>
      <c r="T1037">
        <v>63.4</v>
      </c>
      <c r="V1037">
        <v>104.9</v>
      </c>
      <c r="W1037">
        <v>82.8</v>
      </c>
      <c r="X1037">
        <v>23.1</v>
      </c>
      <c r="Y1037">
        <v>25.3</v>
      </c>
      <c r="Z1037">
        <v>9053300</v>
      </c>
      <c r="AA1037">
        <v>31.046050999999999</v>
      </c>
      <c r="AB1037">
        <v>34.851612000000003</v>
      </c>
    </row>
    <row r="1038" spans="1:28">
      <c r="A1038">
        <v>1027</v>
      </c>
      <c r="B1038">
        <v>2900</v>
      </c>
      <c r="C1038" t="s">
        <v>63</v>
      </c>
      <c r="D1038" t="s">
        <v>2287</v>
      </c>
      <c r="E1038">
        <v>74</v>
      </c>
      <c r="F1038" t="str">
        <f>IF(E1038&gt;=90,"90-100",IF(E1038&gt;=80,"80-90",IF(E1038&gt;=70,"70-80",IF(E1038&gt;=60,"60-70",IF(E1038&gt;=50,"50-60",IF(E1038&gt;=40,"40-50",IF(E1038&gt;=30,"30-40","20-30")))))))</f>
        <v>70-80</v>
      </c>
      <c r="G1038" t="s">
        <v>38</v>
      </c>
      <c r="H1038" t="s">
        <v>2288</v>
      </c>
      <c r="I1038" t="s">
        <v>2289</v>
      </c>
      <c r="J1038" t="s">
        <v>63</v>
      </c>
      <c r="K1038" t="s">
        <v>38</v>
      </c>
      <c r="L1038" t="s">
        <v>2290</v>
      </c>
      <c r="M1038" t="b">
        <v>0</v>
      </c>
      <c r="N1038" t="s">
        <v>32</v>
      </c>
      <c r="O1038" t="s">
        <v>4867</v>
      </c>
      <c r="P1038" t="s">
        <v>131</v>
      </c>
      <c r="Q1038">
        <v>117.24</v>
      </c>
      <c r="R1038">
        <v>7.5</v>
      </c>
      <c r="S1038" t="s">
        <v>44</v>
      </c>
      <c r="T1038">
        <v>88.2</v>
      </c>
      <c r="U1038" t="str">
        <f>IF(T1038&gt;=100,"above 100",IF(T1038&gt;=80,"80-100",IF(T1038&gt;=60,"60-80",IF(T1038&gt;=40,"40-60",IF(T1038&gt;=20,"20-60","0-20")))))</f>
        <v>80-100</v>
      </c>
      <c r="V1038">
        <v>101.8</v>
      </c>
      <c r="W1038">
        <v>78.5</v>
      </c>
      <c r="X1038">
        <v>9.6</v>
      </c>
      <c r="Y1038">
        <v>36.6</v>
      </c>
      <c r="Z1038">
        <v>328239523</v>
      </c>
      <c r="AA1038">
        <v>37.090240000000001</v>
      </c>
      <c r="AB1038">
        <v>-95.712890999999999</v>
      </c>
    </row>
    <row r="1039" spans="1:28" hidden="1">
      <c r="A1039">
        <v>1027</v>
      </c>
      <c r="B1039">
        <v>2900</v>
      </c>
      <c r="C1039" t="s">
        <v>217</v>
      </c>
      <c r="D1039" t="s">
        <v>2291</v>
      </c>
      <c r="E1039">
        <v>73</v>
      </c>
      <c r="G1039" t="s">
        <v>103</v>
      </c>
      <c r="H1039" t="s">
        <v>104</v>
      </c>
      <c r="I1039" t="s">
        <v>815</v>
      </c>
      <c r="J1039" t="s">
        <v>217</v>
      </c>
      <c r="K1039" t="s">
        <v>103</v>
      </c>
      <c r="M1039" t="b">
        <v>1</v>
      </c>
      <c r="N1039" t="s">
        <v>42</v>
      </c>
      <c r="O1039" t="s">
        <v>33</v>
      </c>
      <c r="Q1039">
        <v>125.08</v>
      </c>
      <c r="R1039">
        <v>2.9</v>
      </c>
      <c r="S1039" t="s">
        <v>106</v>
      </c>
      <c r="T1039">
        <v>50.6</v>
      </c>
      <c r="V1039">
        <v>100.2</v>
      </c>
      <c r="W1039">
        <v>77</v>
      </c>
      <c r="X1039">
        <v>9.4</v>
      </c>
      <c r="Y1039">
        <v>59.2</v>
      </c>
      <c r="Z1039">
        <v>1397715000</v>
      </c>
      <c r="AA1039">
        <v>35.861660000000001</v>
      </c>
      <c r="AB1039">
        <v>104.195397</v>
      </c>
    </row>
    <row r="1040" spans="1:28" hidden="1">
      <c r="A1040">
        <v>1027</v>
      </c>
      <c r="B1040">
        <v>2900</v>
      </c>
      <c r="C1040" t="s">
        <v>469</v>
      </c>
      <c r="D1040" t="s">
        <v>2292</v>
      </c>
      <c r="E1040">
        <v>75</v>
      </c>
      <c r="G1040" t="s">
        <v>156</v>
      </c>
      <c r="H1040" t="s">
        <v>2293</v>
      </c>
      <c r="I1040" t="s">
        <v>2294</v>
      </c>
      <c r="J1040" t="s">
        <v>469</v>
      </c>
      <c r="K1040" t="s">
        <v>148</v>
      </c>
      <c r="M1040" t="b">
        <v>0</v>
      </c>
      <c r="N1040" t="s">
        <v>42</v>
      </c>
      <c r="O1040" t="s">
        <v>33</v>
      </c>
      <c r="Q1040">
        <v>99.55</v>
      </c>
      <c r="R1040">
        <v>0.4</v>
      </c>
      <c r="S1040" t="s">
        <v>159</v>
      </c>
      <c r="T1040">
        <v>59.6</v>
      </c>
      <c r="V1040">
        <v>105.2</v>
      </c>
      <c r="W1040">
        <v>83.6</v>
      </c>
      <c r="X1040">
        <v>10.1</v>
      </c>
      <c r="Y1040">
        <v>28.8</v>
      </c>
      <c r="Z1040">
        <v>8574832</v>
      </c>
      <c r="AA1040">
        <v>46.818187999999999</v>
      </c>
      <c r="AB1040">
        <v>8.2275120000000008</v>
      </c>
    </row>
    <row r="1041" spans="1:28" hidden="1">
      <c r="A1041">
        <v>1027</v>
      </c>
      <c r="B1041">
        <v>2900</v>
      </c>
      <c r="C1041" t="s">
        <v>288</v>
      </c>
      <c r="D1041" t="s">
        <v>2295</v>
      </c>
      <c r="E1041">
        <v>68</v>
      </c>
      <c r="G1041" t="s">
        <v>148</v>
      </c>
      <c r="H1041" t="s">
        <v>2296</v>
      </c>
      <c r="I1041" t="s">
        <v>440</v>
      </c>
      <c r="J1041" t="s">
        <v>288</v>
      </c>
      <c r="K1041" t="s">
        <v>148</v>
      </c>
      <c r="M1041" t="b">
        <v>0</v>
      </c>
      <c r="N1041" t="s">
        <v>42</v>
      </c>
      <c r="O1041" t="s">
        <v>88</v>
      </c>
      <c r="Q1041">
        <v>112.85</v>
      </c>
      <c r="R1041">
        <v>1.4</v>
      </c>
      <c r="S1041" t="s">
        <v>151</v>
      </c>
      <c r="T1041">
        <v>70.2</v>
      </c>
      <c r="V1041">
        <v>104</v>
      </c>
      <c r="W1041">
        <v>80.900000000000006</v>
      </c>
      <c r="X1041">
        <v>11.5</v>
      </c>
      <c r="Y1041">
        <v>48.8</v>
      </c>
      <c r="Z1041">
        <v>83132799</v>
      </c>
      <c r="AA1041">
        <v>51.165691000000002</v>
      </c>
      <c r="AB1041">
        <v>10.451525999999999</v>
      </c>
    </row>
    <row r="1042" spans="1:28" hidden="1">
      <c r="A1042">
        <v>1027</v>
      </c>
      <c r="B1042">
        <v>2900</v>
      </c>
      <c r="C1042" t="s">
        <v>221</v>
      </c>
      <c r="D1042" t="s">
        <v>2297</v>
      </c>
      <c r="E1042">
        <v>73</v>
      </c>
      <c r="G1042" t="s">
        <v>38</v>
      </c>
      <c r="H1042" t="s">
        <v>123</v>
      </c>
      <c r="I1042" t="s">
        <v>2018</v>
      </c>
      <c r="J1042" t="s">
        <v>221</v>
      </c>
      <c r="K1042" t="s">
        <v>38</v>
      </c>
      <c r="M1042" t="b">
        <v>1</v>
      </c>
      <c r="N1042" t="s">
        <v>32</v>
      </c>
      <c r="O1042" t="s">
        <v>33</v>
      </c>
      <c r="Q1042">
        <v>117.24</v>
      </c>
      <c r="R1042">
        <v>7.5</v>
      </c>
      <c r="S1042" t="s">
        <v>44</v>
      </c>
      <c r="T1042">
        <v>88.2</v>
      </c>
      <c r="V1042">
        <v>101.8</v>
      </c>
      <c r="W1042">
        <v>78.5</v>
      </c>
      <c r="X1042">
        <v>9.6</v>
      </c>
      <c r="Y1042">
        <v>36.6</v>
      </c>
      <c r="Z1042">
        <v>328239523</v>
      </c>
      <c r="AA1042">
        <v>37.090240000000001</v>
      </c>
      <c r="AB1042">
        <v>-95.712890999999999</v>
      </c>
    </row>
    <row r="1043" spans="1:28" hidden="1">
      <c r="A1043">
        <v>1027</v>
      </c>
      <c r="B1043">
        <v>2900</v>
      </c>
      <c r="C1043" t="s">
        <v>221</v>
      </c>
      <c r="D1043" t="s">
        <v>2298</v>
      </c>
      <c r="E1043">
        <v>56</v>
      </c>
      <c r="G1043" t="s">
        <v>263</v>
      </c>
      <c r="H1043" t="s">
        <v>274</v>
      </c>
      <c r="I1043" t="s">
        <v>223</v>
      </c>
      <c r="J1043" t="s">
        <v>221</v>
      </c>
      <c r="K1043" t="s">
        <v>263</v>
      </c>
      <c r="M1043" t="b">
        <v>1</v>
      </c>
      <c r="N1043" t="s">
        <v>32</v>
      </c>
      <c r="O1043" t="s">
        <v>33</v>
      </c>
      <c r="Q1043">
        <v>180.75</v>
      </c>
      <c r="R1043">
        <v>4.5</v>
      </c>
      <c r="S1043" t="s">
        <v>276</v>
      </c>
      <c r="T1043">
        <v>81.900000000000006</v>
      </c>
      <c r="V1043">
        <v>102.6</v>
      </c>
      <c r="W1043">
        <v>72.7</v>
      </c>
      <c r="X1043">
        <v>11.4</v>
      </c>
      <c r="Y1043">
        <v>46.2</v>
      </c>
      <c r="Z1043">
        <v>144373535</v>
      </c>
      <c r="AA1043">
        <v>61.524009999999997</v>
      </c>
      <c r="AB1043">
        <v>105.31875599999999</v>
      </c>
    </row>
    <row r="1044" spans="1:28" hidden="1">
      <c r="A1044">
        <v>1027</v>
      </c>
      <c r="B1044">
        <v>2900</v>
      </c>
      <c r="C1044" t="s">
        <v>75</v>
      </c>
      <c r="D1044" t="s">
        <v>2299</v>
      </c>
      <c r="E1044">
        <v>38</v>
      </c>
      <c r="G1044" t="s">
        <v>1267</v>
      </c>
      <c r="H1044" t="s">
        <v>1268</v>
      </c>
      <c r="I1044" t="s">
        <v>75</v>
      </c>
      <c r="J1044" t="s">
        <v>75</v>
      </c>
      <c r="K1044" t="s">
        <v>1267</v>
      </c>
      <c r="M1044" t="b">
        <v>0</v>
      </c>
      <c r="N1044" t="s">
        <v>32</v>
      </c>
      <c r="O1044" t="s">
        <v>88</v>
      </c>
      <c r="Q1044">
        <v>234.44</v>
      </c>
      <c r="R1044">
        <v>15.2</v>
      </c>
      <c r="S1044" t="s">
        <v>1270</v>
      </c>
      <c r="T1044">
        <v>23.9</v>
      </c>
      <c r="V1044">
        <v>93.2</v>
      </c>
      <c r="W1044">
        <v>77.400000000000006</v>
      </c>
      <c r="X1044">
        <v>17.899999999999999</v>
      </c>
      <c r="Y1044">
        <v>42.3</v>
      </c>
      <c r="Z1044">
        <v>83429615</v>
      </c>
      <c r="AA1044">
        <v>38.963745000000003</v>
      </c>
      <c r="AB1044">
        <v>35.243321999999999</v>
      </c>
    </row>
    <row r="1045" spans="1:28" hidden="1">
      <c r="A1045">
        <v>1027</v>
      </c>
      <c r="B1045">
        <v>2900</v>
      </c>
      <c r="C1045" t="s">
        <v>45</v>
      </c>
      <c r="D1045" t="s">
        <v>2300</v>
      </c>
      <c r="E1045">
        <v>49</v>
      </c>
      <c r="G1045" t="s">
        <v>611</v>
      </c>
      <c r="H1045" t="s">
        <v>612</v>
      </c>
      <c r="I1045" t="s">
        <v>796</v>
      </c>
      <c r="J1045" t="s">
        <v>45</v>
      </c>
      <c r="K1045" t="s">
        <v>611</v>
      </c>
      <c r="M1045" t="b">
        <v>0</v>
      </c>
      <c r="N1045" t="s">
        <v>42</v>
      </c>
      <c r="O1045" t="s">
        <v>88</v>
      </c>
      <c r="Q1045">
        <v>115.16</v>
      </c>
      <c r="R1045">
        <v>0.4</v>
      </c>
      <c r="S1045" t="s">
        <v>615</v>
      </c>
      <c r="T1045">
        <v>94.3</v>
      </c>
      <c r="V1045">
        <v>98.1</v>
      </c>
      <c r="W1045">
        <v>82.6</v>
      </c>
      <c r="X1045">
        <v>15.6</v>
      </c>
      <c r="Y1045">
        <v>33.200000000000003</v>
      </c>
      <c r="Z1045">
        <v>51709098</v>
      </c>
      <c r="AA1045">
        <v>35.907756999999997</v>
      </c>
      <c r="AB1045">
        <v>127.76692199999999</v>
      </c>
    </row>
    <row r="1046" spans="1:28" hidden="1">
      <c r="A1046">
        <v>1027</v>
      </c>
      <c r="B1046">
        <v>2900</v>
      </c>
      <c r="C1046" t="s">
        <v>288</v>
      </c>
      <c r="D1046" t="s">
        <v>2301</v>
      </c>
      <c r="E1046">
        <v>66</v>
      </c>
      <c r="G1046" t="s">
        <v>103</v>
      </c>
      <c r="H1046" t="s">
        <v>176</v>
      </c>
      <c r="I1046" t="s">
        <v>2302</v>
      </c>
      <c r="J1046" t="s">
        <v>288</v>
      </c>
      <c r="K1046" t="s">
        <v>172</v>
      </c>
      <c r="M1046" t="b">
        <v>1</v>
      </c>
      <c r="N1046" t="s">
        <v>42</v>
      </c>
      <c r="O1046" t="s">
        <v>33</v>
      </c>
      <c r="Q1046">
        <v>125.08</v>
      </c>
      <c r="R1046">
        <v>2.9</v>
      </c>
      <c r="S1046" t="s">
        <v>106</v>
      </c>
      <c r="T1046">
        <v>50.6</v>
      </c>
      <c r="V1046">
        <v>100.2</v>
      </c>
      <c r="W1046">
        <v>77</v>
      </c>
      <c r="X1046">
        <v>9.4</v>
      </c>
      <c r="Y1046">
        <v>59.2</v>
      </c>
      <c r="Z1046">
        <v>1397715000</v>
      </c>
      <c r="AA1046">
        <v>35.861660000000001</v>
      </c>
      <c r="AB1046">
        <v>104.195397</v>
      </c>
    </row>
    <row r="1047" spans="1:28" hidden="1">
      <c r="A1047">
        <v>1027</v>
      </c>
      <c r="B1047">
        <v>2900</v>
      </c>
      <c r="C1047" t="s">
        <v>288</v>
      </c>
      <c r="D1047" t="s">
        <v>2303</v>
      </c>
      <c r="E1047">
        <v>57</v>
      </c>
      <c r="G1047" t="s">
        <v>103</v>
      </c>
      <c r="H1047" t="s">
        <v>463</v>
      </c>
      <c r="I1047" t="s">
        <v>288</v>
      </c>
      <c r="J1047" t="s">
        <v>288</v>
      </c>
      <c r="K1047" t="s">
        <v>103</v>
      </c>
      <c r="M1047" t="b">
        <v>1</v>
      </c>
      <c r="N1047" t="s">
        <v>32</v>
      </c>
      <c r="O1047" t="s">
        <v>33</v>
      </c>
      <c r="Q1047">
        <v>125.08</v>
      </c>
      <c r="R1047">
        <v>2.9</v>
      </c>
      <c r="S1047" t="s">
        <v>106</v>
      </c>
      <c r="T1047">
        <v>50.6</v>
      </c>
      <c r="V1047">
        <v>100.2</v>
      </c>
      <c r="W1047">
        <v>77</v>
      </c>
      <c r="X1047">
        <v>9.4</v>
      </c>
      <c r="Y1047">
        <v>59.2</v>
      </c>
      <c r="Z1047">
        <v>1397715000</v>
      </c>
      <c r="AA1047">
        <v>35.861660000000001</v>
      </c>
      <c r="AB1047">
        <v>104.195397</v>
      </c>
    </row>
    <row r="1048" spans="1:28" hidden="1">
      <c r="A1048">
        <v>1027</v>
      </c>
      <c r="B1048">
        <v>2900</v>
      </c>
      <c r="C1048" t="s">
        <v>217</v>
      </c>
      <c r="D1048" t="s">
        <v>2304</v>
      </c>
      <c r="E1048">
        <v>61</v>
      </c>
      <c r="G1048" t="s">
        <v>103</v>
      </c>
      <c r="H1048" t="s">
        <v>1683</v>
      </c>
      <c r="I1048" t="s">
        <v>690</v>
      </c>
      <c r="J1048" t="s">
        <v>217</v>
      </c>
      <c r="K1048" t="s">
        <v>103</v>
      </c>
      <c r="M1048" t="b">
        <v>1</v>
      </c>
      <c r="N1048" t="s">
        <v>42</v>
      </c>
      <c r="O1048" t="s">
        <v>33</v>
      </c>
      <c r="Q1048">
        <v>125.08</v>
      </c>
      <c r="R1048">
        <v>2.9</v>
      </c>
      <c r="S1048" t="s">
        <v>106</v>
      </c>
      <c r="T1048">
        <v>50.6</v>
      </c>
      <c r="V1048">
        <v>100.2</v>
      </c>
      <c r="W1048">
        <v>77</v>
      </c>
      <c r="X1048">
        <v>9.4</v>
      </c>
      <c r="Y1048">
        <v>59.2</v>
      </c>
      <c r="Z1048">
        <v>1397715000</v>
      </c>
      <c r="AA1048">
        <v>35.861660000000001</v>
      </c>
      <c r="AB1048">
        <v>104.195397</v>
      </c>
    </row>
    <row r="1049" spans="1:28" hidden="1">
      <c r="A1049">
        <v>1027</v>
      </c>
      <c r="B1049">
        <v>2900</v>
      </c>
      <c r="C1049" t="s">
        <v>217</v>
      </c>
      <c r="D1049" t="s">
        <v>2305</v>
      </c>
      <c r="E1049">
        <v>55</v>
      </c>
      <c r="G1049" t="s">
        <v>103</v>
      </c>
      <c r="H1049" t="s">
        <v>215</v>
      </c>
      <c r="I1049" t="s">
        <v>1990</v>
      </c>
      <c r="J1049" t="s">
        <v>217</v>
      </c>
      <c r="K1049" t="s">
        <v>103</v>
      </c>
      <c r="M1049" t="b">
        <v>1</v>
      </c>
      <c r="N1049" t="s">
        <v>32</v>
      </c>
      <c r="O1049" t="s">
        <v>33</v>
      </c>
      <c r="Q1049">
        <v>125.08</v>
      </c>
      <c r="R1049">
        <v>2.9</v>
      </c>
      <c r="S1049" t="s">
        <v>106</v>
      </c>
      <c r="T1049">
        <v>50.6</v>
      </c>
      <c r="V1049">
        <v>100.2</v>
      </c>
      <c r="W1049">
        <v>77</v>
      </c>
      <c r="X1049">
        <v>9.4</v>
      </c>
      <c r="Y1049">
        <v>59.2</v>
      </c>
      <c r="Z1049">
        <v>1397715000</v>
      </c>
      <c r="AA1049">
        <v>35.861660000000001</v>
      </c>
      <c r="AB1049">
        <v>104.195397</v>
      </c>
    </row>
    <row r="1050" spans="1:28" hidden="1">
      <c r="A1050">
        <v>1027</v>
      </c>
      <c r="B1050">
        <v>2900</v>
      </c>
      <c r="C1050" t="s">
        <v>45</v>
      </c>
      <c r="D1050" t="s">
        <v>2306</v>
      </c>
      <c r="E1050">
        <v>54</v>
      </c>
      <c r="G1050" t="s">
        <v>397</v>
      </c>
      <c r="H1050" t="s">
        <v>398</v>
      </c>
      <c r="I1050" t="s">
        <v>2307</v>
      </c>
      <c r="J1050" t="s">
        <v>45</v>
      </c>
      <c r="K1050" t="s">
        <v>397</v>
      </c>
      <c r="M1050" t="b">
        <v>1</v>
      </c>
      <c r="N1050" t="s">
        <v>419</v>
      </c>
      <c r="O1050" t="s">
        <v>33</v>
      </c>
      <c r="Q1050">
        <v>110.51</v>
      </c>
      <c r="R1050">
        <v>1.8</v>
      </c>
      <c r="S1050" t="s">
        <v>401</v>
      </c>
      <c r="T1050">
        <v>67</v>
      </c>
      <c r="V1050">
        <v>126.6</v>
      </c>
      <c r="W1050">
        <v>82.5</v>
      </c>
      <c r="X1050">
        <v>27.9</v>
      </c>
      <c r="Y1050">
        <v>49.1</v>
      </c>
      <c r="Z1050">
        <v>10285453</v>
      </c>
      <c r="AA1050">
        <v>60.128160999999999</v>
      </c>
      <c r="AB1050">
        <v>18.643501000000001</v>
      </c>
    </row>
    <row r="1051" spans="1:28" hidden="1">
      <c r="A1051">
        <v>1027</v>
      </c>
      <c r="B1051">
        <v>2900</v>
      </c>
      <c r="C1051" t="s">
        <v>250</v>
      </c>
      <c r="D1051" t="s">
        <v>2308</v>
      </c>
      <c r="E1051">
        <v>87</v>
      </c>
      <c r="G1051" t="s">
        <v>172</v>
      </c>
      <c r="H1051" t="s">
        <v>172</v>
      </c>
      <c r="I1051" t="s">
        <v>250</v>
      </c>
      <c r="J1051" t="s">
        <v>250</v>
      </c>
      <c r="K1051" t="s">
        <v>172</v>
      </c>
      <c r="M1051" t="b">
        <v>0</v>
      </c>
      <c r="N1051" t="s">
        <v>42</v>
      </c>
      <c r="O1051" t="s">
        <v>33</v>
      </c>
    </row>
    <row r="1052" spans="1:28" hidden="1">
      <c r="A1052">
        <v>1027</v>
      </c>
      <c r="B1052">
        <v>2900</v>
      </c>
      <c r="C1052" t="s">
        <v>26</v>
      </c>
      <c r="D1052" t="s">
        <v>2309</v>
      </c>
      <c r="E1052">
        <v>90</v>
      </c>
      <c r="G1052" t="s">
        <v>148</v>
      </c>
      <c r="H1052" t="s">
        <v>1226</v>
      </c>
      <c r="I1052" t="s">
        <v>755</v>
      </c>
      <c r="J1052" t="s">
        <v>26</v>
      </c>
      <c r="K1052" t="s">
        <v>148</v>
      </c>
      <c r="M1052" t="b">
        <v>1</v>
      </c>
      <c r="N1052" t="s">
        <v>32</v>
      </c>
      <c r="O1052" t="s">
        <v>33</v>
      </c>
      <c r="Q1052">
        <v>112.85</v>
      </c>
      <c r="R1052">
        <v>1.4</v>
      </c>
      <c r="S1052" t="s">
        <v>151</v>
      </c>
      <c r="T1052">
        <v>70.2</v>
      </c>
      <c r="V1052">
        <v>104</v>
      </c>
      <c r="W1052">
        <v>80.900000000000006</v>
      </c>
      <c r="X1052">
        <v>11.5</v>
      </c>
      <c r="Y1052">
        <v>48.8</v>
      </c>
      <c r="Z1052">
        <v>83132799</v>
      </c>
      <c r="AA1052">
        <v>51.165691000000002</v>
      </c>
      <c r="AB1052">
        <v>10.451525999999999</v>
      </c>
    </row>
    <row r="1053" spans="1:28" hidden="1">
      <c r="A1053">
        <v>1027</v>
      </c>
      <c r="B1053">
        <v>2900</v>
      </c>
      <c r="C1053" t="s">
        <v>45</v>
      </c>
      <c r="D1053" t="s">
        <v>2310</v>
      </c>
      <c r="E1053">
        <v>89</v>
      </c>
      <c r="G1053" t="s">
        <v>148</v>
      </c>
      <c r="H1053" t="s">
        <v>1051</v>
      </c>
      <c r="I1053" t="s">
        <v>572</v>
      </c>
      <c r="J1053" t="s">
        <v>45</v>
      </c>
      <c r="K1053" t="s">
        <v>148</v>
      </c>
      <c r="M1053" t="b">
        <v>1</v>
      </c>
      <c r="N1053" t="s">
        <v>42</v>
      </c>
      <c r="O1053" t="s">
        <v>33</v>
      </c>
      <c r="Q1053">
        <v>112.85</v>
      </c>
      <c r="R1053">
        <v>1.4</v>
      </c>
      <c r="S1053" t="s">
        <v>151</v>
      </c>
      <c r="T1053">
        <v>70.2</v>
      </c>
      <c r="V1053">
        <v>104</v>
      </c>
      <c r="W1053">
        <v>80.900000000000006</v>
      </c>
      <c r="X1053">
        <v>11.5</v>
      </c>
      <c r="Y1053">
        <v>48.8</v>
      </c>
      <c r="Z1053">
        <v>83132799</v>
      </c>
      <c r="AA1053">
        <v>51.165691000000002</v>
      </c>
      <c r="AB1053">
        <v>10.451525999999999</v>
      </c>
    </row>
    <row r="1054" spans="1:28" hidden="1">
      <c r="A1054">
        <v>1027</v>
      </c>
      <c r="B1054">
        <v>2900</v>
      </c>
      <c r="C1054" t="s">
        <v>221</v>
      </c>
      <c r="D1054" t="s">
        <v>2311</v>
      </c>
      <c r="E1054">
        <v>50</v>
      </c>
      <c r="G1054" t="s">
        <v>263</v>
      </c>
      <c r="H1054" t="s">
        <v>274</v>
      </c>
      <c r="I1054" t="s">
        <v>223</v>
      </c>
      <c r="J1054" t="s">
        <v>221</v>
      </c>
      <c r="K1054" t="s">
        <v>263</v>
      </c>
      <c r="M1054" t="b">
        <v>1</v>
      </c>
      <c r="N1054" t="s">
        <v>32</v>
      </c>
      <c r="O1054" t="s">
        <v>33</v>
      </c>
      <c r="Q1054">
        <v>180.75</v>
      </c>
      <c r="R1054">
        <v>4.5</v>
      </c>
      <c r="S1054" t="s">
        <v>276</v>
      </c>
      <c r="T1054">
        <v>81.900000000000006</v>
      </c>
      <c r="V1054">
        <v>102.6</v>
      </c>
      <c r="W1054">
        <v>72.7</v>
      </c>
      <c r="X1054">
        <v>11.4</v>
      </c>
      <c r="Y1054">
        <v>46.2</v>
      </c>
      <c r="Z1054">
        <v>144373535</v>
      </c>
      <c r="AA1054">
        <v>61.524009999999997</v>
      </c>
      <c r="AB1054">
        <v>105.31875599999999</v>
      </c>
    </row>
    <row r="1055" spans="1:28" hidden="1">
      <c r="A1055">
        <v>1027</v>
      </c>
      <c r="B1055">
        <v>2900</v>
      </c>
      <c r="C1055" t="s">
        <v>221</v>
      </c>
      <c r="D1055" t="s">
        <v>2312</v>
      </c>
      <c r="E1055">
        <v>52</v>
      </c>
      <c r="G1055" t="s">
        <v>77</v>
      </c>
      <c r="H1055" t="s">
        <v>78</v>
      </c>
      <c r="I1055" t="s">
        <v>223</v>
      </c>
      <c r="J1055" t="s">
        <v>221</v>
      </c>
      <c r="K1055" t="s">
        <v>77</v>
      </c>
      <c r="M1055" t="b">
        <v>0</v>
      </c>
      <c r="N1055" t="s">
        <v>42</v>
      </c>
      <c r="O1055" t="s">
        <v>33</v>
      </c>
      <c r="Q1055">
        <v>180.44</v>
      </c>
      <c r="R1055">
        <v>7.7</v>
      </c>
      <c r="S1055" t="s">
        <v>81</v>
      </c>
      <c r="T1055">
        <v>28.1</v>
      </c>
      <c r="V1055">
        <v>113</v>
      </c>
      <c r="W1055">
        <v>69.400000000000006</v>
      </c>
      <c r="X1055">
        <v>11.2</v>
      </c>
      <c r="Y1055">
        <v>49.7</v>
      </c>
      <c r="Z1055">
        <v>1366417754</v>
      </c>
      <c r="AA1055">
        <v>20.593684</v>
      </c>
      <c r="AB1055">
        <v>78.962879999999998</v>
      </c>
    </row>
    <row r="1056" spans="1:28" hidden="1">
      <c r="A1056">
        <v>1027</v>
      </c>
      <c r="B1056">
        <v>2900</v>
      </c>
      <c r="C1056" t="s">
        <v>250</v>
      </c>
      <c r="D1056" t="s">
        <v>2313</v>
      </c>
      <c r="E1056">
        <v>87</v>
      </c>
      <c r="G1056" t="s">
        <v>1378</v>
      </c>
      <c r="H1056" t="s">
        <v>1379</v>
      </c>
      <c r="I1056" t="s">
        <v>351</v>
      </c>
      <c r="J1056" t="s">
        <v>250</v>
      </c>
      <c r="K1056" t="s">
        <v>1378</v>
      </c>
      <c r="M1056" t="b">
        <v>1</v>
      </c>
      <c r="N1056" t="s">
        <v>32</v>
      </c>
      <c r="O1056" t="s">
        <v>33</v>
      </c>
      <c r="Q1056">
        <v>232.75</v>
      </c>
      <c r="R1056">
        <v>53.5</v>
      </c>
      <c r="S1056" t="s">
        <v>1380</v>
      </c>
      <c r="T1056">
        <v>90</v>
      </c>
      <c r="V1056">
        <v>109.7</v>
      </c>
      <c r="W1056">
        <v>76.5</v>
      </c>
      <c r="X1056">
        <v>10.1</v>
      </c>
      <c r="Y1056">
        <v>106.3</v>
      </c>
      <c r="Z1056">
        <v>44938712</v>
      </c>
      <c r="AA1056">
        <v>-38.416097000000001</v>
      </c>
      <c r="AB1056">
        <v>-63.616672000000001</v>
      </c>
    </row>
    <row r="1057" spans="1:28">
      <c r="A1057">
        <v>1027</v>
      </c>
      <c r="B1057">
        <v>2900</v>
      </c>
      <c r="C1057" t="s">
        <v>54</v>
      </c>
      <c r="D1057" t="s">
        <v>2314</v>
      </c>
      <c r="E1057">
        <v>73</v>
      </c>
      <c r="F1057" t="str">
        <f>IF(E1057&gt;=90,"90-100",IF(E1057&gt;=80,"80-90",IF(E1057&gt;=70,"70-80",IF(E1057&gt;=60,"60-70",IF(E1057&gt;=50,"50-60",IF(E1057&gt;=40,"40-50",IF(E1057&gt;=30,"30-40","20-30")))))))</f>
        <v>70-80</v>
      </c>
      <c r="G1057" t="s">
        <v>282</v>
      </c>
      <c r="H1057" t="s">
        <v>283</v>
      </c>
      <c r="I1057" t="s">
        <v>231</v>
      </c>
      <c r="J1057" t="s">
        <v>54</v>
      </c>
      <c r="K1057" t="s">
        <v>282</v>
      </c>
      <c r="L1057" t="s">
        <v>282</v>
      </c>
      <c r="M1057" t="b">
        <v>1</v>
      </c>
      <c r="N1057" t="s">
        <v>32</v>
      </c>
      <c r="O1057" t="s">
        <v>4867</v>
      </c>
      <c r="P1057" t="s">
        <v>1036</v>
      </c>
      <c r="Q1057">
        <v>131.91</v>
      </c>
      <c r="R1057">
        <v>2.6</v>
      </c>
      <c r="S1057" t="s">
        <v>284</v>
      </c>
      <c r="T1057">
        <v>88.5</v>
      </c>
      <c r="U1057" t="str">
        <f>IF(T1057&gt;=100,"above 100",IF(T1057&gt;=80,"80-100",IF(T1057&gt;=60,"60-80",IF(T1057&gt;=40,"40-60",IF(T1057&gt;=20,"20-60","0-20")))))</f>
        <v>80-100</v>
      </c>
      <c r="V1057">
        <v>101.4</v>
      </c>
      <c r="W1057">
        <v>80</v>
      </c>
      <c r="X1057">
        <v>18.2</v>
      </c>
      <c r="Y1057">
        <v>34</v>
      </c>
      <c r="Z1057">
        <v>18952038</v>
      </c>
      <c r="AA1057">
        <v>-35.675147000000003</v>
      </c>
      <c r="AB1057">
        <v>-71.542968999999999</v>
      </c>
    </row>
    <row r="1058" spans="1:28" hidden="1">
      <c r="A1058">
        <v>1027</v>
      </c>
      <c r="B1058">
        <v>2900</v>
      </c>
      <c r="C1058" t="s">
        <v>36</v>
      </c>
      <c r="D1058" t="s">
        <v>2315</v>
      </c>
      <c r="E1058">
        <v>65</v>
      </c>
      <c r="G1058" t="s">
        <v>77</v>
      </c>
      <c r="H1058" t="s">
        <v>78</v>
      </c>
      <c r="I1058" t="s">
        <v>2316</v>
      </c>
      <c r="J1058" t="s">
        <v>36</v>
      </c>
      <c r="K1058" t="s">
        <v>77</v>
      </c>
      <c r="M1058" t="b">
        <v>0</v>
      </c>
      <c r="N1058" t="s">
        <v>42</v>
      </c>
      <c r="O1058" t="s">
        <v>33</v>
      </c>
      <c r="Q1058">
        <v>180.44</v>
      </c>
      <c r="R1058">
        <v>7.7</v>
      </c>
      <c r="S1058" t="s">
        <v>81</v>
      </c>
      <c r="T1058">
        <v>28.1</v>
      </c>
      <c r="V1058">
        <v>113</v>
      </c>
      <c r="W1058">
        <v>69.400000000000006</v>
      </c>
      <c r="X1058">
        <v>11.2</v>
      </c>
      <c r="Y1058">
        <v>49.7</v>
      </c>
      <c r="Z1058">
        <v>1366417754</v>
      </c>
      <c r="AA1058">
        <v>20.593684</v>
      </c>
      <c r="AB1058">
        <v>78.962879999999998</v>
      </c>
    </row>
    <row r="1059" spans="1:28" hidden="1">
      <c r="A1059">
        <v>1027</v>
      </c>
      <c r="B1059">
        <v>2900</v>
      </c>
      <c r="C1059" t="s">
        <v>288</v>
      </c>
      <c r="D1059" t="s">
        <v>2317</v>
      </c>
      <c r="E1059">
        <v>43</v>
      </c>
      <c r="G1059" t="s">
        <v>263</v>
      </c>
      <c r="H1059" t="s">
        <v>274</v>
      </c>
      <c r="I1059" t="s">
        <v>418</v>
      </c>
      <c r="J1059" t="s">
        <v>288</v>
      </c>
      <c r="K1059" t="s">
        <v>263</v>
      </c>
      <c r="M1059" t="b">
        <v>1</v>
      </c>
      <c r="N1059" t="s">
        <v>32</v>
      </c>
      <c r="O1059" t="s">
        <v>33</v>
      </c>
      <c r="Q1059">
        <v>180.75</v>
      </c>
      <c r="R1059">
        <v>4.5</v>
      </c>
      <c r="S1059" t="s">
        <v>276</v>
      </c>
      <c r="T1059">
        <v>81.900000000000006</v>
      </c>
      <c r="V1059">
        <v>102.6</v>
      </c>
      <c r="W1059">
        <v>72.7</v>
      </c>
      <c r="X1059">
        <v>11.4</v>
      </c>
      <c r="Y1059">
        <v>46.2</v>
      </c>
      <c r="Z1059">
        <v>144373535</v>
      </c>
      <c r="AA1059">
        <v>61.524009999999997</v>
      </c>
      <c r="AB1059">
        <v>105.31875599999999</v>
      </c>
    </row>
    <row r="1060" spans="1:28" hidden="1">
      <c r="A1060">
        <v>1027</v>
      </c>
      <c r="B1060">
        <v>2900</v>
      </c>
      <c r="C1060" t="s">
        <v>63</v>
      </c>
      <c r="D1060" t="s">
        <v>2318</v>
      </c>
      <c r="E1060">
        <v>78</v>
      </c>
      <c r="G1060" t="s">
        <v>38</v>
      </c>
      <c r="H1060" t="s">
        <v>675</v>
      </c>
      <c r="I1060" t="s">
        <v>2319</v>
      </c>
      <c r="J1060" t="s">
        <v>63</v>
      </c>
      <c r="K1060" t="s">
        <v>38</v>
      </c>
      <c r="M1060" t="b">
        <v>1</v>
      </c>
      <c r="N1060" t="s">
        <v>42</v>
      </c>
      <c r="O1060" t="s">
        <v>33</v>
      </c>
      <c r="Q1060">
        <v>117.24</v>
      </c>
      <c r="R1060">
        <v>7.5</v>
      </c>
      <c r="S1060" t="s">
        <v>44</v>
      </c>
      <c r="T1060">
        <v>88.2</v>
      </c>
      <c r="V1060">
        <v>101.8</v>
      </c>
      <c r="W1060">
        <v>78.5</v>
      </c>
      <c r="X1060">
        <v>9.6</v>
      </c>
      <c r="Y1060">
        <v>36.6</v>
      </c>
      <c r="Z1060">
        <v>328239523</v>
      </c>
      <c r="AA1060">
        <v>37.090240000000001</v>
      </c>
      <c r="AB1060">
        <v>-95.712890999999999</v>
      </c>
    </row>
    <row r="1061" spans="1:28">
      <c r="A1061">
        <v>1027</v>
      </c>
      <c r="B1061">
        <v>2900</v>
      </c>
      <c r="C1061" t="s">
        <v>101</v>
      </c>
      <c r="D1061" t="s">
        <v>2320</v>
      </c>
      <c r="E1061">
        <v>73</v>
      </c>
      <c r="F1061" t="str">
        <f>IF(E1061&gt;=90,"90-100",IF(E1061&gt;=80,"80-90",IF(E1061&gt;=70,"70-80",IF(E1061&gt;=60,"60-70",IF(E1061&gt;=50,"50-60",IF(E1061&gt;=40,"40-50",IF(E1061&gt;=30,"30-40","20-30")))))))</f>
        <v>70-80</v>
      </c>
      <c r="G1061" t="s">
        <v>38</v>
      </c>
      <c r="H1061" t="s">
        <v>2321</v>
      </c>
      <c r="I1061" t="s">
        <v>1492</v>
      </c>
      <c r="J1061" t="s">
        <v>101</v>
      </c>
      <c r="K1061" t="s">
        <v>38</v>
      </c>
      <c r="L1061" t="s">
        <v>2322</v>
      </c>
      <c r="M1061" t="b">
        <v>1</v>
      </c>
      <c r="N1061" t="s">
        <v>32</v>
      </c>
      <c r="O1061" t="s">
        <v>4867</v>
      </c>
      <c r="P1061" t="s">
        <v>43</v>
      </c>
      <c r="Q1061">
        <v>117.24</v>
      </c>
      <c r="R1061">
        <v>7.5</v>
      </c>
      <c r="S1061" t="s">
        <v>44</v>
      </c>
      <c r="T1061">
        <v>88.2</v>
      </c>
      <c r="U1061" t="str">
        <f>IF(T1061&gt;=100,"above 100",IF(T1061&gt;=80,"80-100",IF(T1061&gt;=60,"60-80",IF(T1061&gt;=40,"40-60",IF(T1061&gt;=20,"20-60","0-20")))))</f>
        <v>80-100</v>
      </c>
      <c r="V1061">
        <v>101.8</v>
      </c>
      <c r="W1061">
        <v>78.5</v>
      </c>
      <c r="X1061">
        <v>9.6</v>
      </c>
      <c r="Y1061">
        <v>36.6</v>
      </c>
      <c r="Z1061">
        <v>328239523</v>
      </c>
      <c r="AA1061">
        <v>37.090240000000001</v>
      </c>
      <c r="AB1061">
        <v>-95.712890999999999</v>
      </c>
    </row>
    <row r="1062" spans="1:28" hidden="1">
      <c r="A1062">
        <v>1027</v>
      </c>
      <c r="B1062">
        <v>2900</v>
      </c>
      <c r="C1062" t="s">
        <v>54</v>
      </c>
      <c r="D1062" t="s">
        <v>2323</v>
      </c>
      <c r="E1062">
        <v>48</v>
      </c>
      <c r="G1062" t="s">
        <v>38</v>
      </c>
      <c r="H1062" t="s">
        <v>65</v>
      </c>
      <c r="I1062" t="s">
        <v>961</v>
      </c>
      <c r="J1062" t="s">
        <v>54</v>
      </c>
      <c r="K1062" t="s">
        <v>77</v>
      </c>
      <c r="M1062" t="b">
        <v>1</v>
      </c>
      <c r="N1062" t="s">
        <v>42</v>
      </c>
      <c r="O1062" t="s">
        <v>33</v>
      </c>
      <c r="Q1062">
        <v>117.24</v>
      </c>
      <c r="R1062">
        <v>7.5</v>
      </c>
      <c r="S1062" t="s">
        <v>44</v>
      </c>
      <c r="T1062">
        <v>88.2</v>
      </c>
      <c r="V1062">
        <v>101.8</v>
      </c>
      <c r="W1062">
        <v>78.5</v>
      </c>
      <c r="X1062">
        <v>9.6</v>
      </c>
      <c r="Y1062">
        <v>36.6</v>
      </c>
      <c r="Z1062">
        <v>328239523</v>
      </c>
      <c r="AA1062">
        <v>37.090240000000001</v>
      </c>
      <c r="AB1062">
        <v>-95.712890999999999</v>
      </c>
    </row>
    <row r="1063" spans="1:28" hidden="1">
      <c r="A1063">
        <v>1027</v>
      </c>
      <c r="B1063">
        <v>2900</v>
      </c>
      <c r="C1063" t="s">
        <v>288</v>
      </c>
      <c r="D1063" t="s">
        <v>2324</v>
      </c>
      <c r="E1063">
        <v>85</v>
      </c>
      <c r="G1063" t="s">
        <v>148</v>
      </c>
      <c r="H1063" t="s">
        <v>2325</v>
      </c>
      <c r="I1063" t="s">
        <v>440</v>
      </c>
      <c r="J1063" t="s">
        <v>288</v>
      </c>
      <c r="K1063" t="s">
        <v>148</v>
      </c>
      <c r="M1063" t="b">
        <v>0</v>
      </c>
      <c r="N1063" t="s">
        <v>42</v>
      </c>
      <c r="O1063" t="s">
        <v>88</v>
      </c>
      <c r="Q1063">
        <v>112.85</v>
      </c>
      <c r="R1063">
        <v>1.4</v>
      </c>
      <c r="S1063" t="s">
        <v>151</v>
      </c>
      <c r="T1063">
        <v>70.2</v>
      </c>
      <c r="V1063">
        <v>104</v>
      </c>
      <c r="W1063">
        <v>80.900000000000006</v>
      </c>
      <c r="X1063">
        <v>11.5</v>
      </c>
      <c r="Y1063">
        <v>48.8</v>
      </c>
      <c r="Z1063">
        <v>83132799</v>
      </c>
      <c r="AA1063">
        <v>51.165691000000002</v>
      </c>
      <c r="AB1063">
        <v>10.451525999999999</v>
      </c>
    </row>
    <row r="1064" spans="1:28" hidden="1">
      <c r="A1064">
        <v>1027</v>
      </c>
      <c r="B1064">
        <v>2900</v>
      </c>
      <c r="C1064" t="s">
        <v>54</v>
      </c>
      <c r="D1064" t="s">
        <v>2326</v>
      </c>
      <c r="E1064">
        <v>46</v>
      </c>
      <c r="G1064" t="s">
        <v>38</v>
      </c>
      <c r="H1064" t="s">
        <v>65</v>
      </c>
      <c r="I1064" t="s">
        <v>185</v>
      </c>
      <c r="J1064" t="s">
        <v>54</v>
      </c>
      <c r="K1064" t="s">
        <v>38</v>
      </c>
      <c r="M1064" t="b">
        <v>1</v>
      </c>
      <c r="N1064" t="s">
        <v>42</v>
      </c>
      <c r="O1064" t="s">
        <v>33</v>
      </c>
      <c r="P1064" t="s">
        <v>468</v>
      </c>
      <c r="Q1064">
        <v>117.24</v>
      </c>
      <c r="R1064">
        <v>7.5</v>
      </c>
      <c r="S1064" t="s">
        <v>44</v>
      </c>
      <c r="T1064">
        <v>88.2</v>
      </c>
      <c r="V1064">
        <v>101.8</v>
      </c>
      <c r="W1064">
        <v>78.5</v>
      </c>
      <c r="X1064">
        <v>9.6</v>
      </c>
      <c r="Y1064">
        <v>36.6</v>
      </c>
      <c r="Z1064">
        <v>328239523</v>
      </c>
      <c r="AA1064">
        <v>37.090240000000001</v>
      </c>
      <c r="AB1064">
        <v>-95.712890999999999</v>
      </c>
    </row>
    <row r="1065" spans="1:28">
      <c r="A1065">
        <v>1027</v>
      </c>
      <c r="B1065">
        <v>2900</v>
      </c>
      <c r="C1065" t="s">
        <v>101</v>
      </c>
      <c r="D1065" t="s">
        <v>2327</v>
      </c>
      <c r="E1065">
        <v>59</v>
      </c>
      <c r="F1065" t="str">
        <f>IF(E1065&gt;=90,"90-100",IF(E1065&gt;=80,"80-90",IF(E1065&gt;=70,"70-80",IF(E1065&gt;=60,"60-70",IF(E1065&gt;=50,"50-60",IF(E1065&gt;=40,"40-50",IF(E1065&gt;=30,"30-40","20-30")))))))</f>
        <v>50-60</v>
      </c>
      <c r="G1065" t="s">
        <v>38</v>
      </c>
      <c r="H1065" t="s">
        <v>1177</v>
      </c>
      <c r="I1065" t="s">
        <v>2328</v>
      </c>
      <c r="J1065" t="s">
        <v>101</v>
      </c>
      <c r="K1065" t="s">
        <v>38</v>
      </c>
      <c r="L1065" t="s">
        <v>2329</v>
      </c>
      <c r="M1065" t="b">
        <v>0</v>
      </c>
      <c r="N1065" t="s">
        <v>42</v>
      </c>
      <c r="O1065" t="s">
        <v>4867</v>
      </c>
      <c r="P1065" t="s">
        <v>468</v>
      </c>
      <c r="Q1065">
        <v>117.24</v>
      </c>
      <c r="R1065">
        <v>7.5</v>
      </c>
      <c r="S1065" t="s">
        <v>44</v>
      </c>
      <c r="T1065">
        <v>88.2</v>
      </c>
      <c r="U1065" t="str">
        <f>IF(T1065&gt;=100,"above 100",IF(T1065&gt;=80,"80-100",IF(T1065&gt;=60,"60-80",IF(T1065&gt;=40,"40-60",IF(T1065&gt;=20,"20-60","0-20")))))</f>
        <v>80-100</v>
      </c>
      <c r="V1065">
        <v>101.8</v>
      </c>
      <c r="W1065">
        <v>78.5</v>
      </c>
      <c r="X1065">
        <v>9.6</v>
      </c>
      <c r="Y1065">
        <v>36.6</v>
      </c>
      <c r="Z1065">
        <v>328239523</v>
      </c>
      <c r="AA1065">
        <v>37.090240000000001</v>
      </c>
      <c r="AB1065">
        <v>-95.712890999999999</v>
      </c>
    </row>
    <row r="1066" spans="1:28" hidden="1">
      <c r="A1066">
        <v>1027</v>
      </c>
      <c r="B1066">
        <v>2900</v>
      </c>
      <c r="C1066" t="s">
        <v>26</v>
      </c>
      <c r="D1066" t="s">
        <v>2330</v>
      </c>
      <c r="E1066">
        <v>61</v>
      </c>
      <c r="G1066" t="s">
        <v>103</v>
      </c>
      <c r="H1066" t="s">
        <v>143</v>
      </c>
      <c r="I1066" t="s">
        <v>410</v>
      </c>
      <c r="J1066" t="s">
        <v>26</v>
      </c>
      <c r="K1066" t="s">
        <v>103</v>
      </c>
      <c r="M1066" t="b">
        <v>1</v>
      </c>
      <c r="N1066" t="s">
        <v>42</v>
      </c>
      <c r="O1066" t="s">
        <v>33</v>
      </c>
      <c r="Q1066">
        <v>125.08</v>
      </c>
      <c r="R1066">
        <v>2.9</v>
      </c>
      <c r="S1066" t="s">
        <v>106</v>
      </c>
      <c r="T1066">
        <v>50.6</v>
      </c>
      <c r="V1066">
        <v>100.2</v>
      </c>
      <c r="W1066">
        <v>77</v>
      </c>
      <c r="X1066">
        <v>9.4</v>
      </c>
      <c r="Y1066">
        <v>59.2</v>
      </c>
      <c r="Z1066">
        <v>1397715000</v>
      </c>
      <c r="AA1066">
        <v>35.861660000000001</v>
      </c>
      <c r="AB1066">
        <v>104.195397</v>
      </c>
    </row>
    <row r="1067" spans="1:28" hidden="1">
      <c r="A1067">
        <v>1027</v>
      </c>
      <c r="B1067">
        <v>2900</v>
      </c>
      <c r="C1067" t="s">
        <v>26</v>
      </c>
      <c r="D1067" t="s">
        <v>2331</v>
      </c>
      <c r="E1067">
        <v>62</v>
      </c>
      <c r="G1067" t="s">
        <v>103</v>
      </c>
      <c r="H1067" t="s">
        <v>2332</v>
      </c>
      <c r="I1067" t="s">
        <v>200</v>
      </c>
      <c r="J1067" t="s">
        <v>26</v>
      </c>
      <c r="K1067" t="s">
        <v>103</v>
      </c>
      <c r="M1067" t="b">
        <v>1</v>
      </c>
      <c r="N1067" t="s">
        <v>419</v>
      </c>
      <c r="O1067" t="s">
        <v>33</v>
      </c>
      <c r="Q1067">
        <v>125.08</v>
      </c>
      <c r="R1067">
        <v>2.9</v>
      </c>
      <c r="S1067" t="s">
        <v>106</v>
      </c>
      <c r="T1067">
        <v>50.6</v>
      </c>
      <c r="V1067">
        <v>100.2</v>
      </c>
      <c r="W1067">
        <v>77</v>
      </c>
      <c r="X1067">
        <v>9.4</v>
      </c>
      <c r="Y1067">
        <v>59.2</v>
      </c>
      <c r="Z1067">
        <v>1397715000</v>
      </c>
      <c r="AA1067">
        <v>35.861660000000001</v>
      </c>
      <c r="AB1067">
        <v>104.195397</v>
      </c>
    </row>
    <row r="1068" spans="1:28" hidden="1">
      <c r="A1068">
        <v>1067</v>
      </c>
      <c r="B1068">
        <v>2800</v>
      </c>
      <c r="C1068" t="s">
        <v>26</v>
      </c>
      <c r="D1068" t="s">
        <v>2333</v>
      </c>
      <c r="E1068">
        <v>66</v>
      </c>
      <c r="G1068" t="s">
        <v>77</v>
      </c>
      <c r="H1068" t="s">
        <v>2334</v>
      </c>
      <c r="I1068" t="s">
        <v>2335</v>
      </c>
      <c r="J1068" t="s">
        <v>26</v>
      </c>
      <c r="K1068" t="s">
        <v>77</v>
      </c>
      <c r="M1068" t="b">
        <v>0</v>
      </c>
      <c r="N1068" t="s">
        <v>32</v>
      </c>
      <c r="O1068" t="s">
        <v>33</v>
      </c>
      <c r="Q1068">
        <v>180.44</v>
      </c>
      <c r="R1068">
        <v>7.7</v>
      </c>
      <c r="S1068" t="s">
        <v>81</v>
      </c>
      <c r="T1068">
        <v>28.1</v>
      </c>
      <c r="V1068">
        <v>113</v>
      </c>
      <c r="W1068">
        <v>69.400000000000006</v>
      </c>
      <c r="X1068">
        <v>11.2</v>
      </c>
      <c r="Y1068">
        <v>49.7</v>
      </c>
      <c r="Z1068">
        <v>1366417754</v>
      </c>
      <c r="AA1068">
        <v>20.593684</v>
      </c>
      <c r="AB1068">
        <v>78.962879999999998</v>
      </c>
    </row>
    <row r="1069" spans="1:28" hidden="1">
      <c r="A1069">
        <v>1067</v>
      </c>
      <c r="B1069">
        <v>2800</v>
      </c>
      <c r="C1069" t="s">
        <v>288</v>
      </c>
      <c r="D1069" t="s">
        <v>2336</v>
      </c>
      <c r="E1069">
        <v>74</v>
      </c>
      <c r="G1069" t="s">
        <v>103</v>
      </c>
      <c r="H1069" t="s">
        <v>2337</v>
      </c>
      <c r="I1069" t="s">
        <v>418</v>
      </c>
      <c r="J1069" t="s">
        <v>288</v>
      </c>
      <c r="K1069" t="s">
        <v>103</v>
      </c>
      <c r="M1069" t="b">
        <v>1</v>
      </c>
      <c r="N1069" t="s">
        <v>42</v>
      </c>
      <c r="O1069" t="s">
        <v>33</v>
      </c>
      <c r="Q1069">
        <v>125.08</v>
      </c>
      <c r="R1069">
        <v>2.9</v>
      </c>
      <c r="S1069" t="s">
        <v>106</v>
      </c>
      <c r="T1069">
        <v>50.6</v>
      </c>
      <c r="V1069">
        <v>100.2</v>
      </c>
      <c r="W1069">
        <v>77</v>
      </c>
      <c r="X1069">
        <v>9.4</v>
      </c>
      <c r="Y1069">
        <v>59.2</v>
      </c>
      <c r="Z1069">
        <v>1397715000</v>
      </c>
      <c r="AA1069">
        <v>35.861660000000001</v>
      </c>
      <c r="AB1069">
        <v>104.195397</v>
      </c>
    </row>
    <row r="1070" spans="1:28">
      <c r="A1070">
        <v>1067</v>
      </c>
      <c r="B1070">
        <v>2800</v>
      </c>
      <c r="C1070" t="s">
        <v>45</v>
      </c>
      <c r="D1070" t="s">
        <v>2338</v>
      </c>
      <c r="E1070">
        <v>44</v>
      </c>
      <c r="F1070" t="str">
        <f>IF(E1070&gt;=90,"90-100",IF(E1070&gt;=80,"80-90",IF(E1070&gt;=70,"70-80",IF(E1070&gt;=60,"60-70",IF(E1070&gt;=50,"50-60",IF(E1070&gt;=40,"40-50",IF(E1070&gt;=30,"30-40","20-30")))))))</f>
        <v>40-50</v>
      </c>
      <c r="G1070" t="s">
        <v>38</v>
      </c>
      <c r="H1070" t="s">
        <v>652</v>
      </c>
      <c r="I1070" t="s">
        <v>1676</v>
      </c>
      <c r="J1070" t="s">
        <v>45</v>
      </c>
      <c r="K1070" t="s">
        <v>127</v>
      </c>
      <c r="L1070" t="s">
        <v>1677</v>
      </c>
      <c r="M1070" t="b">
        <v>1</v>
      </c>
      <c r="N1070" t="s">
        <v>419</v>
      </c>
      <c r="O1070" t="s">
        <v>4867</v>
      </c>
      <c r="P1070" t="s">
        <v>2339</v>
      </c>
      <c r="Q1070">
        <v>117.24</v>
      </c>
      <c r="R1070">
        <v>7.5</v>
      </c>
      <c r="S1070" t="s">
        <v>44</v>
      </c>
      <c r="T1070">
        <v>88.2</v>
      </c>
      <c r="U1070" t="str">
        <f>IF(T1070&gt;=100,"above 100",IF(T1070&gt;=80,"80-100",IF(T1070&gt;=60,"60-80",IF(T1070&gt;=40,"40-60",IF(T1070&gt;=20,"20-60","0-20")))))</f>
        <v>80-100</v>
      </c>
      <c r="V1070">
        <v>101.8</v>
      </c>
      <c r="W1070">
        <v>78.5</v>
      </c>
      <c r="X1070">
        <v>9.6</v>
      </c>
      <c r="Y1070">
        <v>36.6</v>
      </c>
      <c r="Z1070">
        <v>328239523</v>
      </c>
      <c r="AA1070">
        <v>37.090240000000001</v>
      </c>
      <c r="AB1070">
        <v>-95.712890999999999</v>
      </c>
    </row>
    <row r="1071" spans="1:28" hidden="1">
      <c r="A1071">
        <v>1067</v>
      </c>
      <c r="B1071">
        <v>2800</v>
      </c>
      <c r="C1071" t="s">
        <v>179</v>
      </c>
      <c r="D1071" t="s">
        <v>2340</v>
      </c>
      <c r="E1071">
        <v>75</v>
      </c>
      <c r="G1071" t="s">
        <v>2341</v>
      </c>
      <c r="H1071" t="s">
        <v>2342</v>
      </c>
      <c r="I1071" t="s">
        <v>2343</v>
      </c>
      <c r="J1071" t="s">
        <v>179</v>
      </c>
      <c r="K1071" t="s">
        <v>512</v>
      </c>
      <c r="M1071" t="b">
        <v>1</v>
      </c>
      <c r="N1071" t="s">
        <v>32</v>
      </c>
      <c r="O1071" t="s">
        <v>33</v>
      </c>
      <c r="Q1071">
        <v>127.63</v>
      </c>
      <c r="R1071">
        <v>2.5</v>
      </c>
      <c r="S1071" t="s">
        <v>2344</v>
      </c>
      <c r="T1071">
        <v>13.7</v>
      </c>
      <c r="V1071">
        <v>107.4</v>
      </c>
      <c r="W1071">
        <v>69.599999999999994</v>
      </c>
      <c r="X1071">
        <v>17.100000000000001</v>
      </c>
      <c r="Y1071">
        <v>23.1</v>
      </c>
      <c r="Z1071">
        <v>16486542</v>
      </c>
      <c r="AA1071">
        <v>12.565678999999999</v>
      </c>
      <c r="AB1071">
        <v>104.99096299999999</v>
      </c>
    </row>
    <row r="1072" spans="1:28" hidden="1">
      <c r="A1072">
        <v>1067</v>
      </c>
      <c r="B1072">
        <v>2800</v>
      </c>
      <c r="C1072" t="s">
        <v>221</v>
      </c>
      <c r="D1072" t="s">
        <v>2345</v>
      </c>
      <c r="E1072">
        <v>69</v>
      </c>
      <c r="G1072" t="s">
        <v>395</v>
      </c>
      <c r="H1072" t="s">
        <v>395</v>
      </c>
      <c r="I1072" t="s">
        <v>1843</v>
      </c>
      <c r="J1072" t="s">
        <v>221</v>
      </c>
      <c r="K1072" t="s">
        <v>395</v>
      </c>
      <c r="M1072" t="b">
        <v>1</v>
      </c>
      <c r="N1072" t="s">
        <v>32</v>
      </c>
      <c r="O1072" t="s">
        <v>33</v>
      </c>
      <c r="Q1072">
        <v>114.41</v>
      </c>
      <c r="R1072">
        <v>0.6</v>
      </c>
      <c r="S1072" t="s">
        <v>451</v>
      </c>
      <c r="T1072">
        <v>84.8</v>
      </c>
      <c r="V1072">
        <v>100.6</v>
      </c>
      <c r="W1072">
        <v>83.1</v>
      </c>
      <c r="X1072">
        <v>13.1</v>
      </c>
      <c r="Y1072">
        <v>21</v>
      </c>
      <c r="Z1072">
        <v>5703569</v>
      </c>
      <c r="AA1072">
        <v>1.3520829999999999</v>
      </c>
      <c r="AB1072">
        <v>103.819836</v>
      </c>
    </row>
    <row r="1073" spans="1:28">
      <c r="A1073">
        <v>1067</v>
      </c>
      <c r="B1073">
        <v>2800</v>
      </c>
      <c r="C1073" t="s">
        <v>36</v>
      </c>
      <c r="D1073" t="s">
        <v>2346</v>
      </c>
      <c r="E1073">
        <v>52</v>
      </c>
      <c r="F1073" t="s">
        <v>4846</v>
      </c>
      <c r="G1073" t="s">
        <v>611</v>
      </c>
      <c r="H1073" t="s">
        <v>612</v>
      </c>
      <c r="I1073" t="s">
        <v>1720</v>
      </c>
      <c r="J1073" t="s">
        <v>36</v>
      </c>
      <c r="K1073" t="s">
        <v>611</v>
      </c>
      <c r="L1073" t="s">
        <v>2347</v>
      </c>
      <c r="M1073" t="b">
        <v>0</v>
      </c>
      <c r="N1073" t="s">
        <v>42</v>
      </c>
      <c r="O1073" t="s">
        <v>33</v>
      </c>
      <c r="Q1073">
        <v>115.16</v>
      </c>
      <c r="R1073">
        <v>0.4</v>
      </c>
      <c r="S1073" t="s">
        <v>615</v>
      </c>
      <c r="T1073">
        <v>94.3</v>
      </c>
      <c r="U1073" t="str">
        <f>IF(T1073&gt;=100,"above 100",IF(T1073&gt;=80,"80-100",IF(T1073&gt;=60,"60-80",IF(T1073&gt;=40,"40-60",IF(T1073&gt;=20,"20-60","0-20")))))</f>
        <v>80-100</v>
      </c>
      <c r="V1073">
        <v>98.1</v>
      </c>
      <c r="W1073">
        <v>82.6</v>
      </c>
      <c r="X1073">
        <v>15.6</v>
      </c>
      <c r="Y1073">
        <v>33.200000000000003</v>
      </c>
      <c r="Z1073">
        <v>51709098</v>
      </c>
      <c r="AA1073">
        <v>35.907756999999997</v>
      </c>
      <c r="AB1073">
        <v>127.76692199999999</v>
      </c>
    </row>
    <row r="1074" spans="1:28" hidden="1">
      <c r="A1074">
        <v>1067</v>
      </c>
      <c r="B1074">
        <v>2800</v>
      </c>
      <c r="C1074" t="s">
        <v>75</v>
      </c>
      <c r="D1074" t="s">
        <v>2348</v>
      </c>
      <c r="E1074">
        <v>72</v>
      </c>
      <c r="G1074" t="s">
        <v>77</v>
      </c>
      <c r="H1074" t="s">
        <v>78</v>
      </c>
      <c r="I1074" t="s">
        <v>1260</v>
      </c>
      <c r="J1074" t="s">
        <v>75</v>
      </c>
      <c r="K1074" t="s">
        <v>77</v>
      </c>
      <c r="M1074" t="b">
        <v>0</v>
      </c>
      <c r="N1074" t="s">
        <v>32</v>
      </c>
      <c r="O1074" t="s">
        <v>88</v>
      </c>
      <c r="Q1074">
        <v>180.44</v>
      </c>
      <c r="R1074">
        <v>7.7</v>
      </c>
      <c r="S1074" t="s">
        <v>81</v>
      </c>
      <c r="T1074">
        <v>28.1</v>
      </c>
      <c r="V1074">
        <v>113</v>
      </c>
      <c r="W1074">
        <v>69.400000000000006</v>
      </c>
      <c r="X1074">
        <v>11.2</v>
      </c>
      <c r="Y1074">
        <v>49.7</v>
      </c>
      <c r="Z1074">
        <v>1366417754</v>
      </c>
      <c r="AA1074">
        <v>20.593684</v>
      </c>
      <c r="AB1074">
        <v>78.962879999999998</v>
      </c>
    </row>
    <row r="1075" spans="1:28" hidden="1">
      <c r="A1075">
        <v>1067</v>
      </c>
      <c r="B1075">
        <v>2800</v>
      </c>
      <c r="C1075" t="s">
        <v>26</v>
      </c>
      <c r="D1075" t="s">
        <v>2349</v>
      </c>
      <c r="E1075">
        <v>90</v>
      </c>
      <c r="G1075" t="s">
        <v>38</v>
      </c>
      <c r="H1075" t="s">
        <v>2350</v>
      </c>
      <c r="I1075" t="s">
        <v>410</v>
      </c>
      <c r="J1075" t="s">
        <v>26</v>
      </c>
      <c r="K1075" t="s">
        <v>38</v>
      </c>
      <c r="M1075" t="b">
        <v>0</v>
      </c>
      <c r="N1075" t="s">
        <v>192</v>
      </c>
      <c r="O1075" t="s">
        <v>88</v>
      </c>
      <c r="Q1075">
        <v>117.24</v>
      </c>
      <c r="R1075">
        <v>7.5</v>
      </c>
      <c r="S1075" t="s">
        <v>44</v>
      </c>
      <c r="T1075">
        <v>88.2</v>
      </c>
      <c r="V1075">
        <v>101.8</v>
      </c>
      <c r="W1075">
        <v>78.5</v>
      </c>
      <c r="X1075">
        <v>9.6</v>
      </c>
      <c r="Y1075">
        <v>36.6</v>
      </c>
      <c r="Z1075">
        <v>328239523</v>
      </c>
      <c r="AA1075">
        <v>37.090240000000001</v>
      </c>
      <c r="AB1075">
        <v>-95.712890999999999</v>
      </c>
    </row>
    <row r="1076" spans="1:28" hidden="1">
      <c r="A1076">
        <v>1067</v>
      </c>
      <c r="B1076">
        <v>2800</v>
      </c>
      <c r="C1076" t="s">
        <v>217</v>
      </c>
      <c r="D1076" t="s">
        <v>2351</v>
      </c>
      <c r="E1076">
        <v>53</v>
      </c>
      <c r="G1076" t="s">
        <v>103</v>
      </c>
      <c r="H1076" t="s">
        <v>143</v>
      </c>
      <c r="I1076" t="s">
        <v>287</v>
      </c>
      <c r="J1076" t="s">
        <v>217</v>
      </c>
      <c r="K1076" t="s">
        <v>103</v>
      </c>
      <c r="M1076" t="b">
        <v>1</v>
      </c>
      <c r="N1076" t="s">
        <v>42</v>
      </c>
      <c r="O1076" t="s">
        <v>33</v>
      </c>
      <c r="Q1076">
        <v>125.08</v>
      </c>
      <c r="R1076">
        <v>2.9</v>
      </c>
      <c r="S1076" t="s">
        <v>106</v>
      </c>
      <c r="T1076">
        <v>50.6</v>
      </c>
      <c r="V1076">
        <v>100.2</v>
      </c>
      <c r="W1076">
        <v>77</v>
      </c>
      <c r="X1076">
        <v>9.4</v>
      </c>
      <c r="Y1076">
        <v>59.2</v>
      </c>
      <c r="Z1076">
        <v>1397715000</v>
      </c>
      <c r="AA1076">
        <v>35.861660000000001</v>
      </c>
      <c r="AB1076">
        <v>104.195397</v>
      </c>
    </row>
    <row r="1077" spans="1:28" hidden="1">
      <c r="A1077">
        <v>1067</v>
      </c>
      <c r="B1077">
        <v>2800</v>
      </c>
      <c r="C1077" t="s">
        <v>478</v>
      </c>
      <c r="D1077" t="s">
        <v>2352</v>
      </c>
      <c r="E1077">
        <v>54</v>
      </c>
      <c r="G1077" t="s">
        <v>38</v>
      </c>
      <c r="H1077" t="s">
        <v>181</v>
      </c>
      <c r="I1077" t="s">
        <v>2353</v>
      </c>
      <c r="J1077" t="s">
        <v>478</v>
      </c>
      <c r="K1077" t="s">
        <v>38</v>
      </c>
      <c r="M1077" t="b">
        <v>0</v>
      </c>
      <c r="N1077" t="s">
        <v>32</v>
      </c>
      <c r="O1077" t="s">
        <v>33</v>
      </c>
      <c r="Q1077">
        <v>117.24</v>
      </c>
      <c r="R1077">
        <v>7.5</v>
      </c>
      <c r="S1077" t="s">
        <v>44</v>
      </c>
      <c r="T1077">
        <v>88.2</v>
      </c>
      <c r="V1077">
        <v>101.8</v>
      </c>
      <c r="W1077">
        <v>78.5</v>
      </c>
      <c r="X1077">
        <v>9.6</v>
      </c>
      <c r="Y1077">
        <v>36.6</v>
      </c>
      <c r="Z1077">
        <v>328239523</v>
      </c>
      <c r="AA1077">
        <v>37.090240000000001</v>
      </c>
      <c r="AB1077">
        <v>-95.712890999999999</v>
      </c>
    </row>
    <row r="1078" spans="1:28" hidden="1">
      <c r="A1078">
        <v>1067</v>
      </c>
      <c r="B1078">
        <v>2800</v>
      </c>
      <c r="C1078" t="s">
        <v>45</v>
      </c>
      <c r="D1078" t="s">
        <v>2354</v>
      </c>
      <c r="G1078" t="s">
        <v>148</v>
      </c>
      <c r="H1078" t="s">
        <v>1051</v>
      </c>
      <c r="I1078" t="s">
        <v>2355</v>
      </c>
      <c r="J1078" t="s">
        <v>45</v>
      </c>
      <c r="K1078" t="s">
        <v>148</v>
      </c>
      <c r="M1078" t="b">
        <v>0</v>
      </c>
      <c r="N1078" t="s">
        <v>32</v>
      </c>
      <c r="O1078" t="s">
        <v>33</v>
      </c>
      <c r="Q1078">
        <v>112.85</v>
      </c>
      <c r="R1078">
        <v>1.4</v>
      </c>
      <c r="S1078" t="s">
        <v>151</v>
      </c>
      <c r="T1078">
        <v>70.2</v>
      </c>
      <c r="V1078">
        <v>104</v>
      </c>
      <c r="W1078">
        <v>80.900000000000006</v>
      </c>
      <c r="X1078">
        <v>11.5</v>
      </c>
      <c r="Y1078">
        <v>48.8</v>
      </c>
      <c r="Z1078">
        <v>83132799</v>
      </c>
      <c r="AA1078">
        <v>51.165691000000002</v>
      </c>
      <c r="AB1078">
        <v>10.451525999999999</v>
      </c>
    </row>
    <row r="1079" spans="1:28" hidden="1">
      <c r="A1079">
        <v>1067</v>
      </c>
      <c r="B1079">
        <v>2800</v>
      </c>
      <c r="C1079" t="s">
        <v>75</v>
      </c>
      <c r="D1079" t="s">
        <v>2356</v>
      </c>
      <c r="E1079">
        <v>81</v>
      </c>
      <c r="G1079" t="s">
        <v>77</v>
      </c>
      <c r="H1079" t="s">
        <v>78</v>
      </c>
      <c r="I1079" t="s">
        <v>1260</v>
      </c>
      <c r="J1079" t="s">
        <v>75</v>
      </c>
      <c r="K1079" t="s">
        <v>77</v>
      </c>
      <c r="M1079" t="b">
        <v>0</v>
      </c>
      <c r="N1079" t="s">
        <v>32</v>
      </c>
      <c r="O1079" t="s">
        <v>33</v>
      </c>
      <c r="Q1079">
        <v>180.44</v>
      </c>
      <c r="R1079">
        <v>7.7</v>
      </c>
      <c r="S1079" t="s">
        <v>81</v>
      </c>
      <c r="T1079">
        <v>28.1</v>
      </c>
      <c r="V1079">
        <v>113</v>
      </c>
      <c r="W1079">
        <v>69.400000000000006</v>
      </c>
      <c r="X1079">
        <v>11.2</v>
      </c>
      <c r="Y1079">
        <v>49.7</v>
      </c>
      <c r="Z1079">
        <v>1366417754</v>
      </c>
      <c r="AA1079">
        <v>20.593684</v>
      </c>
      <c r="AB1079">
        <v>78.962879999999998</v>
      </c>
    </row>
    <row r="1080" spans="1:28" hidden="1">
      <c r="A1080">
        <v>1067</v>
      </c>
      <c r="B1080">
        <v>2800</v>
      </c>
      <c r="C1080" t="s">
        <v>75</v>
      </c>
      <c r="D1080" t="s">
        <v>2357</v>
      </c>
      <c r="E1080">
        <v>74</v>
      </c>
      <c r="G1080" t="s">
        <v>77</v>
      </c>
      <c r="H1080" t="s">
        <v>78</v>
      </c>
      <c r="I1080" t="s">
        <v>75</v>
      </c>
      <c r="J1080" t="s">
        <v>75</v>
      </c>
      <c r="K1080" t="s">
        <v>77</v>
      </c>
      <c r="M1080" t="b">
        <v>0</v>
      </c>
      <c r="N1080" t="s">
        <v>32</v>
      </c>
      <c r="O1080" t="s">
        <v>33</v>
      </c>
      <c r="Q1080">
        <v>180.44</v>
      </c>
      <c r="R1080">
        <v>7.7</v>
      </c>
      <c r="S1080" t="s">
        <v>81</v>
      </c>
      <c r="T1080">
        <v>28.1</v>
      </c>
      <c r="V1080">
        <v>113</v>
      </c>
      <c r="W1080">
        <v>69.400000000000006</v>
      </c>
      <c r="X1080">
        <v>11.2</v>
      </c>
      <c r="Y1080">
        <v>49.7</v>
      </c>
      <c r="Z1080">
        <v>1366417754</v>
      </c>
      <c r="AA1080">
        <v>20.593684</v>
      </c>
      <c r="AB1080">
        <v>78.962879999999998</v>
      </c>
    </row>
    <row r="1081" spans="1:28" hidden="1">
      <c r="A1081">
        <v>1067</v>
      </c>
      <c r="B1081">
        <v>2800</v>
      </c>
      <c r="C1081" t="s">
        <v>221</v>
      </c>
      <c r="D1081" t="s">
        <v>2358</v>
      </c>
      <c r="E1081">
        <v>56</v>
      </c>
      <c r="G1081" t="s">
        <v>512</v>
      </c>
      <c r="I1081" t="s">
        <v>2359</v>
      </c>
      <c r="J1081" t="s">
        <v>221</v>
      </c>
      <c r="K1081" t="s">
        <v>512</v>
      </c>
      <c r="M1081" t="b">
        <v>0</v>
      </c>
      <c r="N1081" t="s">
        <v>212</v>
      </c>
      <c r="O1081" t="s">
        <v>33</v>
      </c>
      <c r="Q1081">
        <v>121.46</v>
      </c>
      <c r="R1081">
        <v>0.7</v>
      </c>
      <c r="S1081" t="s">
        <v>592</v>
      </c>
      <c r="T1081">
        <v>45.1</v>
      </c>
      <c r="V1081">
        <v>105.3</v>
      </c>
      <c r="W1081">
        <v>76</v>
      </c>
      <c r="X1081">
        <v>12</v>
      </c>
      <c r="Y1081">
        <v>38.700000000000003</v>
      </c>
      <c r="Z1081">
        <v>32447385</v>
      </c>
      <c r="AA1081">
        <v>4.2104840000000001</v>
      </c>
      <c r="AB1081">
        <v>101.97576599999999</v>
      </c>
    </row>
    <row r="1082" spans="1:28" hidden="1">
      <c r="A1082">
        <v>1067</v>
      </c>
      <c r="B1082">
        <v>2800</v>
      </c>
      <c r="C1082" t="s">
        <v>217</v>
      </c>
      <c r="D1082" t="s">
        <v>2360</v>
      </c>
      <c r="E1082">
        <v>58</v>
      </c>
      <c r="G1082" t="s">
        <v>103</v>
      </c>
      <c r="H1082" t="s">
        <v>143</v>
      </c>
      <c r="I1082" t="s">
        <v>2361</v>
      </c>
      <c r="J1082" t="s">
        <v>217</v>
      </c>
      <c r="K1082" t="s">
        <v>103</v>
      </c>
      <c r="M1082" t="b">
        <v>1</v>
      </c>
      <c r="N1082" t="s">
        <v>42</v>
      </c>
      <c r="O1082" t="s">
        <v>33</v>
      </c>
      <c r="Q1082">
        <v>125.08</v>
      </c>
      <c r="R1082">
        <v>2.9</v>
      </c>
      <c r="S1082" t="s">
        <v>106</v>
      </c>
      <c r="T1082">
        <v>50.6</v>
      </c>
      <c r="V1082">
        <v>100.2</v>
      </c>
      <c r="W1082">
        <v>77</v>
      </c>
      <c r="X1082">
        <v>9.4</v>
      </c>
      <c r="Y1082">
        <v>59.2</v>
      </c>
      <c r="Z1082">
        <v>1397715000</v>
      </c>
      <c r="AA1082">
        <v>35.861660000000001</v>
      </c>
      <c r="AB1082">
        <v>104.195397</v>
      </c>
    </row>
    <row r="1083" spans="1:28" hidden="1">
      <c r="A1083">
        <v>1067</v>
      </c>
      <c r="B1083">
        <v>2800</v>
      </c>
      <c r="C1083" t="s">
        <v>217</v>
      </c>
      <c r="D1083" t="s">
        <v>2362</v>
      </c>
      <c r="E1083">
        <v>54</v>
      </c>
      <c r="G1083" t="s">
        <v>263</v>
      </c>
      <c r="H1083" t="s">
        <v>274</v>
      </c>
      <c r="I1083" t="s">
        <v>287</v>
      </c>
      <c r="J1083" t="s">
        <v>217</v>
      </c>
      <c r="K1083" t="s">
        <v>263</v>
      </c>
      <c r="M1083" t="b">
        <v>1</v>
      </c>
      <c r="N1083" t="s">
        <v>853</v>
      </c>
      <c r="O1083" t="s">
        <v>33</v>
      </c>
      <c r="Q1083">
        <v>180.75</v>
      </c>
      <c r="R1083">
        <v>4.5</v>
      </c>
      <c r="S1083" t="s">
        <v>276</v>
      </c>
      <c r="T1083">
        <v>81.900000000000006</v>
      </c>
      <c r="V1083">
        <v>102.6</v>
      </c>
      <c r="W1083">
        <v>72.7</v>
      </c>
      <c r="X1083">
        <v>11.4</v>
      </c>
      <c r="Y1083">
        <v>46.2</v>
      </c>
      <c r="Z1083">
        <v>144373535</v>
      </c>
      <c r="AA1083">
        <v>61.524009999999997</v>
      </c>
      <c r="AB1083">
        <v>105.31875599999999</v>
      </c>
    </row>
    <row r="1084" spans="1:28" hidden="1">
      <c r="A1084">
        <v>1067</v>
      </c>
      <c r="B1084">
        <v>2800</v>
      </c>
      <c r="C1084" t="s">
        <v>26</v>
      </c>
      <c r="D1084" t="s">
        <v>2363</v>
      </c>
      <c r="E1084">
        <v>86</v>
      </c>
      <c r="G1084" t="s">
        <v>38</v>
      </c>
      <c r="H1084" t="s">
        <v>2364</v>
      </c>
      <c r="I1084" t="s">
        <v>2365</v>
      </c>
      <c r="J1084" t="s">
        <v>26</v>
      </c>
      <c r="K1084" t="s">
        <v>38</v>
      </c>
      <c r="M1084" t="b">
        <v>0</v>
      </c>
      <c r="N1084" t="s">
        <v>42</v>
      </c>
      <c r="O1084" t="s">
        <v>33</v>
      </c>
      <c r="Q1084">
        <v>117.24</v>
      </c>
      <c r="R1084">
        <v>7.5</v>
      </c>
      <c r="S1084" t="s">
        <v>44</v>
      </c>
      <c r="T1084">
        <v>88.2</v>
      </c>
      <c r="V1084">
        <v>101.8</v>
      </c>
      <c r="W1084">
        <v>78.5</v>
      </c>
      <c r="X1084">
        <v>9.6</v>
      </c>
      <c r="Y1084">
        <v>36.6</v>
      </c>
      <c r="Z1084">
        <v>328239523</v>
      </c>
      <c r="AA1084">
        <v>37.090240000000001</v>
      </c>
      <c r="AB1084">
        <v>-95.712890999999999</v>
      </c>
    </row>
    <row r="1085" spans="1:28" hidden="1">
      <c r="A1085">
        <v>1067</v>
      </c>
      <c r="B1085">
        <v>2800</v>
      </c>
      <c r="C1085" t="s">
        <v>68</v>
      </c>
      <c r="D1085" t="s">
        <v>2366</v>
      </c>
      <c r="E1085">
        <v>67</v>
      </c>
      <c r="G1085" t="s">
        <v>2367</v>
      </c>
      <c r="H1085" t="s">
        <v>2368</v>
      </c>
      <c r="I1085" t="s">
        <v>68</v>
      </c>
      <c r="J1085" t="s">
        <v>68</v>
      </c>
      <c r="K1085" t="s">
        <v>2367</v>
      </c>
      <c r="M1085" t="b">
        <v>1</v>
      </c>
      <c r="N1085" t="s">
        <v>42</v>
      </c>
      <c r="O1085" t="s">
        <v>33</v>
      </c>
      <c r="Q1085">
        <v>130.02000000000001</v>
      </c>
      <c r="R1085">
        <v>3</v>
      </c>
      <c r="S1085" t="s">
        <v>2369</v>
      </c>
      <c r="T1085">
        <v>26.3</v>
      </c>
      <c r="V1085">
        <v>95.1</v>
      </c>
      <c r="W1085">
        <v>78.900000000000006</v>
      </c>
      <c r="X1085">
        <v>15.3</v>
      </c>
      <c r="Y1085">
        <v>32.200000000000003</v>
      </c>
      <c r="Z1085">
        <v>6855713</v>
      </c>
      <c r="AA1085">
        <v>33.854720999999998</v>
      </c>
      <c r="AB1085">
        <v>35.862285</v>
      </c>
    </row>
    <row r="1086" spans="1:28" hidden="1">
      <c r="A1086">
        <v>1067</v>
      </c>
      <c r="B1086">
        <v>2800</v>
      </c>
      <c r="C1086" t="s">
        <v>68</v>
      </c>
      <c r="D1086" t="s">
        <v>2370</v>
      </c>
      <c r="E1086">
        <v>78</v>
      </c>
      <c r="G1086" t="s">
        <v>2367</v>
      </c>
      <c r="H1086" t="s">
        <v>2368</v>
      </c>
      <c r="I1086" t="s">
        <v>68</v>
      </c>
      <c r="J1086" t="s">
        <v>68</v>
      </c>
      <c r="K1086" t="s">
        <v>2367</v>
      </c>
      <c r="M1086" t="b">
        <v>1</v>
      </c>
      <c r="N1086" t="s">
        <v>42</v>
      </c>
      <c r="O1086" t="s">
        <v>33</v>
      </c>
      <c r="Q1086">
        <v>130.02000000000001</v>
      </c>
      <c r="R1086">
        <v>3</v>
      </c>
      <c r="S1086" t="s">
        <v>2369</v>
      </c>
      <c r="T1086">
        <v>26.3</v>
      </c>
      <c r="V1086">
        <v>95.1</v>
      </c>
      <c r="W1086">
        <v>78.900000000000006</v>
      </c>
      <c r="X1086">
        <v>15.3</v>
      </c>
      <c r="Y1086">
        <v>32.200000000000003</v>
      </c>
      <c r="Z1086">
        <v>6855713</v>
      </c>
      <c r="AA1086">
        <v>33.854720999999998</v>
      </c>
      <c r="AB1086">
        <v>35.862285</v>
      </c>
    </row>
    <row r="1087" spans="1:28" hidden="1">
      <c r="A1087">
        <v>1067</v>
      </c>
      <c r="B1087">
        <v>2800</v>
      </c>
      <c r="C1087" t="s">
        <v>221</v>
      </c>
      <c r="D1087" t="s">
        <v>2371</v>
      </c>
      <c r="E1087">
        <v>86</v>
      </c>
      <c r="G1087" t="s">
        <v>198</v>
      </c>
      <c r="H1087" t="s">
        <v>199</v>
      </c>
      <c r="I1087" t="s">
        <v>223</v>
      </c>
      <c r="J1087" t="s">
        <v>221</v>
      </c>
      <c r="K1087" t="s">
        <v>198</v>
      </c>
      <c r="M1087" t="b">
        <v>0</v>
      </c>
      <c r="N1087" t="s">
        <v>42</v>
      </c>
      <c r="O1087" t="s">
        <v>33</v>
      </c>
      <c r="Q1087">
        <v>105.48</v>
      </c>
      <c r="R1087">
        <v>0.5</v>
      </c>
      <c r="S1087" t="s">
        <v>201</v>
      </c>
      <c r="T1087">
        <v>63.2</v>
      </c>
      <c r="V1087">
        <v>98.8</v>
      </c>
      <c r="W1087">
        <v>84.2</v>
      </c>
      <c r="X1087">
        <v>11.9</v>
      </c>
      <c r="Y1087">
        <v>46.7</v>
      </c>
      <c r="Z1087">
        <v>126226568</v>
      </c>
      <c r="AA1087">
        <v>36.204824000000002</v>
      </c>
      <c r="AB1087">
        <v>138.25292400000001</v>
      </c>
    </row>
    <row r="1088" spans="1:28" hidden="1">
      <c r="A1088">
        <v>1067</v>
      </c>
      <c r="B1088">
        <v>2800</v>
      </c>
      <c r="C1088" t="s">
        <v>75</v>
      </c>
      <c r="D1088" t="s">
        <v>2372</v>
      </c>
      <c r="E1088">
        <v>71</v>
      </c>
      <c r="G1088" t="s">
        <v>77</v>
      </c>
      <c r="H1088" t="s">
        <v>78</v>
      </c>
      <c r="I1088" t="s">
        <v>1260</v>
      </c>
      <c r="J1088" t="s">
        <v>75</v>
      </c>
      <c r="K1088" t="s">
        <v>77</v>
      </c>
      <c r="M1088" t="b">
        <v>0</v>
      </c>
      <c r="N1088" t="s">
        <v>32</v>
      </c>
      <c r="O1088" t="s">
        <v>33</v>
      </c>
      <c r="Q1088">
        <v>180.44</v>
      </c>
      <c r="R1088">
        <v>7.7</v>
      </c>
      <c r="S1088" t="s">
        <v>81</v>
      </c>
      <c r="T1088">
        <v>28.1</v>
      </c>
      <c r="V1088">
        <v>113</v>
      </c>
      <c r="W1088">
        <v>69.400000000000006</v>
      </c>
      <c r="X1088">
        <v>11.2</v>
      </c>
      <c r="Y1088">
        <v>49.7</v>
      </c>
      <c r="Z1088">
        <v>1366417754</v>
      </c>
      <c r="AA1088">
        <v>20.593684</v>
      </c>
      <c r="AB1088">
        <v>78.962879999999998</v>
      </c>
    </row>
    <row r="1089" spans="1:28" hidden="1">
      <c r="A1089">
        <v>1067</v>
      </c>
      <c r="B1089">
        <v>2800</v>
      </c>
      <c r="C1089" t="s">
        <v>75</v>
      </c>
      <c r="D1089" t="s">
        <v>2373</v>
      </c>
      <c r="E1089">
        <v>69</v>
      </c>
      <c r="G1089" t="s">
        <v>28</v>
      </c>
      <c r="H1089" t="s">
        <v>29</v>
      </c>
      <c r="I1089" t="s">
        <v>2374</v>
      </c>
      <c r="J1089" t="s">
        <v>75</v>
      </c>
      <c r="K1089" t="s">
        <v>1180</v>
      </c>
      <c r="M1089" t="b">
        <v>0</v>
      </c>
      <c r="N1089" t="s">
        <v>419</v>
      </c>
      <c r="O1089" t="s">
        <v>33</v>
      </c>
      <c r="Q1089">
        <v>110.05</v>
      </c>
      <c r="R1089">
        <v>1.1000000000000001</v>
      </c>
      <c r="S1089" t="s">
        <v>35</v>
      </c>
      <c r="T1089">
        <v>65.599999999999994</v>
      </c>
      <c r="V1089">
        <v>102.5</v>
      </c>
      <c r="W1089">
        <v>82.5</v>
      </c>
      <c r="X1089">
        <v>24.2</v>
      </c>
      <c r="Y1089">
        <v>60.7</v>
      </c>
      <c r="Z1089">
        <v>67059887</v>
      </c>
      <c r="AA1089">
        <v>46.227637999999999</v>
      </c>
      <c r="AB1089">
        <v>2.213749</v>
      </c>
    </row>
    <row r="1090" spans="1:28" hidden="1">
      <c r="A1090">
        <v>1067</v>
      </c>
      <c r="B1090">
        <v>2800</v>
      </c>
      <c r="C1090" t="s">
        <v>45</v>
      </c>
      <c r="D1090" t="s">
        <v>2375</v>
      </c>
      <c r="E1090">
        <v>67</v>
      </c>
      <c r="G1090" t="s">
        <v>77</v>
      </c>
      <c r="H1090" t="s">
        <v>667</v>
      </c>
      <c r="I1090" t="s">
        <v>668</v>
      </c>
      <c r="J1090" t="s">
        <v>45</v>
      </c>
      <c r="K1090" t="s">
        <v>77</v>
      </c>
      <c r="M1090" t="b">
        <v>1</v>
      </c>
      <c r="N1090" t="s">
        <v>42</v>
      </c>
      <c r="O1090" t="s">
        <v>33</v>
      </c>
      <c r="Q1090">
        <v>180.44</v>
      </c>
      <c r="R1090">
        <v>7.7</v>
      </c>
      <c r="S1090" t="s">
        <v>81</v>
      </c>
      <c r="T1090">
        <v>28.1</v>
      </c>
      <c r="V1090">
        <v>113</v>
      </c>
      <c r="W1090">
        <v>69.400000000000006</v>
      </c>
      <c r="X1090">
        <v>11.2</v>
      </c>
      <c r="Y1090">
        <v>49.7</v>
      </c>
      <c r="Z1090">
        <v>1366417754</v>
      </c>
      <c r="AA1090">
        <v>20.593684</v>
      </c>
      <c r="AB1090">
        <v>78.962879999999998</v>
      </c>
    </row>
    <row r="1091" spans="1:28" hidden="1">
      <c r="A1091">
        <v>1067</v>
      </c>
      <c r="B1091">
        <v>2800</v>
      </c>
      <c r="C1091" t="s">
        <v>26</v>
      </c>
      <c r="D1091" t="s">
        <v>2376</v>
      </c>
      <c r="G1091" t="s">
        <v>148</v>
      </c>
      <c r="H1091" t="s">
        <v>683</v>
      </c>
      <c r="I1091" t="s">
        <v>150</v>
      </c>
      <c r="J1091" t="s">
        <v>26</v>
      </c>
      <c r="K1091" t="s">
        <v>148</v>
      </c>
      <c r="M1091" t="b">
        <v>0</v>
      </c>
      <c r="N1091" t="s">
        <v>42</v>
      </c>
      <c r="O1091" t="s">
        <v>33</v>
      </c>
      <c r="Q1091">
        <v>112.85</v>
      </c>
      <c r="R1091">
        <v>1.4</v>
      </c>
      <c r="S1091" t="s">
        <v>151</v>
      </c>
      <c r="T1091">
        <v>70.2</v>
      </c>
      <c r="V1091">
        <v>104</v>
      </c>
      <c r="W1091">
        <v>80.900000000000006</v>
      </c>
      <c r="X1091">
        <v>11.5</v>
      </c>
      <c r="Y1091">
        <v>48.8</v>
      </c>
      <c r="Z1091">
        <v>83132799</v>
      </c>
      <c r="AA1091">
        <v>51.165691000000002</v>
      </c>
      <c r="AB1091">
        <v>10.451525999999999</v>
      </c>
    </row>
    <row r="1092" spans="1:28" hidden="1">
      <c r="A1092">
        <v>1067</v>
      </c>
      <c r="B1092">
        <v>2800</v>
      </c>
      <c r="C1092" t="s">
        <v>75</v>
      </c>
      <c r="D1092" t="s">
        <v>2377</v>
      </c>
      <c r="G1092" t="s">
        <v>148</v>
      </c>
      <c r="H1092" t="s">
        <v>2186</v>
      </c>
      <c r="I1092" t="s">
        <v>713</v>
      </c>
      <c r="J1092" t="s">
        <v>75</v>
      </c>
      <c r="K1092" t="s">
        <v>148</v>
      </c>
      <c r="M1092" t="b">
        <v>0</v>
      </c>
      <c r="N1092" t="s">
        <v>42</v>
      </c>
      <c r="O1092" t="s">
        <v>88</v>
      </c>
      <c r="Q1092">
        <v>112.85</v>
      </c>
      <c r="R1092">
        <v>1.4</v>
      </c>
      <c r="S1092" t="s">
        <v>151</v>
      </c>
      <c r="T1092">
        <v>70.2</v>
      </c>
      <c r="V1092">
        <v>104</v>
      </c>
      <c r="W1092">
        <v>80.900000000000006</v>
      </c>
      <c r="X1092">
        <v>11.5</v>
      </c>
      <c r="Y1092">
        <v>48.8</v>
      </c>
      <c r="Z1092">
        <v>83132799</v>
      </c>
      <c r="AA1092">
        <v>51.165691000000002</v>
      </c>
      <c r="AB1092">
        <v>10.451525999999999</v>
      </c>
    </row>
    <row r="1093" spans="1:28" hidden="1">
      <c r="A1093">
        <v>1067</v>
      </c>
      <c r="B1093">
        <v>2800</v>
      </c>
      <c r="C1093" t="s">
        <v>308</v>
      </c>
      <c r="D1093" t="s">
        <v>2378</v>
      </c>
      <c r="E1093">
        <v>50</v>
      </c>
      <c r="G1093" t="s">
        <v>77</v>
      </c>
      <c r="H1093" t="s">
        <v>667</v>
      </c>
      <c r="I1093" t="s">
        <v>2155</v>
      </c>
      <c r="J1093" t="s">
        <v>308</v>
      </c>
      <c r="K1093" t="s">
        <v>77</v>
      </c>
      <c r="M1093" t="b">
        <v>0</v>
      </c>
      <c r="N1093" t="s">
        <v>32</v>
      </c>
      <c r="O1093" t="s">
        <v>33</v>
      </c>
      <c r="Q1093">
        <v>180.44</v>
      </c>
      <c r="R1093">
        <v>7.7</v>
      </c>
      <c r="S1093" t="s">
        <v>81</v>
      </c>
      <c r="T1093">
        <v>28.1</v>
      </c>
      <c r="V1093">
        <v>113</v>
      </c>
      <c r="W1093">
        <v>69.400000000000006</v>
      </c>
      <c r="X1093">
        <v>11.2</v>
      </c>
      <c r="Y1093">
        <v>49.7</v>
      </c>
      <c r="Z1093">
        <v>1366417754</v>
      </c>
      <c r="AA1093">
        <v>20.593684</v>
      </c>
      <c r="AB1093">
        <v>78.962879999999998</v>
      </c>
    </row>
    <row r="1094" spans="1:28" hidden="1">
      <c r="A1094">
        <v>1067</v>
      </c>
      <c r="B1094">
        <v>2800</v>
      </c>
      <c r="C1094" t="s">
        <v>217</v>
      </c>
      <c r="D1094" t="s">
        <v>2379</v>
      </c>
      <c r="E1094">
        <v>76</v>
      </c>
      <c r="G1094" t="s">
        <v>77</v>
      </c>
      <c r="H1094" t="s">
        <v>78</v>
      </c>
      <c r="I1094" t="s">
        <v>2380</v>
      </c>
      <c r="J1094" t="s">
        <v>217</v>
      </c>
      <c r="K1094" t="s">
        <v>77</v>
      </c>
      <c r="M1094" t="b">
        <v>0</v>
      </c>
      <c r="N1094" t="s">
        <v>42</v>
      </c>
      <c r="O1094" t="s">
        <v>33</v>
      </c>
      <c r="Q1094">
        <v>180.44</v>
      </c>
      <c r="R1094">
        <v>7.7</v>
      </c>
      <c r="S1094" t="s">
        <v>81</v>
      </c>
      <c r="T1094">
        <v>28.1</v>
      </c>
      <c r="V1094">
        <v>113</v>
      </c>
      <c r="W1094">
        <v>69.400000000000006</v>
      </c>
      <c r="X1094">
        <v>11.2</v>
      </c>
      <c r="Y1094">
        <v>49.7</v>
      </c>
      <c r="Z1094">
        <v>1366417754</v>
      </c>
      <c r="AA1094">
        <v>20.593684</v>
      </c>
      <c r="AB1094">
        <v>78.962879999999998</v>
      </c>
    </row>
    <row r="1095" spans="1:28" hidden="1">
      <c r="A1095">
        <v>1067</v>
      </c>
      <c r="B1095">
        <v>2800</v>
      </c>
      <c r="C1095" t="s">
        <v>45</v>
      </c>
      <c r="D1095" t="s">
        <v>2381</v>
      </c>
      <c r="E1095">
        <v>43</v>
      </c>
      <c r="G1095" t="s">
        <v>38</v>
      </c>
      <c r="H1095" t="s">
        <v>635</v>
      </c>
      <c r="I1095" t="s">
        <v>108</v>
      </c>
      <c r="J1095" t="s">
        <v>45</v>
      </c>
      <c r="K1095" t="s">
        <v>38</v>
      </c>
      <c r="M1095" t="b">
        <v>1</v>
      </c>
      <c r="N1095" t="s">
        <v>419</v>
      </c>
      <c r="O1095" t="s">
        <v>33</v>
      </c>
      <c r="Q1095">
        <v>117.24</v>
      </c>
      <c r="R1095">
        <v>7.5</v>
      </c>
      <c r="S1095" t="s">
        <v>44</v>
      </c>
      <c r="T1095">
        <v>88.2</v>
      </c>
      <c r="V1095">
        <v>101.8</v>
      </c>
      <c r="W1095">
        <v>78.5</v>
      </c>
      <c r="X1095">
        <v>9.6</v>
      </c>
      <c r="Y1095">
        <v>36.6</v>
      </c>
      <c r="Z1095">
        <v>328239523</v>
      </c>
      <c r="AA1095">
        <v>37.090240000000001</v>
      </c>
      <c r="AB1095">
        <v>-95.712890999999999</v>
      </c>
    </row>
    <row r="1096" spans="1:28" hidden="1">
      <c r="A1096">
        <v>1067</v>
      </c>
      <c r="B1096">
        <v>2800</v>
      </c>
      <c r="C1096" t="s">
        <v>288</v>
      </c>
      <c r="D1096" t="s">
        <v>2382</v>
      </c>
      <c r="E1096">
        <v>77</v>
      </c>
      <c r="G1096" t="s">
        <v>38</v>
      </c>
      <c r="H1096" t="s">
        <v>65</v>
      </c>
      <c r="I1096" t="s">
        <v>2383</v>
      </c>
      <c r="J1096" t="s">
        <v>288</v>
      </c>
      <c r="K1096" t="s">
        <v>38</v>
      </c>
      <c r="M1096" t="b">
        <v>0</v>
      </c>
      <c r="N1096" t="s">
        <v>32</v>
      </c>
      <c r="O1096" t="s">
        <v>33</v>
      </c>
      <c r="Q1096">
        <v>117.24</v>
      </c>
      <c r="R1096">
        <v>7.5</v>
      </c>
      <c r="S1096" t="s">
        <v>44</v>
      </c>
      <c r="T1096">
        <v>88.2</v>
      </c>
      <c r="V1096">
        <v>101.8</v>
      </c>
      <c r="W1096">
        <v>78.5</v>
      </c>
      <c r="X1096">
        <v>9.6</v>
      </c>
      <c r="Y1096">
        <v>36.6</v>
      </c>
      <c r="Z1096">
        <v>328239523</v>
      </c>
      <c r="AA1096">
        <v>37.090240000000001</v>
      </c>
      <c r="AB1096">
        <v>-95.712890999999999</v>
      </c>
    </row>
    <row r="1097" spans="1:28" hidden="1">
      <c r="A1097">
        <v>1067</v>
      </c>
      <c r="B1097">
        <v>2800</v>
      </c>
      <c r="C1097" t="s">
        <v>63</v>
      </c>
      <c r="D1097" t="s">
        <v>2384</v>
      </c>
      <c r="E1097">
        <v>41</v>
      </c>
      <c r="G1097" t="s">
        <v>103</v>
      </c>
      <c r="H1097" t="s">
        <v>143</v>
      </c>
      <c r="I1097" t="s">
        <v>2385</v>
      </c>
      <c r="J1097" t="s">
        <v>63</v>
      </c>
      <c r="K1097" t="s">
        <v>103</v>
      </c>
      <c r="M1097" t="b">
        <v>1</v>
      </c>
      <c r="N1097" t="s">
        <v>42</v>
      </c>
      <c r="O1097" t="s">
        <v>33</v>
      </c>
      <c r="Q1097">
        <v>125.08</v>
      </c>
      <c r="R1097">
        <v>2.9</v>
      </c>
      <c r="S1097" t="s">
        <v>106</v>
      </c>
      <c r="T1097">
        <v>50.6</v>
      </c>
      <c r="V1097">
        <v>100.2</v>
      </c>
      <c r="W1097">
        <v>77</v>
      </c>
      <c r="X1097">
        <v>9.4</v>
      </c>
      <c r="Y1097">
        <v>59.2</v>
      </c>
      <c r="Z1097">
        <v>1397715000</v>
      </c>
      <c r="AA1097">
        <v>35.861660000000001</v>
      </c>
      <c r="AB1097">
        <v>104.195397</v>
      </c>
    </row>
    <row r="1098" spans="1:28" hidden="1">
      <c r="A1098">
        <v>1067</v>
      </c>
      <c r="B1098">
        <v>2800</v>
      </c>
      <c r="C1098" t="s">
        <v>217</v>
      </c>
      <c r="D1098" t="s">
        <v>2386</v>
      </c>
      <c r="E1098">
        <v>73</v>
      </c>
      <c r="G1098" t="s">
        <v>103</v>
      </c>
      <c r="H1098" t="s">
        <v>2387</v>
      </c>
      <c r="I1098" t="s">
        <v>2388</v>
      </c>
      <c r="J1098" t="s">
        <v>217</v>
      </c>
      <c r="K1098" t="s">
        <v>103</v>
      </c>
      <c r="M1098" t="b">
        <v>1</v>
      </c>
      <c r="N1098" t="s">
        <v>419</v>
      </c>
      <c r="O1098" t="s">
        <v>33</v>
      </c>
      <c r="Q1098">
        <v>125.08</v>
      </c>
      <c r="R1098">
        <v>2.9</v>
      </c>
      <c r="S1098" t="s">
        <v>106</v>
      </c>
      <c r="T1098">
        <v>50.6</v>
      </c>
      <c r="V1098">
        <v>100.2</v>
      </c>
      <c r="W1098">
        <v>77</v>
      </c>
      <c r="X1098">
        <v>9.4</v>
      </c>
      <c r="Y1098">
        <v>59.2</v>
      </c>
      <c r="Z1098">
        <v>1397715000</v>
      </c>
      <c r="AA1098">
        <v>35.861660000000001</v>
      </c>
      <c r="AB1098">
        <v>104.195397</v>
      </c>
    </row>
    <row r="1099" spans="1:28" hidden="1">
      <c r="A1099">
        <v>1067</v>
      </c>
      <c r="B1099">
        <v>2800</v>
      </c>
      <c r="C1099" t="s">
        <v>217</v>
      </c>
      <c r="D1099" t="s">
        <v>2389</v>
      </c>
      <c r="E1099">
        <v>61</v>
      </c>
      <c r="G1099" t="s">
        <v>810</v>
      </c>
      <c r="I1099" t="s">
        <v>808</v>
      </c>
      <c r="J1099" t="s">
        <v>217</v>
      </c>
      <c r="K1099" t="s">
        <v>810</v>
      </c>
      <c r="M1099" t="b">
        <v>0</v>
      </c>
      <c r="N1099" t="s">
        <v>32</v>
      </c>
      <c r="O1099" t="s">
        <v>33</v>
      </c>
    </row>
    <row r="1100" spans="1:28" hidden="1">
      <c r="A1100">
        <v>1067</v>
      </c>
      <c r="B1100">
        <v>2800</v>
      </c>
      <c r="C1100" t="s">
        <v>154</v>
      </c>
      <c r="D1100" t="s">
        <v>2390</v>
      </c>
      <c r="E1100">
        <v>85</v>
      </c>
      <c r="G1100" t="s">
        <v>172</v>
      </c>
      <c r="H1100" t="s">
        <v>172</v>
      </c>
      <c r="I1100" t="s">
        <v>158</v>
      </c>
      <c r="J1100" t="s">
        <v>154</v>
      </c>
      <c r="K1100" t="s">
        <v>172</v>
      </c>
      <c r="M1100" t="b">
        <v>0</v>
      </c>
      <c r="N1100" t="s">
        <v>419</v>
      </c>
      <c r="O1100" t="s">
        <v>33</v>
      </c>
    </row>
    <row r="1101" spans="1:28">
      <c r="A1101">
        <v>1067</v>
      </c>
      <c r="B1101">
        <v>2800</v>
      </c>
      <c r="C1101" t="s">
        <v>45</v>
      </c>
      <c r="D1101" t="s">
        <v>2391</v>
      </c>
      <c r="E1101">
        <v>66</v>
      </c>
      <c r="F1101" t="str">
        <f>IF(E1101&gt;=90,"90-100",IF(E1101&gt;=80,"80-90",IF(E1101&gt;=70,"70-80",IF(E1101&gt;=60,"60-70",IF(E1101&gt;=50,"50-60",IF(E1101&gt;=40,"40-50",IF(E1101&gt;=30,"30-40","20-30")))))))</f>
        <v>60-70</v>
      </c>
      <c r="G1101" t="s">
        <v>38</v>
      </c>
      <c r="H1101" t="s">
        <v>635</v>
      </c>
      <c r="I1101" t="s">
        <v>1613</v>
      </c>
      <c r="J1101" t="s">
        <v>45</v>
      </c>
      <c r="K1101" t="s">
        <v>38</v>
      </c>
      <c r="L1101" t="s">
        <v>2392</v>
      </c>
      <c r="M1101" t="b">
        <v>1</v>
      </c>
      <c r="N1101" t="s">
        <v>42</v>
      </c>
      <c r="O1101" t="s">
        <v>4866</v>
      </c>
      <c r="P1101" t="s">
        <v>43</v>
      </c>
      <c r="Q1101">
        <v>117.24</v>
      </c>
      <c r="R1101">
        <v>7.5</v>
      </c>
      <c r="S1101" t="s">
        <v>44</v>
      </c>
      <c r="T1101">
        <v>88.2</v>
      </c>
      <c r="U1101" t="str">
        <f>IF(T1101&gt;=100,"above 100",IF(T1101&gt;=80,"80-100",IF(T1101&gt;=60,"60-80",IF(T1101&gt;=40,"40-60",IF(T1101&gt;=20,"20-60","0-20")))))</f>
        <v>80-100</v>
      </c>
      <c r="V1101">
        <v>101.8</v>
      </c>
      <c r="W1101">
        <v>78.5</v>
      </c>
      <c r="X1101">
        <v>9.6</v>
      </c>
      <c r="Y1101">
        <v>36.6</v>
      </c>
      <c r="Z1101">
        <v>328239523</v>
      </c>
      <c r="AA1101">
        <v>37.090240000000001</v>
      </c>
      <c r="AB1101">
        <v>-95.712890999999999</v>
      </c>
    </row>
    <row r="1102" spans="1:28" hidden="1">
      <c r="A1102">
        <v>1067</v>
      </c>
      <c r="B1102">
        <v>2800</v>
      </c>
      <c r="C1102" t="s">
        <v>217</v>
      </c>
      <c r="D1102" t="s">
        <v>2393</v>
      </c>
      <c r="E1102">
        <v>61</v>
      </c>
      <c r="G1102" t="s">
        <v>172</v>
      </c>
      <c r="H1102" t="s">
        <v>172</v>
      </c>
      <c r="I1102" t="s">
        <v>2394</v>
      </c>
      <c r="J1102" t="s">
        <v>217</v>
      </c>
      <c r="K1102" t="s">
        <v>103</v>
      </c>
      <c r="M1102" t="b">
        <v>1</v>
      </c>
      <c r="N1102" t="s">
        <v>42</v>
      </c>
      <c r="O1102" t="s">
        <v>33</v>
      </c>
    </row>
    <row r="1103" spans="1:28" hidden="1">
      <c r="A1103">
        <v>1067</v>
      </c>
      <c r="B1103">
        <v>2800</v>
      </c>
      <c r="C1103" t="s">
        <v>288</v>
      </c>
      <c r="D1103" t="s">
        <v>2395</v>
      </c>
      <c r="E1103">
        <v>79</v>
      </c>
      <c r="G1103" t="s">
        <v>172</v>
      </c>
      <c r="H1103" t="s">
        <v>172</v>
      </c>
      <c r="I1103" t="s">
        <v>418</v>
      </c>
      <c r="J1103" t="s">
        <v>288</v>
      </c>
      <c r="K1103" t="s">
        <v>172</v>
      </c>
      <c r="M1103" t="b">
        <v>1</v>
      </c>
      <c r="N1103" t="s">
        <v>42</v>
      </c>
      <c r="O1103" t="s">
        <v>33</v>
      </c>
    </row>
    <row r="1104" spans="1:28" hidden="1">
      <c r="A1104">
        <v>1067</v>
      </c>
      <c r="B1104">
        <v>2800</v>
      </c>
      <c r="C1104" t="s">
        <v>217</v>
      </c>
      <c r="D1104" t="s">
        <v>2396</v>
      </c>
      <c r="E1104">
        <v>56</v>
      </c>
      <c r="G1104" t="s">
        <v>103</v>
      </c>
      <c r="H1104" t="s">
        <v>176</v>
      </c>
      <c r="I1104" t="s">
        <v>1673</v>
      </c>
      <c r="J1104" t="s">
        <v>217</v>
      </c>
      <c r="K1104" t="s">
        <v>103</v>
      </c>
      <c r="M1104" t="b">
        <v>1</v>
      </c>
      <c r="N1104" t="s">
        <v>32</v>
      </c>
      <c r="O1104" t="s">
        <v>33</v>
      </c>
      <c r="Q1104">
        <v>125.08</v>
      </c>
      <c r="R1104">
        <v>2.9</v>
      </c>
      <c r="S1104" t="s">
        <v>106</v>
      </c>
      <c r="T1104">
        <v>50.6</v>
      </c>
      <c r="V1104">
        <v>100.2</v>
      </c>
      <c r="W1104">
        <v>77</v>
      </c>
      <c r="X1104">
        <v>9.4</v>
      </c>
      <c r="Y1104">
        <v>59.2</v>
      </c>
      <c r="Z1104">
        <v>1397715000</v>
      </c>
      <c r="AA1104">
        <v>35.861660000000001</v>
      </c>
      <c r="AB1104">
        <v>104.195397</v>
      </c>
    </row>
    <row r="1105" spans="1:28" hidden="1">
      <c r="A1105">
        <v>1104</v>
      </c>
      <c r="B1105">
        <v>2700</v>
      </c>
      <c r="C1105" t="s">
        <v>54</v>
      </c>
      <c r="D1105" t="s">
        <v>2397</v>
      </c>
      <c r="E1105">
        <v>77</v>
      </c>
      <c r="G1105" t="s">
        <v>384</v>
      </c>
      <c r="H1105" t="s">
        <v>1650</v>
      </c>
      <c r="I1105" t="s">
        <v>231</v>
      </c>
      <c r="J1105" t="s">
        <v>54</v>
      </c>
      <c r="K1105" t="s">
        <v>384</v>
      </c>
      <c r="M1105" t="b">
        <v>0</v>
      </c>
      <c r="N1105" t="s">
        <v>42</v>
      </c>
      <c r="O1105" t="s">
        <v>33</v>
      </c>
      <c r="Q1105">
        <v>167.4</v>
      </c>
      <c r="R1105">
        <v>3.7</v>
      </c>
      <c r="S1105" t="s">
        <v>563</v>
      </c>
      <c r="T1105">
        <v>51.3</v>
      </c>
      <c r="V1105">
        <v>115.4</v>
      </c>
      <c r="W1105">
        <v>75.7</v>
      </c>
      <c r="X1105">
        <v>14.2</v>
      </c>
      <c r="Y1105">
        <v>65.099999999999994</v>
      </c>
      <c r="Z1105">
        <v>212559417</v>
      </c>
      <c r="AA1105">
        <v>-14.235004</v>
      </c>
      <c r="AB1105">
        <v>-51.925280000000001</v>
      </c>
    </row>
    <row r="1106" spans="1:28" hidden="1">
      <c r="A1106">
        <v>1104</v>
      </c>
      <c r="B1106">
        <v>2700</v>
      </c>
      <c r="C1106" t="s">
        <v>54</v>
      </c>
      <c r="D1106" t="s">
        <v>2398</v>
      </c>
      <c r="E1106">
        <v>81</v>
      </c>
      <c r="G1106" t="s">
        <v>95</v>
      </c>
      <c r="H1106" t="s">
        <v>1527</v>
      </c>
      <c r="I1106" t="s">
        <v>231</v>
      </c>
      <c r="J1106" t="s">
        <v>54</v>
      </c>
      <c r="K1106" t="s">
        <v>95</v>
      </c>
      <c r="M1106" t="b">
        <v>0</v>
      </c>
      <c r="N1106" t="s">
        <v>42</v>
      </c>
      <c r="O1106" t="s">
        <v>33</v>
      </c>
      <c r="Q1106">
        <v>110.96</v>
      </c>
      <c r="R1106">
        <v>0.7</v>
      </c>
      <c r="S1106" t="s">
        <v>98</v>
      </c>
      <c r="T1106">
        <v>88.9</v>
      </c>
      <c r="V1106">
        <v>102.7</v>
      </c>
      <c r="W1106">
        <v>83.3</v>
      </c>
      <c r="X1106">
        <v>14.2</v>
      </c>
      <c r="Y1106">
        <v>47</v>
      </c>
      <c r="Z1106">
        <v>47076781</v>
      </c>
      <c r="AA1106">
        <v>40.463667000000001</v>
      </c>
      <c r="AB1106">
        <v>-3.7492200000000002</v>
      </c>
    </row>
    <row r="1107" spans="1:28" hidden="1">
      <c r="A1107">
        <v>1104</v>
      </c>
      <c r="B1107">
        <v>2700</v>
      </c>
      <c r="C1107" t="s">
        <v>75</v>
      </c>
      <c r="D1107" t="s">
        <v>2399</v>
      </c>
      <c r="E1107">
        <v>84</v>
      </c>
      <c r="G1107" t="s">
        <v>2400</v>
      </c>
      <c r="H1107" t="s">
        <v>2401</v>
      </c>
      <c r="I1107" t="s">
        <v>75</v>
      </c>
      <c r="J1107" t="s">
        <v>75</v>
      </c>
      <c r="K1107" t="s">
        <v>2400</v>
      </c>
      <c r="M1107" t="b">
        <v>1</v>
      </c>
      <c r="N1107" t="s">
        <v>32</v>
      </c>
      <c r="O1107" t="s">
        <v>33</v>
      </c>
      <c r="Q1107">
        <v>113.53</v>
      </c>
      <c r="R1107">
        <v>0.1</v>
      </c>
      <c r="S1107" t="s">
        <v>2402</v>
      </c>
      <c r="T1107">
        <v>38</v>
      </c>
      <c r="V1107">
        <v>103.4</v>
      </c>
      <c r="W1107">
        <v>77.599999999999994</v>
      </c>
      <c r="X1107">
        <v>2.5</v>
      </c>
      <c r="Y1107">
        <v>27.4</v>
      </c>
      <c r="Z1107">
        <v>5266535</v>
      </c>
      <c r="AA1107">
        <v>21.473532899999999</v>
      </c>
      <c r="AB1107">
        <v>55.975413000000003</v>
      </c>
    </row>
    <row r="1108" spans="1:28" hidden="1">
      <c r="A1108">
        <v>1104</v>
      </c>
      <c r="B1108">
        <v>2700</v>
      </c>
      <c r="C1108" t="s">
        <v>75</v>
      </c>
      <c r="D1108" t="s">
        <v>2403</v>
      </c>
      <c r="E1108">
        <v>70</v>
      </c>
      <c r="G1108" t="s">
        <v>77</v>
      </c>
      <c r="H1108" t="s">
        <v>78</v>
      </c>
      <c r="I1108" t="s">
        <v>75</v>
      </c>
      <c r="J1108" t="s">
        <v>75</v>
      </c>
      <c r="K1108" t="s">
        <v>77</v>
      </c>
      <c r="M1108" t="b">
        <v>0</v>
      </c>
      <c r="N1108" t="s">
        <v>212</v>
      </c>
      <c r="O1108" t="s">
        <v>33</v>
      </c>
      <c r="Q1108">
        <v>180.44</v>
      </c>
      <c r="R1108">
        <v>7.7</v>
      </c>
      <c r="S1108" t="s">
        <v>81</v>
      </c>
      <c r="T1108">
        <v>28.1</v>
      </c>
      <c r="V1108">
        <v>113</v>
      </c>
      <c r="W1108">
        <v>69.400000000000006</v>
      </c>
      <c r="X1108">
        <v>11.2</v>
      </c>
      <c r="Y1108">
        <v>49.7</v>
      </c>
      <c r="Z1108">
        <v>1366417754</v>
      </c>
      <c r="AA1108">
        <v>20.593684</v>
      </c>
      <c r="AB1108">
        <v>78.962879999999998</v>
      </c>
    </row>
    <row r="1109" spans="1:28" hidden="1">
      <c r="A1109">
        <v>1104</v>
      </c>
      <c r="B1109">
        <v>2700</v>
      </c>
      <c r="C1109" t="s">
        <v>75</v>
      </c>
      <c r="D1109" t="s">
        <v>2404</v>
      </c>
      <c r="E1109">
        <v>68</v>
      </c>
      <c r="G1109" t="s">
        <v>77</v>
      </c>
      <c r="H1109" t="s">
        <v>78</v>
      </c>
      <c r="I1109" t="s">
        <v>75</v>
      </c>
      <c r="J1109" t="s">
        <v>75</v>
      </c>
      <c r="K1109" t="s">
        <v>77</v>
      </c>
      <c r="M1109" t="b">
        <v>0</v>
      </c>
      <c r="N1109" t="s">
        <v>212</v>
      </c>
      <c r="O1109" t="s">
        <v>33</v>
      </c>
      <c r="Q1109">
        <v>180.44</v>
      </c>
      <c r="R1109">
        <v>7.7</v>
      </c>
      <c r="S1109" t="s">
        <v>81</v>
      </c>
      <c r="T1109">
        <v>28.1</v>
      </c>
      <c r="V1109">
        <v>113</v>
      </c>
      <c r="W1109">
        <v>69.400000000000006</v>
      </c>
      <c r="X1109">
        <v>11.2</v>
      </c>
      <c r="Y1109">
        <v>49.7</v>
      </c>
      <c r="Z1109">
        <v>1366417754</v>
      </c>
      <c r="AA1109">
        <v>20.593684</v>
      </c>
      <c r="AB1109">
        <v>78.962879999999998</v>
      </c>
    </row>
    <row r="1110" spans="1:28" hidden="1">
      <c r="A1110">
        <v>1104</v>
      </c>
      <c r="B1110">
        <v>2700</v>
      </c>
      <c r="C1110" t="s">
        <v>75</v>
      </c>
      <c r="D1110" t="s">
        <v>2405</v>
      </c>
      <c r="E1110">
        <v>74</v>
      </c>
      <c r="G1110" t="s">
        <v>77</v>
      </c>
      <c r="H1110" t="s">
        <v>78</v>
      </c>
      <c r="I1110" t="s">
        <v>75</v>
      </c>
      <c r="J1110" t="s">
        <v>75</v>
      </c>
      <c r="K1110" t="s">
        <v>77</v>
      </c>
      <c r="M1110" t="b">
        <v>0</v>
      </c>
      <c r="N1110" t="s">
        <v>212</v>
      </c>
      <c r="O1110" t="s">
        <v>33</v>
      </c>
      <c r="Q1110">
        <v>180.44</v>
      </c>
      <c r="R1110">
        <v>7.7</v>
      </c>
      <c r="S1110" t="s">
        <v>81</v>
      </c>
      <c r="T1110">
        <v>28.1</v>
      </c>
      <c r="V1110">
        <v>113</v>
      </c>
      <c r="W1110">
        <v>69.400000000000006</v>
      </c>
      <c r="X1110">
        <v>11.2</v>
      </c>
      <c r="Y1110">
        <v>49.7</v>
      </c>
      <c r="Z1110">
        <v>1366417754</v>
      </c>
      <c r="AA1110">
        <v>20.593684</v>
      </c>
      <c r="AB1110">
        <v>78.962879999999998</v>
      </c>
    </row>
    <row r="1111" spans="1:28" hidden="1">
      <c r="A1111">
        <v>1104</v>
      </c>
      <c r="B1111">
        <v>2700</v>
      </c>
      <c r="C1111" t="s">
        <v>54</v>
      </c>
      <c r="D1111" t="s">
        <v>2406</v>
      </c>
      <c r="E1111">
        <v>72</v>
      </c>
      <c r="G1111" t="s">
        <v>172</v>
      </c>
      <c r="H1111" t="s">
        <v>172</v>
      </c>
      <c r="I1111" t="s">
        <v>453</v>
      </c>
      <c r="J1111" t="s">
        <v>54</v>
      </c>
      <c r="K1111" t="s">
        <v>77</v>
      </c>
      <c r="M1111" t="b">
        <v>1</v>
      </c>
      <c r="N1111" t="s">
        <v>32</v>
      </c>
      <c r="O1111" t="s">
        <v>33</v>
      </c>
    </row>
    <row r="1112" spans="1:28" hidden="1">
      <c r="A1112">
        <v>1104</v>
      </c>
      <c r="B1112">
        <v>2700</v>
      </c>
      <c r="C1112" t="s">
        <v>288</v>
      </c>
      <c r="D1112" t="s">
        <v>2407</v>
      </c>
      <c r="G1112" t="s">
        <v>148</v>
      </c>
      <c r="H1112" t="s">
        <v>1051</v>
      </c>
      <c r="I1112" t="s">
        <v>1932</v>
      </c>
      <c r="J1112" t="s">
        <v>288</v>
      </c>
      <c r="K1112" t="s">
        <v>148</v>
      </c>
      <c r="M1112" t="b">
        <v>0</v>
      </c>
      <c r="N1112" t="s">
        <v>32</v>
      </c>
      <c r="O1112" t="s">
        <v>88</v>
      </c>
      <c r="Q1112">
        <v>112.85</v>
      </c>
      <c r="R1112">
        <v>1.4</v>
      </c>
      <c r="S1112" t="s">
        <v>151</v>
      </c>
      <c r="T1112">
        <v>70.2</v>
      </c>
      <c r="V1112">
        <v>104</v>
      </c>
      <c r="W1112">
        <v>80.900000000000006</v>
      </c>
      <c r="X1112">
        <v>11.5</v>
      </c>
      <c r="Y1112">
        <v>48.8</v>
      </c>
      <c r="Z1112">
        <v>83132799</v>
      </c>
      <c r="AA1112">
        <v>51.165691000000002</v>
      </c>
      <c r="AB1112">
        <v>10.451525999999999</v>
      </c>
    </row>
    <row r="1113" spans="1:28" hidden="1">
      <c r="A1113">
        <v>1104</v>
      </c>
      <c r="B1113">
        <v>2700</v>
      </c>
      <c r="C1113" t="s">
        <v>288</v>
      </c>
      <c r="D1113" t="s">
        <v>2408</v>
      </c>
      <c r="E1113">
        <v>59</v>
      </c>
      <c r="G1113" t="s">
        <v>203</v>
      </c>
      <c r="I1113" t="s">
        <v>418</v>
      </c>
      <c r="J1113" t="s">
        <v>288</v>
      </c>
      <c r="K1113" t="s">
        <v>28</v>
      </c>
      <c r="M1113" t="b">
        <v>0</v>
      </c>
      <c r="N1113" t="s">
        <v>32</v>
      </c>
      <c r="O1113" t="s">
        <v>88</v>
      </c>
      <c r="Q1113">
        <v>119.62</v>
      </c>
      <c r="R1113">
        <v>1.7</v>
      </c>
      <c r="S1113" t="s">
        <v>206</v>
      </c>
      <c r="T1113">
        <v>60</v>
      </c>
      <c r="V1113">
        <v>101.2</v>
      </c>
      <c r="W1113">
        <v>81.3</v>
      </c>
      <c r="X1113">
        <v>25.5</v>
      </c>
      <c r="Y1113">
        <v>30.6</v>
      </c>
      <c r="Z1113">
        <v>66834405</v>
      </c>
      <c r="AA1113">
        <v>55.378050999999999</v>
      </c>
      <c r="AB1113">
        <v>-3.4359730000000002</v>
      </c>
    </row>
    <row r="1114" spans="1:28" hidden="1">
      <c r="A1114">
        <v>1104</v>
      </c>
      <c r="B1114">
        <v>2700</v>
      </c>
      <c r="C1114" t="s">
        <v>288</v>
      </c>
      <c r="D1114" t="s">
        <v>2409</v>
      </c>
      <c r="E1114">
        <v>57</v>
      </c>
      <c r="G1114" t="s">
        <v>203</v>
      </c>
      <c r="H1114" t="s">
        <v>204</v>
      </c>
      <c r="I1114" t="s">
        <v>418</v>
      </c>
      <c r="J1114" t="s">
        <v>288</v>
      </c>
      <c r="K1114" t="s">
        <v>28</v>
      </c>
      <c r="M1114" t="b">
        <v>0</v>
      </c>
      <c r="N1114" t="s">
        <v>32</v>
      </c>
      <c r="O1114" t="s">
        <v>33</v>
      </c>
      <c r="Q1114">
        <v>119.62</v>
      </c>
      <c r="R1114">
        <v>1.7</v>
      </c>
      <c r="S1114" t="s">
        <v>206</v>
      </c>
      <c r="T1114">
        <v>60</v>
      </c>
      <c r="V1114">
        <v>101.2</v>
      </c>
      <c r="W1114">
        <v>81.3</v>
      </c>
      <c r="X1114">
        <v>25.5</v>
      </c>
      <c r="Y1114">
        <v>30.6</v>
      </c>
      <c r="Z1114">
        <v>66834405</v>
      </c>
      <c r="AA1114">
        <v>55.378050999999999</v>
      </c>
      <c r="AB1114">
        <v>-3.4359730000000002</v>
      </c>
    </row>
    <row r="1115" spans="1:28" hidden="1">
      <c r="A1115">
        <v>1104</v>
      </c>
      <c r="B1115">
        <v>2700</v>
      </c>
      <c r="C1115" t="s">
        <v>217</v>
      </c>
      <c r="D1115" t="s">
        <v>2410</v>
      </c>
      <c r="E1115">
        <v>56</v>
      </c>
      <c r="G1115" t="s">
        <v>263</v>
      </c>
      <c r="H1115" t="s">
        <v>274</v>
      </c>
      <c r="I1115" t="s">
        <v>2411</v>
      </c>
      <c r="J1115" t="s">
        <v>217</v>
      </c>
      <c r="K1115" t="s">
        <v>263</v>
      </c>
      <c r="M1115" t="b">
        <v>1</v>
      </c>
      <c r="N1115" t="s">
        <v>32</v>
      </c>
      <c r="O1115" t="s">
        <v>33</v>
      </c>
      <c r="Q1115">
        <v>180.75</v>
      </c>
      <c r="R1115">
        <v>4.5</v>
      </c>
      <c r="S1115" t="s">
        <v>276</v>
      </c>
      <c r="T1115">
        <v>81.900000000000006</v>
      </c>
      <c r="V1115">
        <v>102.6</v>
      </c>
      <c r="W1115">
        <v>72.7</v>
      </c>
      <c r="X1115">
        <v>11.4</v>
      </c>
      <c r="Y1115">
        <v>46.2</v>
      </c>
      <c r="Z1115">
        <v>144373535</v>
      </c>
      <c r="AA1115">
        <v>61.524009999999997</v>
      </c>
      <c r="AB1115">
        <v>105.31875599999999</v>
      </c>
    </row>
    <row r="1116" spans="1:28" hidden="1">
      <c r="A1116">
        <v>1104</v>
      </c>
      <c r="B1116">
        <v>2700</v>
      </c>
      <c r="C1116" t="s">
        <v>101</v>
      </c>
      <c r="D1116" t="s">
        <v>2412</v>
      </c>
      <c r="E1116">
        <v>80</v>
      </c>
      <c r="G1116" t="s">
        <v>238</v>
      </c>
      <c r="H1116" t="s">
        <v>492</v>
      </c>
      <c r="I1116" t="s">
        <v>2413</v>
      </c>
      <c r="J1116" t="s">
        <v>101</v>
      </c>
      <c r="K1116" t="s">
        <v>238</v>
      </c>
      <c r="M1116" t="b">
        <v>1</v>
      </c>
      <c r="N1116" t="s">
        <v>42</v>
      </c>
      <c r="O1116" t="s">
        <v>33</v>
      </c>
      <c r="Q1116">
        <v>119.8</v>
      </c>
      <c r="R1116">
        <v>1.6</v>
      </c>
      <c r="S1116" t="s">
        <v>243</v>
      </c>
      <c r="T1116">
        <v>113.1</v>
      </c>
      <c r="V1116">
        <v>100.3</v>
      </c>
      <c r="W1116">
        <v>82.7</v>
      </c>
      <c r="X1116">
        <v>23</v>
      </c>
      <c r="Y1116">
        <v>47.4</v>
      </c>
      <c r="Z1116">
        <v>25766605</v>
      </c>
      <c r="AA1116">
        <v>-25.274398000000001</v>
      </c>
      <c r="AB1116">
        <v>133.775136</v>
      </c>
    </row>
    <row r="1117" spans="1:28" hidden="1">
      <c r="A1117">
        <v>1104</v>
      </c>
      <c r="B1117">
        <v>2700</v>
      </c>
      <c r="C1117" t="s">
        <v>54</v>
      </c>
      <c r="D1117" t="s">
        <v>2414</v>
      </c>
      <c r="E1117">
        <v>65</v>
      </c>
      <c r="G1117" t="s">
        <v>38</v>
      </c>
      <c r="H1117" t="s">
        <v>65</v>
      </c>
      <c r="I1117" t="s">
        <v>185</v>
      </c>
      <c r="J1117" t="s">
        <v>54</v>
      </c>
      <c r="K1117" t="s">
        <v>38</v>
      </c>
      <c r="M1117" t="b">
        <v>1</v>
      </c>
      <c r="N1117" t="s">
        <v>32</v>
      </c>
      <c r="O1117" t="s">
        <v>33</v>
      </c>
      <c r="Q1117">
        <v>117.24</v>
      </c>
      <c r="R1117">
        <v>7.5</v>
      </c>
      <c r="S1117" t="s">
        <v>44</v>
      </c>
      <c r="T1117">
        <v>88.2</v>
      </c>
      <c r="V1117">
        <v>101.8</v>
      </c>
      <c r="W1117">
        <v>78.5</v>
      </c>
      <c r="X1117">
        <v>9.6</v>
      </c>
      <c r="Y1117">
        <v>36.6</v>
      </c>
      <c r="Z1117">
        <v>328239523</v>
      </c>
      <c r="AA1117">
        <v>37.090240000000001</v>
      </c>
      <c r="AB1117">
        <v>-95.712890999999999</v>
      </c>
    </row>
    <row r="1118" spans="1:28" hidden="1">
      <c r="A1118">
        <v>1104</v>
      </c>
      <c r="B1118">
        <v>2700</v>
      </c>
      <c r="C1118" t="s">
        <v>250</v>
      </c>
      <c r="D1118" t="s">
        <v>2415</v>
      </c>
      <c r="E1118">
        <v>63</v>
      </c>
      <c r="G1118" t="s">
        <v>203</v>
      </c>
      <c r="H1118" t="s">
        <v>204</v>
      </c>
      <c r="I1118" t="s">
        <v>351</v>
      </c>
      <c r="J1118" t="s">
        <v>250</v>
      </c>
      <c r="K1118" t="s">
        <v>127</v>
      </c>
      <c r="M1118" t="b">
        <v>1</v>
      </c>
      <c r="N1118" t="s">
        <v>42</v>
      </c>
      <c r="O1118" t="s">
        <v>33</v>
      </c>
      <c r="Q1118">
        <v>119.62</v>
      </c>
      <c r="R1118">
        <v>1.7</v>
      </c>
      <c r="S1118" t="s">
        <v>206</v>
      </c>
      <c r="T1118">
        <v>60</v>
      </c>
      <c r="V1118">
        <v>101.2</v>
      </c>
      <c r="W1118">
        <v>81.3</v>
      </c>
      <c r="X1118">
        <v>25.5</v>
      </c>
      <c r="Y1118">
        <v>30.6</v>
      </c>
      <c r="Z1118">
        <v>66834405</v>
      </c>
      <c r="AA1118">
        <v>55.378050999999999</v>
      </c>
      <c r="AB1118">
        <v>-3.4359730000000002</v>
      </c>
    </row>
    <row r="1119" spans="1:28" hidden="1">
      <c r="A1119">
        <v>1104</v>
      </c>
      <c r="B1119">
        <v>2700</v>
      </c>
      <c r="C1119" t="s">
        <v>478</v>
      </c>
      <c r="D1119" t="s">
        <v>2416</v>
      </c>
      <c r="E1119">
        <v>61</v>
      </c>
      <c r="G1119" t="s">
        <v>38</v>
      </c>
      <c r="H1119" t="s">
        <v>181</v>
      </c>
      <c r="I1119" t="s">
        <v>2353</v>
      </c>
      <c r="J1119" t="s">
        <v>478</v>
      </c>
      <c r="K1119" t="s">
        <v>38</v>
      </c>
      <c r="M1119" t="b">
        <v>0</v>
      </c>
      <c r="N1119" t="s">
        <v>32</v>
      </c>
      <c r="O1119" t="s">
        <v>33</v>
      </c>
      <c r="Q1119">
        <v>117.24</v>
      </c>
      <c r="R1119">
        <v>7.5</v>
      </c>
      <c r="S1119" t="s">
        <v>44</v>
      </c>
      <c r="T1119">
        <v>88.2</v>
      </c>
      <c r="V1119">
        <v>101.8</v>
      </c>
      <c r="W1119">
        <v>78.5</v>
      </c>
      <c r="X1119">
        <v>9.6</v>
      </c>
      <c r="Y1119">
        <v>36.6</v>
      </c>
      <c r="Z1119">
        <v>328239523</v>
      </c>
      <c r="AA1119">
        <v>37.090240000000001</v>
      </c>
      <c r="AB1119">
        <v>-95.712890999999999</v>
      </c>
    </row>
    <row r="1120" spans="1:28" hidden="1">
      <c r="A1120">
        <v>1104</v>
      </c>
      <c r="B1120">
        <v>2700</v>
      </c>
      <c r="C1120" t="s">
        <v>36</v>
      </c>
      <c r="D1120" t="s">
        <v>2417</v>
      </c>
      <c r="E1120">
        <v>78</v>
      </c>
      <c r="G1120" t="s">
        <v>77</v>
      </c>
      <c r="H1120" t="s">
        <v>290</v>
      </c>
      <c r="I1120" t="s">
        <v>335</v>
      </c>
      <c r="J1120" t="s">
        <v>36</v>
      </c>
      <c r="K1120" t="s">
        <v>77</v>
      </c>
      <c r="M1120" t="b">
        <v>0</v>
      </c>
      <c r="N1120" t="s">
        <v>42</v>
      </c>
      <c r="O1120" t="s">
        <v>33</v>
      </c>
      <c r="Q1120">
        <v>180.44</v>
      </c>
      <c r="R1120">
        <v>7.7</v>
      </c>
      <c r="S1120" t="s">
        <v>81</v>
      </c>
      <c r="T1120">
        <v>28.1</v>
      </c>
      <c r="V1120">
        <v>113</v>
      </c>
      <c r="W1120">
        <v>69.400000000000006</v>
      </c>
      <c r="X1120">
        <v>11.2</v>
      </c>
      <c r="Y1120">
        <v>49.7</v>
      </c>
      <c r="Z1120">
        <v>1366417754</v>
      </c>
      <c r="AA1120">
        <v>20.593684</v>
      </c>
      <c r="AB1120">
        <v>78.962879999999998</v>
      </c>
    </row>
    <row r="1121" spans="1:28" hidden="1">
      <c r="A1121">
        <v>1104</v>
      </c>
      <c r="B1121">
        <v>2700</v>
      </c>
      <c r="C1121" t="s">
        <v>54</v>
      </c>
      <c r="D1121" t="s">
        <v>2418</v>
      </c>
      <c r="E1121">
        <v>57</v>
      </c>
      <c r="G1121" t="s">
        <v>203</v>
      </c>
      <c r="H1121" t="s">
        <v>204</v>
      </c>
      <c r="I1121" t="s">
        <v>1000</v>
      </c>
      <c r="J1121" t="s">
        <v>54</v>
      </c>
      <c r="K1121" t="s">
        <v>127</v>
      </c>
      <c r="M1121" t="b">
        <v>1</v>
      </c>
      <c r="N1121" t="s">
        <v>42</v>
      </c>
      <c r="O1121" t="s">
        <v>33</v>
      </c>
      <c r="P1121" t="s">
        <v>468</v>
      </c>
      <c r="Q1121">
        <v>119.62</v>
      </c>
      <c r="R1121">
        <v>1.7</v>
      </c>
      <c r="S1121" t="s">
        <v>206</v>
      </c>
      <c r="T1121">
        <v>60</v>
      </c>
      <c r="V1121">
        <v>101.2</v>
      </c>
      <c r="W1121">
        <v>81.3</v>
      </c>
      <c r="X1121">
        <v>25.5</v>
      </c>
      <c r="Y1121">
        <v>30.6</v>
      </c>
      <c r="Z1121">
        <v>66834405</v>
      </c>
      <c r="AA1121">
        <v>55.378050999999999</v>
      </c>
      <c r="AB1121">
        <v>-3.4359730000000002</v>
      </c>
    </row>
    <row r="1122" spans="1:28" hidden="1">
      <c r="A1122">
        <v>1104</v>
      </c>
      <c r="B1122">
        <v>2700</v>
      </c>
      <c r="C1122" t="s">
        <v>308</v>
      </c>
      <c r="D1122" t="s">
        <v>2419</v>
      </c>
      <c r="E1122">
        <v>84</v>
      </c>
      <c r="G1122" t="s">
        <v>95</v>
      </c>
      <c r="H1122" t="s">
        <v>2420</v>
      </c>
      <c r="I1122" t="s">
        <v>1843</v>
      </c>
      <c r="J1122" t="s">
        <v>308</v>
      </c>
      <c r="K1122" t="s">
        <v>95</v>
      </c>
      <c r="M1122" t="b">
        <v>0</v>
      </c>
      <c r="N1122" t="s">
        <v>42</v>
      </c>
      <c r="O1122" t="s">
        <v>33</v>
      </c>
      <c r="Q1122">
        <v>110.96</v>
      </c>
      <c r="R1122">
        <v>0.7</v>
      </c>
      <c r="S1122" t="s">
        <v>98</v>
      </c>
      <c r="T1122">
        <v>88.9</v>
      </c>
      <c r="V1122">
        <v>102.7</v>
      </c>
      <c r="W1122">
        <v>83.3</v>
      </c>
      <c r="X1122">
        <v>14.2</v>
      </c>
      <c r="Y1122">
        <v>47</v>
      </c>
      <c r="Z1122">
        <v>47076781</v>
      </c>
      <c r="AA1122">
        <v>40.463667000000001</v>
      </c>
      <c r="AB1122">
        <v>-3.7492200000000002</v>
      </c>
    </row>
    <row r="1123" spans="1:28">
      <c r="A1123">
        <v>1104</v>
      </c>
      <c r="B1123">
        <v>2700</v>
      </c>
      <c r="C1123" t="s">
        <v>236</v>
      </c>
      <c r="D1123" t="s">
        <v>2421</v>
      </c>
      <c r="E1123">
        <v>72</v>
      </c>
      <c r="F1123" t="str">
        <f>IF(E1123&gt;=90,"90-100",IF(E1123&gt;=80,"80-90",IF(E1123&gt;=70,"70-80",IF(E1123&gt;=60,"60-70",IF(E1123&gt;=50,"50-60",IF(E1123&gt;=40,"40-50",IF(E1123&gt;=30,"30-40","20-30")))))))</f>
        <v>70-80</v>
      </c>
      <c r="G1123" t="s">
        <v>395</v>
      </c>
      <c r="H1123" t="s">
        <v>395</v>
      </c>
      <c r="I1123" t="s">
        <v>240</v>
      </c>
      <c r="J1123" t="s">
        <v>236</v>
      </c>
      <c r="K1123" t="s">
        <v>38</v>
      </c>
      <c r="L1123" t="s">
        <v>2422</v>
      </c>
      <c r="M1123" t="b">
        <v>1</v>
      </c>
      <c r="N1123" t="s">
        <v>32</v>
      </c>
      <c r="O1123" t="s">
        <v>4867</v>
      </c>
      <c r="P1123" t="s">
        <v>2423</v>
      </c>
      <c r="Q1123">
        <v>114.41</v>
      </c>
      <c r="R1123">
        <v>0.6</v>
      </c>
      <c r="S1123" t="s">
        <v>451</v>
      </c>
      <c r="T1123">
        <v>84.8</v>
      </c>
      <c r="U1123" t="str">
        <f>IF(T1123&gt;=100,"above 100",IF(T1123&gt;=80,"80-100",IF(T1123&gt;=60,"60-80",IF(T1123&gt;=40,"40-60",IF(T1123&gt;=20,"20-60","0-20")))))</f>
        <v>80-100</v>
      </c>
      <c r="V1123">
        <v>100.6</v>
      </c>
      <c r="W1123">
        <v>83.1</v>
      </c>
      <c r="X1123">
        <v>13.1</v>
      </c>
      <c r="Y1123">
        <v>21</v>
      </c>
      <c r="Z1123">
        <v>5703569</v>
      </c>
      <c r="AA1123">
        <v>1.3520829999999999</v>
      </c>
      <c r="AB1123">
        <v>103.819836</v>
      </c>
    </row>
    <row r="1124" spans="1:28" hidden="1">
      <c r="A1124">
        <v>1104</v>
      </c>
      <c r="B1124">
        <v>2700</v>
      </c>
      <c r="C1124" t="s">
        <v>236</v>
      </c>
      <c r="D1124" t="s">
        <v>2424</v>
      </c>
      <c r="E1124">
        <v>58</v>
      </c>
      <c r="G1124" t="s">
        <v>263</v>
      </c>
      <c r="H1124" t="s">
        <v>274</v>
      </c>
      <c r="I1124" t="s">
        <v>2425</v>
      </c>
      <c r="J1124" t="s">
        <v>236</v>
      </c>
      <c r="K1124" t="s">
        <v>263</v>
      </c>
      <c r="M1124" t="b">
        <v>1</v>
      </c>
      <c r="N1124" t="s">
        <v>32</v>
      </c>
      <c r="O1124" t="s">
        <v>33</v>
      </c>
      <c r="Q1124">
        <v>180.75</v>
      </c>
      <c r="R1124">
        <v>4.5</v>
      </c>
      <c r="S1124" t="s">
        <v>276</v>
      </c>
      <c r="T1124">
        <v>81.900000000000006</v>
      </c>
      <c r="V1124">
        <v>102.6</v>
      </c>
      <c r="W1124">
        <v>72.7</v>
      </c>
      <c r="X1124">
        <v>11.4</v>
      </c>
      <c r="Y1124">
        <v>46.2</v>
      </c>
      <c r="Z1124">
        <v>144373535</v>
      </c>
      <c r="AA1124">
        <v>61.524009999999997</v>
      </c>
      <c r="AB1124">
        <v>105.31875599999999</v>
      </c>
    </row>
    <row r="1125" spans="1:28" hidden="1">
      <c r="A1125">
        <v>1104</v>
      </c>
      <c r="B1125">
        <v>2700</v>
      </c>
      <c r="C1125" t="s">
        <v>75</v>
      </c>
      <c r="D1125" t="s">
        <v>2426</v>
      </c>
      <c r="E1125">
        <v>72</v>
      </c>
      <c r="G1125" t="s">
        <v>77</v>
      </c>
      <c r="H1125" t="s">
        <v>78</v>
      </c>
      <c r="I1125" t="s">
        <v>1260</v>
      </c>
      <c r="J1125" t="s">
        <v>75</v>
      </c>
      <c r="K1125" t="s">
        <v>77</v>
      </c>
      <c r="M1125" t="b">
        <v>0</v>
      </c>
      <c r="N1125" t="s">
        <v>32</v>
      </c>
      <c r="O1125" t="s">
        <v>33</v>
      </c>
      <c r="Q1125">
        <v>180.44</v>
      </c>
      <c r="R1125">
        <v>7.7</v>
      </c>
      <c r="S1125" t="s">
        <v>81</v>
      </c>
      <c r="T1125">
        <v>28.1</v>
      </c>
      <c r="V1125">
        <v>113</v>
      </c>
      <c r="W1125">
        <v>69.400000000000006</v>
      </c>
      <c r="X1125">
        <v>11.2</v>
      </c>
      <c r="Y1125">
        <v>49.7</v>
      </c>
      <c r="Z1125">
        <v>1366417754</v>
      </c>
      <c r="AA1125">
        <v>20.593684</v>
      </c>
      <c r="AB1125">
        <v>78.962879999999998</v>
      </c>
    </row>
    <row r="1126" spans="1:28" hidden="1">
      <c r="A1126">
        <v>1104</v>
      </c>
      <c r="B1126">
        <v>2700</v>
      </c>
      <c r="C1126" t="s">
        <v>308</v>
      </c>
      <c r="D1126" t="s">
        <v>2427</v>
      </c>
      <c r="E1126">
        <v>57</v>
      </c>
      <c r="G1126" t="s">
        <v>38</v>
      </c>
      <c r="H1126" t="s">
        <v>2428</v>
      </c>
      <c r="I1126" t="s">
        <v>2394</v>
      </c>
      <c r="J1126" t="s">
        <v>308</v>
      </c>
      <c r="K1126" t="s">
        <v>38</v>
      </c>
      <c r="M1126" t="b">
        <v>0</v>
      </c>
      <c r="N1126" t="s">
        <v>32</v>
      </c>
      <c r="O1126" t="s">
        <v>88</v>
      </c>
      <c r="Q1126">
        <v>117.24</v>
      </c>
      <c r="R1126">
        <v>7.5</v>
      </c>
      <c r="S1126" t="s">
        <v>44</v>
      </c>
      <c r="T1126">
        <v>88.2</v>
      </c>
      <c r="V1126">
        <v>101.8</v>
      </c>
      <c r="W1126">
        <v>78.5</v>
      </c>
      <c r="X1126">
        <v>9.6</v>
      </c>
      <c r="Y1126">
        <v>36.6</v>
      </c>
      <c r="Z1126">
        <v>328239523</v>
      </c>
      <c r="AA1126">
        <v>37.090240000000001</v>
      </c>
      <c r="AB1126">
        <v>-95.712890999999999</v>
      </c>
    </row>
    <row r="1127" spans="1:28" hidden="1">
      <c r="A1127">
        <v>1104</v>
      </c>
      <c r="B1127">
        <v>2700</v>
      </c>
      <c r="C1127" t="s">
        <v>54</v>
      </c>
      <c r="D1127" t="s">
        <v>2429</v>
      </c>
      <c r="E1127">
        <v>43</v>
      </c>
      <c r="G1127" t="s">
        <v>77</v>
      </c>
      <c r="H1127" t="s">
        <v>667</v>
      </c>
      <c r="I1127" t="s">
        <v>1466</v>
      </c>
      <c r="J1127" t="s">
        <v>54</v>
      </c>
      <c r="K1127" t="s">
        <v>77</v>
      </c>
      <c r="M1127" t="b">
        <v>1</v>
      </c>
      <c r="N1127" t="s">
        <v>192</v>
      </c>
      <c r="O1127" t="s">
        <v>33</v>
      </c>
      <c r="Q1127">
        <v>180.44</v>
      </c>
      <c r="R1127">
        <v>7.7</v>
      </c>
      <c r="S1127" t="s">
        <v>81</v>
      </c>
      <c r="T1127">
        <v>28.1</v>
      </c>
      <c r="V1127">
        <v>113</v>
      </c>
      <c r="W1127">
        <v>69.400000000000006</v>
      </c>
      <c r="X1127">
        <v>11.2</v>
      </c>
      <c r="Y1127">
        <v>49.7</v>
      </c>
      <c r="Z1127">
        <v>1366417754</v>
      </c>
      <c r="AA1127">
        <v>20.593684</v>
      </c>
      <c r="AB1127">
        <v>78.962879999999998</v>
      </c>
    </row>
    <row r="1128" spans="1:28" hidden="1">
      <c r="A1128">
        <v>1104</v>
      </c>
      <c r="B1128">
        <v>2700</v>
      </c>
      <c r="C1128" t="s">
        <v>469</v>
      </c>
      <c r="D1128" t="s">
        <v>2430</v>
      </c>
      <c r="E1128">
        <v>57</v>
      </c>
      <c r="G1128" t="s">
        <v>263</v>
      </c>
      <c r="H1128" t="s">
        <v>274</v>
      </c>
      <c r="I1128" t="s">
        <v>223</v>
      </c>
      <c r="J1128" t="s">
        <v>469</v>
      </c>
      <c r="K1128" t="s">
        <v>263</v>
      </c>
      <c r="M1128" t="b">
        <v>1</v>
      </c>
      <c r="N1128" t="s">
        <v>32</v>
      </c>
      <c r="O1128" t="s">
        <v>33</v>
      </c>
      <c r="Q1128">
        <v>180.75</v>
      </c>
      <c r="R1128">
        <v>4.5</v>
      </c>
      <c r="S1128" t="s">
        <v>276</v>
      </c>
      <c r="T1128">
        <v>81.900000000000006</v>
      </c>
      <c r="V1128">
        <v>102.6</v>
      </c>
      <c r="W1128">
        <v>72.7</v>
      </c>
      <c r="X1128">
        <v>11.4</v>
      </c>
      <c r="Y1128">
        <v>46.2</v>
      </c>
      <c r="Z1128">
        <v>144373535</v>
      </c>
      <c r="AA1128">
        <v>61.524009999999997</v>
      </c>
      <c r="AB1128">
        <v>105.31875599999999</v>
      </c>
    </row>
    <row r="1129" spans="1:28" hidden="1">
      <c r="A1129">
        <v>1104</v>
      </c>
      <c r="B1129">
        <v>2700</v>
      </c>
      <c r="C1129" t="s">
        <v>221</v>
      </c>
      <c r="D1129" t="s">
        <v>2431</v>
      </c>
      <c r="E1129">
        <v>57</v>
      </c>
      <c r="G1129" t="s">
        <v>172</v>
      </c>
      <c r="H1129" t="s">
        <v>172</v>
      </c>
      <c r="I1129" t="s">
        <v>223</v>
      </c>
      <c r="J1129" t="s">
        <v>221</v>
      </c>
      <c r="K1129" t="s">
        <v>103</v>
      </c>
      <c r="M1129" t="b">
        <v>1</v>
      </c>
      <c r="N1129" t="s">
        <v>42</v>
      </c>
      <c r="O1129" t="s">
        <v>33</v>
      </c>
    </row>
    <row r="1130" spans="1:28" hidden="1">
      <c r="A1130">
        <v>1104</v>
      </c>
      <c r="B1130">
        <v>2700</v>
      </c>
      <c r="C1130" t="s">
        <v>75</v>
      </c>
      <c r="D1130" t="s">
        <v>2432</v>
      </c>
      <c r="E1130">
        <v>92</v>
      </c>
      <c r="G1130" t="s">
        <v>1267</v>
      </c>
      <c r="H1130" t="s">
        <v>1268</v>
      </c>
      <c r="I1130" t="s">
        <v>75</v>
      </c>
      <c r="J1130" t="s">
        <v>75</v>
      </c>
      <c r="K1130" t="s">
        <v>1267</v>
      </c>
      <c r="M1130" t="b">
        <v>0</v>
      </c>
      <c r="N1130" t="s">
        <v>32</v>
      </c>
      <c r="O1130" t="s">
        <v>33</v>
      </c>
      <c r="Q1130">
        <v>234.44</v>
      </c>
      <c r="R1130">
        <v>15.2</v>
      </c>
      <c r="S1130" t="s">
        <v>1270</v>
      </c>
      <c r="T1130">
        <v>23.9</v>
      </c>
      <c r="V1130">
        <v>93.2</v>
      </c>
      <c r="W1130">
        <v>77.400000000000006</v>
      </c>
      <c r="X1130">
        <v>17.899999999999999</v>
      </c>
      <c r="Y1130">
        <v>42.3</v>
      </c>
      <c r="Z1130">
        <v>83429615</v>
      </c>
      <c r="AA1130">
        <v>38.963745000000003</v>
      </c>
      <c r="AB1130">
        <v>35.243321999999999</v>
      </c>
    </row>
    <row r="1131" spans="1:28" hidden="1">
      <c r="A1131">
        <v>1104</v>
      </c>
      <c r="B1131">
        <v>2700</v>
      </c>
      <c r="C1131" t="s">
        <v>54</v>
      </c>
      <c r="D1131" t="s">
        <v>2433</v>
      </c>
      <c r="E1131">
        <v>71</v>
      </c>
      <c r="G1131" t="s">
        <v>263</v>
      </c>
      <c r="H1131" t="s">
        <v>2046</v>
      </c>
      <c r="I1131" t="s">
        <v>2434</v>
      </c>
      <c r="J1131" t="s">
        <v>54</v>
      </c>
      <c r="K1131" t="s">
        <v>263</v>
      </c>
      <c r="M1131" t="b">
        <v>1</v>
      </c>
      <c r="N1131" t="s">
        <v>32</v>
      </c>
      <c r="O1131" t="s">
        <v>33</v>
      </c>
      <c r="Q1131">
        <v>180.75</v>
      </c>
      <c r="R1131">
        <v>4.5</v>
      </c>
      <c r="S1131" t="s">
        <v>276</v>
      </c>
      <c r="T1131">
        <v>81.900000000000006</v>
      </c>
      <c r="V1131">
        <v>102.6</v>
      </c>
      <c r="W1131">
        <v>72.7</v>
      </c>
      <c r="X1131">
        <v>11.4</v>
      </c>
      <c r="Y1131">
        <v>46.2</v>
      </c>
      <c r="Z1131">
        <v>144373535</v>
      </c>
      <c r="AA1131">
        <v>61.524009999999997</v>
      </c>
      <c r="AB1131">
        <v>105.31875599999999</v>
      </c>
    </row>
    <row r="1132" spans="1:28" hidden="1">
      <c r="A1132">
        <v>1104</v>
      </c>
      <c r="B1132">
        <v>2700</v>
      </c>
      <c r="C1132" t="s">
        <v>221</v>
      </c>
      <c r="D1132" t="s">
        <v>2435</v>
      </c>
      <c r="E1132">
        <v>37</v>
      </c>
      <c r="G1132" t="s">
        <v>172</v>
      </c>
      <c r="H1132" t="s">
        <v>172</v>
      </c>
      <c r="I1132" t="s">
        <v>223</v>
      </c>
      <c r="J1132" t="s">
        <v>221</v>
      </c>
      <c r="K1132" t="s">
        <v>172</v>
      </c>
      <c r="M1132" t="b">
        <v>0</v>
      </c>
      <c r="N1132" t="s">
        <v>42</v>
      </c>
      <c r="O1132" t="s">
        <v>33</v>
      </c>
    </row>
    <row r="1133" spans="1:28" hidden="1">
      <c r="A1133">
        <v>1104</v>
      </c>
      <c r="B1133">
        <v>2700</v>
      </c>
      <c r="C1133" t="s">
        <v>221</v>
      </c>
      <c r="D1133" t="s">
        <v>2436</v>
      </c>
      <c r="E1133">
        <v>31</v>
      </c>
      <c r="G1133" t="s">
        <v>172</v>
      </c>
      <c r="H1133" t="s">
        <v>172</v>
      </c>
      <c r="I1133" t="s">
        <v>221</v>
      </c>
      <c r="J1133" t="s">
        <v>221</v>
      </c>
      <c r="K1133" t="s">
        <v>172</v>
      </c>
      <c r="M1133" t="b">
        <v>0</v>
      </c>
      <c r="N1133" t="s">
        <v>32</v>
      </c>
      <c r="O1133" t="s">
        <v>33</v>
      </c>
    </row>
    <row r="1134" spans="1:28" hidden="1">
      <c r="A1134">
        <v>1104</v>
      </c>
      <c r="B1134">
        <v>2700</v>
      </c>
      <c r="C1134" t="s">
        <v>217</v>
      </c>
      <c r="D1134" t="s">
        <v>2437</v>
      </c>
      <c r="E1134">
        <v>71</v>
      </c>
      <c r="G1134" t="s">
        <v>148</v>
      </c>
      <c r="H1134" t="s">
        <v>2438</v>
      </c>
      <c r="I1134" t="s">
        <v>2439</v>
      </c>
      <c r="J1134" t="s">
        <v>217</v>
      </c>
      <c r="K1134" t="s">
        <v>148</v>
      </c>
      <c r="M1134" t="b">
        <v>1</v>
      </c>
      <c r="N1134" t="s">
        <v>32</v>
      </c>
      <c r="O1134" t="s">
        <v>33</v>
      </c>
      <c r="Q1134">
        <v>112.85</v>
      </c>
      <c r="R1134">
        <v>1.4</v>
      </c>
      <c r="S1134" t="s">
        <v>151</v>
      </c>
      <c r="T1134">
        <v>70.2</v>
      </c>
      <c r="V1134">
        <v>104</v>
      </c>
      <c r="W1134">
        <v>80.900000000000006</v>
      </c>
      <c r="X1134">
        <v>11.5</v>
      </c>
      <c r="Y1134">
        <v>48.8</v>
      </c>
      <c r="Z1134">
        <v>83132799</v>
      </c>
      <c r="AA1134">
        <v>51.165691000000002</v>
      </c>
      <c r="AB1134">
        <v>10.451525999999999</v>
      </c>
    </row>
    <row r="1135" spans="1:28" hidden="1">
      <c r="A1135">
        <v>1104</v>
      </c>
      <c r="B1135">
        <v>2700</v>
      </c>
      <c r="C1135" t="s">
        <v>217</v>
      </c>
      <c r="D1135" t="s">
        <v>2440</v>
      </c>
      <c r="E1135">
        <v>63</v>
      </c>
      <c r="G1135" t="s">
        <v>38</v>
      </c>
      <c r="H1135" t="s">
        <v>980</v>
      </c>
      <c r="I1135" t="s">
        <v>2441</v>
      </c>
      <c r="J1135" t="s">
        <v>217</v>
      </c>
      <c r="K1135" t="s">
        <v>38</v>
      </c>
      <c r="M1135" t="b">
        <v>0</v>
      </c>
      <c r="N1135" t="s">
        <v>32</v>
      </c>
      <c r="O1135" t="s">
        <v>33</v>
      </c>
      <c r="Q1135">
        <v>117.24</v>
      </c>
      <c r="R1135">
        <v>7.5</v>
      </c>
      <c r="S1135" t="s">
        <v>44</v>
      </c>
      <c r="T1135">
        <v>88.2</v>
      </c>
      <c r="V1135">
        <v>101.8</v>
      </c>
      <c r="W1135">
        <v>78.5</v>
      </c>
      <c r="X1135">
        <v>9.6</v>
      </c>
      <c r="Y1135">
        <v>36.6</v>
      </c>
      <c r="Z1135">
        <v>328239523</v>
      </c>
      <c r="AA1135">
        <v>37.090240000000001</v>
      </c>
      <c r="AB1135">
        <v>-95.712890999999999</v>
      </c>
    </row>
    <row r="1136" spans="1:28" hidden="1">
      <c r="A1136">
        <v>1104</v>
      </c>
      <c r="B1136">
        <v>2700</v>
      </c>
      <c r="C1136" t="s">
        <v>221</v>
      </c>
      <c r="D1136" t="s">
        <v>2442</v>
      </c>
      <c r="E1136">
        <v>78</v>
      </c>
      <c r="G1136" t="s">
        <v>203</v>
      </c>
      <c r="H1136" t="s">
        <v>204</v>
      </c>
      <c r="I1136" t="s">
        <v>223</v>
      </c>
      <c r="J1136" t="s">
        <v>221</v>
      </c>
      <c r="K1136" t="s">
        <v>203</v>
      </c>
      <c r="M1136" t="b">
        <v>1</v>
      </c>
      <c r="N1136" t="s">
        <v>42</v>
      </c>
      <c r="O1136" t="s">
        <v>88</v>
      </c>
      <c r="Q1136">
        <v>119.62</v>
      </c>
      <c r="R1136">
        <v>1.7</v>
      </c>
      <c r="S1136" t="s">
        <v>206</v>
      </c>
      <c r="T1136">
        <v>60</v>
      </c>
      <c r="V1136">
        <v>101.2</v>
      </c>
      <c r="W1136">
        <v>81.3</v>
      </c>
      <c r="X1136">
        <v>25.5</v>
      </c>
      <c r="Y1136">
        <v>30.6</v>
      </c>
      <c r="Z1136">
        <v>66834405</v>
      </c>
      <c r="AA1136">
        <v>55.378050999999999</v>
      </c>
      <c r="AB1136">
        <v>-3.4359730000000002</v>
      </c>
    </row>
    <row r="1137" spans="1:28" hidden="1">
      <c r="A1137">
        <v>1104</v>
      </c>
      <c r="B1137">
        <v>2700</v>
      </c>
      <c r="C1137" t="s">
        <v>221</v>
      </c>
      <c r="D1137" t="s">
        <v>2443</v>
      </c>
      <c r="E1137">
        <v>62</v>
      </c>
      <c r="G1137" t="s">
        <v>172</v>
      </c>
      <c r="H1137" t="s">
        <v>172</v>
      </c>
      <c r="I1137" t="s">
        <v>182</v>
      </c>
      <c r="J1137" t="s">
        <v>221</v>
      </c>
      <c r="K1137" t="s">
        <v>172</v>
      </c>
      <c r="M1137" t="b">
        <v>0</v>
      </c>
      <c r="N1137" t="s">
        <v>42</v>
      </c>
      <c r="O1137" t="s">
        <v>88</v>
      </c>
    </row>
    <row r="1138" spans="1:28" hidden="1">
      <c r="A1138">
        <v>1104</v>
      </c>
      <c r="B1138">
        <v>2700</v>
      </c>
      <c r="C1138" t="s">
        <v>45</v>
      </c>
      <c r="D1138" t="s">
        <v>2444</v>
      </c>
      <c r="E1138">
        <v>59</v>
      </c>
      <c r="G1138" t="s">
        <v>103</v>
      </c>
      <c r="H1138" t="s">
        <v>143</v>
      </c>
      <c r="I1138" t="s">
        <v>572</v>
      </c>
      <c r="J1138" t="s">
        <v>45</v>
      </c>
      <c r="K1138" t="s">
        <v>103</v>
      </c>
      <c r="M1138" t="b">
        <v>1</v>
      </c>
      <c r="N1138" t="s">
        <v>42</v>
      </c>
      <c r="O1138" t="s">
        <v>33</v>
      </c>
      <c r="Q1138">
        <v>125.08</v>
      </c>
      <c r="R1138">
        <v>2.9</v>
      </c>
      <c r="S1138" t="s">
        <v>106</v>
      </c>
      <c r="T1138">
        <v>50.6</v>
      </c>
      <c r="V1138">
        <v>100.2</v>
      </c>
      <c r="W1138">
        <v>77</v>
      </c>
      <c r="X1138">
        <v>9.4</v>
      </c>
      <c r="Y1138">
        <v>59.2</v>
      </c>
      <c r="Z1138">
        <v>1397715000</v>
      </c>
      <c r="AA1138">
        <v>35.861660000000001</v>
      </c>
      <c r="AB1138">
        <v>104.195397</v>
      </c>
    </row>
    <row r="1139" spans="1:28" hidden="1">
      <c r="A1139">
        <v>1104</v>
      </c>
      <c r="B1139">
        <v>2700</v>
      </c>
      <c r="C1139" t="s">
        <v>101</v>
      </c>
      <c r="D1139" t="s">
        <v>2445</v>
      </c>
      <c r="E1139">
        <v>54</v>
      </c>
      <c r="G1139" t="s">
        <v>103</v>
      </c>
      <c r="H1139" t="s">
        <v>489</v>
      </c>
      <c r="I1139" t="s">
        <v>2446</v>
      </c>
      <c r="J1139" t="s">
        <v>101</v>
      </c>
      <c r="K1139" t="s">
        <v>103</v>
      </c>
      <c r="M1139" t="b">
        <v>1</v>
      </c>
      <c r="N1139" t="s">
        <v>42</v>
      </c>
      <c r="O1139" t="s">
        <v>33</v>
      </c>
      <c r="Q1139">
        <v>125.08</v>
      </c>
      <c r="R1139">
        <v>2.9</v>
      </c>
      <c r="S1139" t="s">
        <v>106</v>
      </c>
      <c r="T1139">
        <v>50.6</v>
      </c>
      <c r="V1139">
        <v>100.2</v>
      </c>
      <c r="W1139">
        <v>77</v>
      </c>
      <c r="X1139">
        <v>9.4</v>
      </c>
      <c r="Y1139">
        <v>59.2</v>
      </c>
      <c r="Z1139">
        <v>1397715000</v>
      </c>
      <c r="AA1139">
        <v>35.861660000000001</v>
      </c>
      <c r="AB1139">
        <v>104.195397</v>
      </c>
    </row>
    <row r="1140" spans="1:28" hidden="1">
      <c r="A1140">
        <v>1104</v>
      </c>
      <c r="B1140">
        <v>2700</v>
      </c>
      <c r="C1140" t="s">
        <v>478</v>
      </c>
      <c r="D1140" t="s">
        <v>2447</v>
      </c>
      <c r="E1140">
        <v>77</v>
      </c>
      <c r="G1140" t="s">
        <v>38</v>
      </c>
      <c r="H1140" t="s">
        <v>331</v>
      </c>
      <c r="I1140" t="s">
        <v>2448</v>
      </c>
      <c r="J1140" t="s">
        <v>478</v>
      </c>
      <c r="K1140" t="s">
        <v>38</v>
      </c>
      <c r="M1140" t="b">
        <v>1</v>
      </c>
      <c r="N1140" t="s">
        <v>32</v>
      </c>
      <c r="O1140" t="s">
        <v>33</v>
      </c>
      <c r="Q1140">
        <v>117.24</v>
      </c>
      <c r="R1140">
        <v>7.5</v>
      </c>
      <c r="S1140" t="s">
        <v>44</v>
      </c>
      <c r="T1140">
        <v>88.2</v>
      </c>
      <c r="V1140">
        <v>101.8</v>
      </c>
      <c r="W1140">
        <v>78.5</v>
      </c>
      <c r="X1140">
        <v>9.6</v>
      </c>
      <c r="Y1140">
        <v>36.6</v>
      </c>
      <c r="Z1140">
        <v>328239523</v>
      </c>
      <c r="AA1140">
        <v>37.090240000000001</v>
      </c>
      <c r="AB1140">
        <v>-95.712890999999999</v>
      </c>
    </row>
    <row r="1141" spans="1:28" hidden="1">
      <c r="A1141">
        <v>1104</v>
      </c>
      <c r="B1141">
        <v>2700</v>
      </c>
      <c r="C1141" t="s">
        <v>236</v>
      </c>
      <c r="D1141" t="s">
        <v>2449</v>
      </c>
      <c r="E1141">
        <v>61</v>
      </c>
      <c r="G1141" t="s">
        <v>541</v>
      </c>
      <c r="H1141" t="s">
        <v>744</v>
      </c>
      <c r="I1141" t="s">
        <v>240</v>
      </c>
      <c r="J1141" t="s">
        <v>236</v>
      </c>
      <c r="K1141" t="s">
        <v>541</v>
      </c>
      <c r="M1141" t="b">
        <v>1</v>
      </c>
      <c r="N1141" t="s">
        <v>42</v>
      </c>
      <c r="O1141" t="s">
        <v>33</v>
      </c>
      <c r="Q1141">
        <v>158.93</v>
      </c>
      <c r="R1141">
        <v>4.0999999999999996</v>
      </c>
      <c r="S1141" t="s">
        <v>543</v>
      </c>
      <c r="T1141">
        <v>22.4</v>
      </c>
      <c r="V1141">
        <v>100.9</v>
      </c>
      <c r="W1141">
        <v>63.9</v>
      </c>
      <c r="X1141">
        <v>27.5</v>
      </c>
      <c r="Y1141">
        <v>29.2</v>
      </c>
      <c r="Z1141">
        <v>58558270</v>
      </c>
      <c r="AA1141">
        <v>-30.559481999999999</v>
      </c>
      <c r="AB1141">
        <v>22.937505999999999</v>
      </c>
    </row>
    <row r="1142" spans="1:28" hidden="1">
      <c r="A1142">
        <v>1104</v>
      </c>
      <c r="B1142">
        <v>2700</v>
      </c>
      <c r="C1142" t="s">
        <v>68</v>
      </c>
      <c r="D1142" t="s">
        <v>2450</v>
      </c>
      <c r="E1142">
        <v>64</v>
      </c>
      <c r="G1142" t="s">
        <v>945</v>
      </c>
      <c r="H1142" t="s">
        <v>2451</v>
      </c>
      <c r="I1142" t="s">
        <v>68</v>
      </c>
      <c r="J1142" t="s">
        <v>68</v>
      </c>
      <c r="K1142" t="s">
        <v>945</v>
      </c>
      <c r="M1142" t="b">
        <v>1</v>
      </c>
      <c r="N1142" t="s">
        <v>42</v>
      </c>
      <c r="O1142" t="s">
        <v>33</v>
      </c>
    </row>
    <row r="1143" spans="1:28" hidden="1">
      <c r="A1143">
        <v>1104</v>
      </c>
      <c r="B1143">
        <v>2700</v>
      </c>
      <c r="C1143" t="s">
        <v>101</v>
      </c>
      <c r="D1143" t="s">
        <v>2452</v>
      </c>
      <c r="I1143" t="s">
        <v>2453</v>
      </c>
      <c r="J1143" t="s">
        <v>101</v>
      </c>
      <c r="K1143" t="s">
        <v>148</v>
      </c>
      <c r="M1143" t="b">
        <v>0</v>
      </c>
      <c r="N1143" t="s">
        <v>212</v>
      </c>
      <c r="O1143" t="s">
        <v>33</v>
      </c>
    </row>
    <row r="1144" spans="1:28" hidden="1">
      <c r="A1144">
        <v>1104</v>
      </c>
      <c r="B1144">
        <v>2700</v>
      </c>
      <c r="C1144" t="s">
        <v>75</v>
      </c>
      <c r="D1144" t="s">
        <v>2454</v>
      </c>
      <c r="E1144">
        <v>76</v>
      </c>
      <c r="G1144" t="s">
        <v>397</v>
      </c>
      <c r="H1144" t="s">
        <v>2455</v>
      </c>
      <c r="I1144" t="s">
        <v>75</v>
      </c>
      <c r="J1144" t="s">
        <v>75</v>
      </c>
      <c r="K1144" t="s">
        <v>397</v>
      </c>
      <c r="M1144" t="b">
        <v>0</v>
      </c>
      <c r="N1144" t="s">
        <v>419</v>
      </c>
      <c r="O1144" t="s">
        <v>33</v>
      </c>
      <c r="Q1144">
        <v>110.51</v>
      </c>
      <c r="R1144">
        <v>1.8</v>
      </c>
      <c r="S1144" t="s">
        <v>401</v>
      </c>
      <c r="T1144">
        <v>67</v>
      </c>
      <c r="V1144">
        <v>126.6</v>
      </c>
      <c r="W1144">
        <v>82.5</v>
      </c>
      <c r="X1144">
        <v>27.9</v>
      </c>
      <c r="Y1144">
        <v>49.1</v>
      </c>
      <c r="Z1144">
        <v>10285453</v>
      </c>
      <c r="AA1144">
        <v>60.128160999999999</v>
      </c>
      <c r="AB1144">
        <v>18.643501000000001</v>
      </c>
    </row>
    <row r="1145" spans="1:28" hidden="1">
      <c r="A1145">
        <v>1104</v>
      </c>
      <c r="B1145">
        <v>2700</v>
      </c>
      <c r="C1145" t="s">
        <v>45</v>
      </c>
      <c r="D1145" t="s">
        <v>2456</v>
      </c>
      <c r="E1145">
        <v>69</v>
      </c>
      <c r="G1145" t="s">
        <v>198</v>
      </c>
      <c r="H1145" t="s">
        <v>199</v>
      </c>
      <c r="I1145" t="s">
        <v>2457</v>
      </c>
      <c r="J1145" t="s">
        <v>45</v>
      </c>
      <c r="K1145" t="s">
        <v>198</v>
      </c>
      <c r="M1145" t="b">
        <v>0</v>
      </c>
      <c r="N1145" t="s">
        <v>32</v>
      </c>
      <c r="O1145" t="s">
        <v>33</v>
      </c>
      <c r="Q1145">
        <v>105.48</v>
      </c>
      <c r="R1145">
        <v>0.5</v>
      </c>
      <c r="S1145" t="s">
        <v>201</v>
      </c>
      <c r="T1145">
        <v>63.2</v>
      </c>
      <c r="V1145">
        <v>98.8</v>
      </c>
      <c r="W1145">
        <v>84.2</v>
      </c>
      <c r="X1145">
        <v>11.9</v>
      </c>
      <c r="Y1145">
        <v>46.7</v>
      </c>
      <c r="Z1145">
        <v>126226568</v>
      </c>
      <c r="AA1145">
        <v>36.204824000000002</v>
      </c>
      <c r="AB1145">
        <v>138.25292400000001</v>
      </c>
    </row>
    <row r="1146" spans="1:28" hidden="1">
      <c r="A1146">
        <v>1104</v>
      </c>
      <c r="B1146">
        <v>2700</v>
      </c>
      <c r="C1146" t="s">
        <v>26</v>
      </c>
      <c r="D1146" t="s">
        <v>2458</v>
      </c>
      <c r="E1146">
        <v>58</v>
      </c>
      <c r="G1146" t="s">
        <v>172</v>
      </c>
      <c r="H1146" t="s">
        <v>172</v>
      </c>
      <c r="I1146" t="s">
        <v>1260</v>
      </c>
      <c r="J1146" t="s">
        <v>26</v>
      </c>
      <c r="K1146" t="s">
        <v>127</v>
      </c>
      <c r="M1146" t="b">
        <v>1</v>
      </c>
      <c r="N1146" t="s">
        <v>42</v>
      </c>
      <c r="O1146" t="s">
        <v>88</v>
      </c>
    </row>
    <row r="1147" spans="1:28" hidden="1">
      <c r="A1147">
        <v>1104</v>
      </c>
      <c r="B1147">
        <v>2700</v>
      </c>
      <c r="C1147" t="s">
        <v>75</v>
      </c>
      <c r="D1147" t="s">
        <v>2459</v>
      </c>
      <c r="E1147">
        <v>79</v>
      </c>
      <c r="G1147" t="s">
        <v>77</v>
      </c>
      <c r="H1147" t="s">
        <v>137</v>
      </c>
      <c r="I1147" t="s">
        <v>1260</v>
      </c>
      <c r="J1147" t="s">
        <v>75</v>
      </c>
      <c r="K1147" t="s">
        <v>77</v>
      </c>
      <c r="M1147" t="b">
        <v>1</v>
      </c>
      <c r="N1147" t="s">
        <v>42</v>
      </c>
      <c r="O1147" t="s">
        <v>33</v>
      </c>
      <c r="Q1147">
        <v>180.44</v>
      </c>
      <c r="R1147">
        <v>7.7</v>
      </c>
      <c r="S1147" t="s">
        <v>81</v>
      </c>
      <c r="T1147">
        <v>28.1</v>
      </c>
      <c r="V1147">
        <v>113</v>
      </c>
      <c r="W1147">
        <v>69.400000000000006</v>
      </c>
      <c r="X1147">
        <v>11.2</v>
      </c>
      <c r="Y1147">
        <v>49.7</v>
      </c>
      <c r="Z1147">
        <v>1366417754</v>
      </c>
      <c r="AA1147">
        <v>20.593684</v>
      </c>
      <c r="AB1147">
        <v>78.962879999999998</v>
      </c>
    </row>
    <row r="1148" spans="1:28" hidden="1">
      <c r="A1148">
        <v>1104</v>
      </c>
      <c r="B1148">
        <v>2700</v>
      </c>
      <c r="C1148" t="s">
        <v>221</v>
      </c>
      <c r="D1148" t="s">
        <v>2460</v>
      </c>
      <c r="E1148">
        <v>84</v>
      </c>
      <c r="G1148" t="s">
        <v>38</v>
      </c>
      <c r="H1148" t="s">
        <v>90</v>
      </c>
      <c r="I1148" t="s">
        <v>223</v>
      </c>
      <c r="J1148" t="s">
        <v>221</v>
      </c>
      <c r="K1148" t="s">
        <v>38</v>
      </c>
      <c r="M1148" t="b">
        <v>1</v>
      </c>
      <c r="N1148" t="s">
        <v>42</v>
      </c>
      <c r="O1148" t="s">
        <v>33</v>
      </c>
      <c r="Q1148">
        <v>117.24</v>
      </c>
      <c r="R1148">
        <v>7.5</v>
      </c>
      <c r="S1148" t="s">
        <v>44</v>
      </c>
      <c r="T1148">
        <v>88.2</v>
      </c>
      <c r="V1148">
        <v>101.8</v>
      </c>
      <c r="W1148">
        <v>78.5</v>
      </c>
      <c r="X1148">
        <v>9.6</v>
      </c>
      <c r="Y1148">
        <v>36.6</v>
      </c>
      <c r="Z1148">
        <v>328239523</v>
      </c>
      <c r="AA1148">
        <v>37.090240000000001</v>
      </c>
      <c r="AB1148">
        <v>-95.712890999999999</v>
      </c>
    </row>
    <row r="1149" spans="1:28" hidden="1">
      <c r="A1149">
        <v>1104</v>
      </c>
      <c r="B1149">
        <v>2700</v>
      </c>
      <c r="C1149" t="s">
        <v>236</v>
      </c>
      <c r="D1149" t="s">
        <v>2461</v>
      </c>
      <c r="E1149">
        <v>75</v>
      </c>
      <c r="I1149" t="s">
        <v>2462</v>
      </c>
      <c r="J1149" t="s">
        <v>236</v>
      </c>
      <c r="K1149" t="s">
        <v>164</v>
      </c>
      <c r="M1149" t="b">
        <v>0</v>
      </c>
      <c r="N1149" t="s">
        <v>212</v>
      </c>
      <c r="O1149" t="s">
        <v>33</v>
      </c>
    </row>
    <row r="1150" spans="1:28" hidden="1">
      <c r="A1150">
        <v>1104</v>
      </c>
      <c r="B1150">
        <v>2700</v>
      </c>
      <c r="C1150" t="s">
        <v>236</v>
      </c>
      <c r="D1150" t="s">
        <v>2463</v>
      </c>
      <c r="E1150">
        <v>70</v>
      </c>
      <c r="I1150" t="s">
        <v>2462</v>
      </c>
      <c r="J1150" t="s">
        <v>236</v>
      </c>
      <c r="K1150" t="s">
        <v>164</v>
      </c>
      <c r="M1150" t="b">
        <v>0</v>
      </c>
      <c r="N1150" t="s">
        <v>212</v>
      </c>
      <c r="O1150" t="s">
        <v>33</v>
      </c>
    </row>
    <row r="1151" spans="1:28" hidden="1">
      <c r="A1151">
        <v>1104</v>
      </c>
      <c r="B1151">
        <v>2700</v>
      </c>
      <c r="C1151" t="s">
        <v>288</v>
      </c>
      <c r="D1151" t="s">
        <v>2464</v>
      </c>
      <c r="E1151">
        <v>55</v>
      </c>
      <c r="G1151" t="s">
        <v>38</v>
      </c>
      <c r="H1151" t="s">
        <v>1491</v>
      </c>
      <c r="I1151" t="s">
        <v>2465</v>
      </c>
      <c r="J1151" t="s">
        <v>288</v>
      </c>
      <c r="K1151" t="s">
        <v>38</v>
      </c>
      <c r="M1151" t="b">
        <v>1</v>
      </c>
      <c r="N1151" t="s">
        <v>192</v>
      </c>
      <c r="O1151" t="s">
        <v>33</v>
      </c>
      <c r="P1151" t="s">
        <v>468</v>
      </c>
      <c r="Q1151">
        <v>117.24</v>
      </c>
      <c r="R1151">
        <v>7.5</v>
      </c>
      <c r="S1151" t="s">
        <v>44</v>
      </c>
      <c r="T1151">
        <v>88.2</v>
      </c>
      <c r="V1151">
        <v>101.8</v>
      </c>
      <c r="W1151">
        <v>78.5</v>
      </c>
      <c r="X1151">
        <v>9.6</v>
      </c>
      <c r="Y1151">
        <v>36.6</v>
      </c>
      <c r="Z1151">
        <v>328239523</v>
      </c>
      <c r="AA1151">
        <v>37.090240000000001</v>
      </c>
      <c r="AB1151">
        <v>-95.712890999999999</v>
      </c>
    </row>
    <row r="1152" spans="1:28">
      <c r="A1152">
        <v>1104</v>
      </c>
      <c r="B1152">
        <v>2700</v>
      </c>
      <c r="C1152" t="s">
        <v>45</v>
      </c>
      <c r="D1152" t="s">
        <v>2466</v>
      </c>
      <c r="E1152">
        <v>68</v>
      </c>
      <c r="F1152" t="str">
        <f>IF(E1152&gt;=90,"90-100",IF(E1152&gt;=80,"80-90",IF(E1152&gt;=70,"70-80",IF(E1152&gt;=60,"60-70",IF(E1152&gt;=50,"50-60",IF(E1152&gt;=40,"40-50",IF(E1152&gt;=30,"30-40","20-30")))))))</f>
        <v>60-70</v>
      </c>
      <c r="G1152" t="s">
        <v>38</v>
      </c>
      <c r="H1152" t="s">
        <v>90</v>
      </c>
      <c r="I1152" t="s">
        <v>108</v>
      </c>
      <c r="J1152" t="s">
        <v>45</v>
      </c>
      <c r="K1152" t="s">
        <v>38</v>
      </c>
      <c r="L1152" t="s">
        <v>109</v>
      </c>
      <c r="M1152" t="b">
        <v>1</v>
      </c>
      <c r="N1152" t="s">
        <v>42</v>
      </c>
      <c r="O1152" t="s">
        <v>4867</v>
      </c>
      <c r="P1152" t="s">
        <v>2467</v>
      </c>
      <c r="Q1152">
        <v>117.24</v>
      </c>
      <c r="R1152">
        <v>7.5</v>
      </c>
      <c r="S1152" t="s">
        <v>44</v>
      </c>
      <c r="T1152">
        <v>88.2</v>
      </c>
      <c r="U1152" t="str">
        <f>IF(T1152&gt;=100,"above 100",IF(T1152&gt;=80,"80-100",IF(T1152&gt;=60,"60-80",IF(T1152&gt;=40,"40-60",IF(T1152&gt;=20,"20-60","0-20")))))</f>
        <v>80-100</v>
      </c>
      <c r="V1152">
        <v>101.8</v>
      </c>
      <c r="W1152">
        <v>78.5</v>
      </c>
      <c r="X1152">
        <v>9.6</v>
      </c>
      <c r="Y1152">
        <v>36.6</v>
      </c>
      <c r="Z1152">
        <v>328239523</v>
      </c>
      <c r="AA1152">
        <v>37.090240000000001</v>
      </c>
      <c r="AB1152">
        <v>-95.712890999999999</v>
      </c>
    </row>
    <row r="1153" spans="1:28" hidden="1">
      <c r="A1153">
        <v>1104</v>
      </c>
      <c r="B1153">
        <v>2700</v>
      </c>
      <c r="C1153" t="s">
        <v>45</v>
      </c>
      <c r="D1153" t="s">
        <v>2468</v>
      </c>
      <c r="E1153">
        <v>63</v>
      </c>
      <c r="G1153" t="s">
        <v>38</v>
      </c>
      <c r="H1153" t="s">
        <v>739</v>
      </c>
      <c r="I1153" t="s">
        <v>2469</v>
      </c>
      <c r="J1153" t="s">
        <v>45</v>
      </c>
      <c r="K1153" t="s">
        <v>38</v>
      </c>
      <c r="M1153" t="b">
        <v>1</v>
      </c>
      <c r="N1153" t="s">
        <v>192</v>
      </c>
      <c r="O1153" t="s">
        <v>33</v>
      </c>
      <c r="Q1153">
        <v>117.24</v>
      </c>
      <c r="R1153">
        <v>7.5</v>
      </c>
      <c r="S1153" t="s">
        <v>44</v>
      </c>
      <c r="T1153">
        <v>88.2</v>
      </c>
      <c r="V1153">
        <v>101.8</v>
      </c>
      <c r="W1153">
        <v>78.5</v>
      </c>
      <c r="X1153">
        <v>9.6</v>
      </c>
      <c r="Y1153">
        <v>36.6</v>
      </c>
      <c r="Z1153">
        <v>328239523</v>
      </c>
      <c r="AA1153">
        <v>37.090240000000001</v>
      </c>
      <c r="AB1153">
        <v>-95.712890999999999</v>
      </c>
    </row>
    <row r="1154" spans="1:28" hidden="1">
      <c r="A1154">
        <v>1104</v>
      </c>
      <c r="B1154">
        <v>2700</v>
      </c>
      <c r="C1154" t="s">
        <v>63</v>
      </c>
      <c r="D1154" t="s">
        <v>2470</v>
      </c>
      <c r="I1154" t="s">
        <v>1626</v>
      </c>
      <c r="J1154" t="s">
        <v>63</v>
      </c>
      <c r="K1154" t="s">
        <v>148</v>
      </c>
      <c r="M1154" t="b">
        <v>0</v>
      </c>
      <c r="N1154" t="s">
        <v>32</v>
      </c>
      <c r="O1154" t="s">
        <v>88</v>
      </c>
    </row>
    <row r="1155" spans="1:28" hidden="1">
      <c r="A1155">
        <v>1104</v>
      </c>
      <c r="B1155">
        <v>2700</v>
      </c>
      <c r="C1155" t="s">
        <v>217</v>
      </c>
      <c r="D1155" t="s">
        <v>2471</v>
      </c>
      <c r="E1155">
        <v>75</v>
      </c>
      <c r="G1155" t="s">
        <v>77</v>
      </c>
      <c r="H1155" t="s">
        <v>248</v>
      </c>
      <c r="I1155" t="s">
        <v>2472</v>
      </c>
      <c r="J1155" t="s">
        <v>217</v>
      </c>
      <c r="K1155" t="s">
        <v>77</v>
      </c>
      <c r="M1155" t="b">
        <v>0</v>
      </c>
      <c r="N1155" t="s">
        <v>32</v>
      </c>
      <c r="O1155" t="s">
        <v>33</v>
      </c>
      <c r="Q1155">
        <v>180.44</v>
      </c>
      <c r="R1155">
        <v>7.7</v>
      </c>
      <c r="S1155" t="s">
        <v>81</v>
      </c>
      <c r="T1155">
        <v>28.1</v>
      </c>
      <c r="V1155">
        <v>113</v>
      </c>
      <c r="W1155">
        <v>69.400000000000006</v>
      </c>
      <c r="X1155">
        <v>11.2</v>
      </c>
      <c r="Y1155">
        <v>49.7</v>
      </c>
      <c r="Z1155">
        <v>1366417754</v>
      </c>
      <c r="AA1155">
        <v>20.593684</v>
      </c>
      <c r="AB1155">
        <v>78.962879999999998</v>
      </c>
    </row>
    <row r="1156" spans="1:28" hidden="1">
      <c r="A1156">
        <v>1104</v>
      </c>
      <c r="B1156">
        <v>2700</v>
      </c>
      <c r="C1156" t="s">
        <v>154</v>
      </c>
      <c r="D1156" t="s">
        <v>2473</v>
      </c>
      <c r="E1156">
        <v>55</v>
      </c>
      <c r="G1156" t="s">
        <v>263</v>
      </c>
      <c r="H1156" t="s">
        <v>274</v>
      </c>
      <c r="I1156" t="s">
        <v>2474</v>
      </c>
      <c r="J1156" t="s">
        <v>154</v>
      </c>
      <c r="K1156" t="s">
        <v>263</v>
      </c>
      <c r="M1156" t="b">
        <v>1</v>
      </c>
      <c r="N1156" t="s">
        <v>32</v>
      </c>
      <c r="O1156" t="s">
        <v>33</v>
      </c>
      <c r="Q1156">
        <v>180.75</v>
      </c>
      <c r="R1156">
        <v>4.5</v>
      </c>
      <c r="S1156" t="s">
        <v>276</v>
      </c>
      <c r="T1156">
        <v>81.900000000000006</v>
      </c>
      <c r="V1156">
        <v>102.6</v>
      </c>
      <c r="W1156">
        <v>72.7</v>
      </c>
      <c r="X1156">
        <v>11.4</v>
      </c>
      <c r="Y1156">
        <v>46.2</v>
      </c>
      <c r="Z1156">
        <v>144373535</v>
      </c>
      <c r="AA1156">
        <v>61.524009999999997</v>
      </c>
      <c r="AB1156">
        <v>105.31875599999999</v>
      </c>
    </row>
    <row r="1157" spans="1:28">
      <c r="A1157">
        <v>1104</v>
      </c>
      <c r="B1157">
        <v>2700</v>
      </c>
      <c r="C1157" t="s">
        <v>45</v>
      </c>
      <c r="D1157" t="s">
        <v>2475</v>
      </c>
      <c r="E1157">
        <v>32</v>
      </c>
      <c r="F1157" t="str">
        <f>IF(E1157&gt;=90,"90-100",IF(E1157&gt;=80,"80-90",IF(E1157&gt;=70,"70-80",IF(E1157&gt;=60,"60-70",IF(E1157&gt;=50,"50-60",IF(E1157&gt;=40,"40-50",IF(E1157&gt;=30,"30-40","20-30")))))))</f>
        <v>30-40</v>
      </c>
      <c r="G1157" t="s">
        <v>38</v>
      </c>
      <c r="H1157" t="s">
        <v>635</v>
      </c>
      <c r="I1157" t="s">
        <v>2476</v>
      </c>
      <c r="J1157" t="s">
        <v>45</v>
      </c>
      <c r="K1157" t="s">
        <v>38</v>
      </c>
      <c r="L1157" t="s">
        <v>2477</v>
      </c>
      <c r="M1157" t="b">
        <v>1</v>
      </c>
      <c r="N1157" t="s">
        <v>42</v>
      </c>
      <c r="O1157" t="s">
        <v>4867</v>
      </c>
      <c r="P1157" t="s">
        <v>110</v>
      </c>
      <c r="Q1157">
        <v>117.24</v>
      </c>
      <c r="R1157">
        <v>7.5</v>
      </c>
      <c r="S1157" t="s">
        <v>44</v>
      </c>
      <c r="T1157">
        <v>88.2</v>
      </c>
      <c r="U1157" t="str">
        <f>IF(T1157&gt;=100,"above 100",IF(T1157&gt;=80,"80-100",IF(T1157&gt;=60,"60-80",IF(T1157&gt;=40,"40-60",IF(T1157&gt;=20,"20-60","0-20")))))</f>
        <v>80-100</v>
      </c>
      <c r="V1157">
        <v>101.8</v>
      </c>
      <c r="W1157">
        <v>78.5</v>
      </c>
      <c r="X1157">
        <v>9.6</v>
      </c>
      <c r="Y1157">
        <v>36.6</v>
      </c>
      <c r="Z1157">
        <v>328239523</v>
      </c>
      <c r="AA1157">
        <v>37.090240000000001</v>
      </c>
      <c r="AB1157">
        <v>-95.712890999999999</v>
      </c>
    </row>
    <row r="1158" spans="1:28" hidden="1">
      <c r="A1158">
        <v>1104</v>
      </c>
      <c r="B1158">
        <v>2700</v>
      </c>
      <c r="C1158" t="s">
        <v>308</v>
      </c>
      <c r="D1158" t="s">
        <v>2478</v>
      </c>
      <c r="E1158">
        <v>81</v>
      </c>
      <c r="G1158" t="s">
        <v>38</v>
      </c>
      <c r="H1158" t="s">
        <v>2479</v>
      </c>
      <c r="I1158" t="s">
        <v>2480</v>
      </c>
      <c r="J1158" t="s">
        <v>308</v>
      </c>
      <c r="K1158" t="s">
        <v>38</v>
      </c>
      <c r="M1158" t="b">
        <v>1</v>
      </c>
      <c r="N1158" t="s">
        <v>32</v>
      </c>
      <c r="O1158" t="s">
        <v>33</v>
      </c>
      <c r="Q1158">
        <v>117.24</v>
      </c>
      <c r="R1158">
        <v>7.5</v>
      </c>
      <c r="S1158" t="s">
        <v>44</v>
      </c>
      <c r="T1158">
        <v>88.2</v>
      </c>
      <c r="V1158">
        <v>101.8</v>
      </c>
      <c r="W1158">
        <v>78.5</v>
      </c>
      <c r="X1158">
        <v>9.6</v>
      </c>
      <c r="Y1158">
        <v>36.6</v>
      </c>
      <c r="Z1158">
        <v>328239523</v>
      </c>
      <c r="AA1158">
        <v>37.090240000000001</v>
      </c>
      <c r="AB1158">
        <v>-95.712890999999999</v>
      </c>
    </row>
    <row r="1159" spans="1:28" hidden="1">
      <c r="A1159">
        <v>1104</v>
      </c>
      <c r="B1159">
        <v>2700</v>
      </c>
      <c r="C1159" t="s">
        <v>63</v>
      </c>
      <c r="D1159" t="s">
        <v>2481</v>
      </c>
      <c r="E1159">
        <v>52</v>
      </c>
      <c r="G1159" t="s">
        <v>38</v>
      </c>
      <c r="H1159" t="s">
        <v>2482</v>
      </c>
      <c r="I1159" t="s">
        <v>2483</v>
      </c>
      <c r="J1159" t="s">
        <v>63</v>
      </c>
      <c r="K1159" t="s">
        <v>38</v>
      </c>
      <c r="M1159" t="b">
        <v>1</v>
      </c>
      <c r="N1159" t="s">
        <v>32</v>
      </c>
      <c r="O1159" t="s">
        <v>33</v>
      </c>
      <c r="Q1159">
        <v>117.24</v>
      </c>
      <c r="R1159">
        <v>7.5</v>
      </c>
      <c r="S1159" t="s">
        <v>44</v>
      </c>
      <c r="T1159">
        <v>88.2</v>
      </c>
      <c r="V1159">
        <v>101.8</v>
      </c>
      <c r="W1159">
        <v>78.5</v>
      </c>
      <c r="X1159">
        <v>9.6</v>
      </c>
      <c r="Y1159">
        <v>36.6</v>
      </c>
      <c r="Z1159">
        <v>328239523</v>
      </c>
      <c r="AA1159">
        <v>37.090240000000001</v>
      </c>
      <c r="AB1159">
        <v>-95.712890999999999</v>
      </c>
    </row>
    <row r="1160" spans="1:28" hidden="1">
      <c r="A1160">
        <v>1104</v>
      </c>
      <c r="B1160">
        <v>2700</v>
      </c>
      <c r="C1160" t="s">
        <v>236</v>
      </c>
      <c r="D1160" t="s">
        <v>2484</v>
      </c>
      <c r="E1160">
        <v>65</v>
      </c>
      <c r="G1160" t="s">
        <v>1462</v>
      </c>
      <c r="H1160" t="s">
        <v>2485</v>
      </c>
      <c r="I1160" t="s">
        <v>2486</v>
      </c>
      <c r="J1160" t="s">
        <v>236</v>
      </c>
      <c r="K1160" t="s">
        <v>1462</v>
      </c>
      <c r="M1160" t="b">
        <v>1</v>
      </c>
      <c r="N1160" t="s">
        <v>42</v>
      </c>
      <c r="O1160" t="s">
        <v>33</v>
      </c>
      <c r="Q1160">
        <v>182.75</v>
      </c>
      <c r="R1160">
        <v>5.2</v>
      </c>
      <c r="S1160" t="s">
        <v>1464</v>
      </c>
      <c r="T1160">
        <v>61.7</v>
      </c>
      <c r="V1160">
        <v>104.4</v>
      </c>
      <c r="W1160">
        <v>73.2</v>
      </c>
      <c r="X1160">
        <v>11.7</v>
      </c>
      <c r="Y1160">
        <v>28.4</v>
      </c>
      <c r="Z1160">
        <v>18513930</v>
      </c>
      <c r="AA1160">
        <v>48.019573000000001</v>
      </c>
      <c r="AB1160">
        <v>66.923683999999994</v>
      </c>
    </row>
    <row r="1161" spans="1:28" hidden="1">
      <c r="A1161">
        <v>1104</v>
      </c>
      <c r="B1161">
        <v>2700</v>
      </c>
      <c r="C1161" t="s">
        <v>101</v>
      </c>
      <c r="D1161" t="s">
        <v>2487</v>
      </c>
      <c r="E1161">
        <v>29</v>
      </c>
      <c r="G1161" t="s">
        <v>833</v>
      </c>
      <c r="H1161" t="s">
        <v>2488</v>
      </c>
      <c r="I1161" t="s">
        <v>2489</v>
      </c>
      <c r="J1161" t="s">
        <v>101</v>
      </c>
      <c r="K1161" t="s">
        <v>833</v>
      </c>
      <c r="M1161" t="b">
        <v>0</v>
      </c>
      <c r="N1161" t="s">
        <v>42</v>
      </c>
      <c r="O1161" t="s">
        <v>33</v>
      </c>
      <c r="Q1161">
        <v>120.27</v>
      </c>
      <c r="R1161">
        <v>2.2000000000000002</v>
      </c>
      <c r="S1161" t="s">
        <v>835</v>
      </c>
      <c r="T1161">
        <v>82</v>
      </c>
      <c r="V1161">
        <v>100.3</v>
      </c>
      <c r="W1161">
        <v>82.8</v>
      </c>
      <c r="X1161">
        <v>23.9</v>
      </c>
      <c r="Y1161">
        <v>36.200000000000003</v>
      </c>
      <c r="Z1161">
        <v>5347896</v>
      </c>
      <c r="AA1161">
        <v>60.472023999999998</v>
      </c>
      <c r="AB1161">
        <v>8.4689460000000008</v>
      </c>
    </row>
    <row r="1162" spans="1:28" hidden="1">
      <c r="A1162">
        <v>1104</v>
      </c>
      <c r="B1162">
        <v>2700</v>
      </c>
      <c r="C1162" t="s">
        <v>217</v>
      </c>
      <c r="D1162" t="s">
        <v>2490</v>
      </c>
      <c r="E1162">
        <v>58</v>
      </c>
      <c r="G1162" t="s">
        <v>172</v>
      </c>
      <c r="H1162" t="s">
        <v>172</v>
      </c>
      <c r="I1162" t="s">
        <v>815</v>
      </c>
      <c r="J1162" t="s">
        <v>217</v>
      </c>
      <c r="K1162" t="s">
        <v>172</v>
      </c>
      <c r="M1162" t="b">
        <v>1</v>
      </c>
      <c r="N1162" t="s">
        <v>42</v>
      </c>
      <c r="O1162" t="s">
        <v>33</v>
      </c>
    </row>
    <row r="1163" spans="1:28" hidden="1">
      <c r="A1163">
        <v>1104</v>
      </c>
      <c r="B1163">
        <v>2700</v>
      </c>
      <c r="C1163" t="s">
        <v>288</v>
      </c>
      <c r="D1163" t="s">
        <v>2491</v>
      </c>
      <c r="E1163">
        <v>61</v>
      </c>
      <c r="G1163" t="s">
        <v>103</v>
      </c>
      <c r="H1163" t="s">
        <v>2492</v>
      </c>
      <c r="I1163" t="s">
        <v>971</v>
      </c>
      <c r="J1163" t="s">
        <v>288</v>
      </c>
      <c r="K1163" t="s">
        <v>103</v>
      </c>
      <c r="M1163" t="b">
        <v>1</v>
      </c>
      <c r="N1163" t="s">
        <v>42</v>
      </c>
      <c r="O1163" t="s">
        <v>33</v>
      </c>
      <c r="Q1163">
        <v>125.08</v>
      </c>
      <c r="R1163">
        <v>2.9</v>
      </c>
      <c r="S1163" t="s">
        <v>106</v>
      </c>
      <c r="T1163">
        <v>50.6</v>
      </c>
      <c r="V1163">
        <v>100.2</v>
      </c>
      <c r="W1163">
        <v>77</v>
      </c>
      <c r="X1163">
        <v>9.4</v>
      </c>
      <c r="Y1163">
        <v>59.2</v>
      </c>
      <c r="Z1163">
        <v>1397715000</v>
      </c>
      <c r="AA1163">
        <v>35.861660000000001</v>
      </c>
      <c r="AB1163">
        <v>104.195397</v>
      </c>
    </row>
    <row r="1164" spans="1:28" hidden="1">
      <c r="A1164">
        <v>1104</v>
      </c>
      <c r="B1164">
        <v>2700</v>
      </c>
      <c r="C1164" t="s">
        <v>288</v>
      </c>
      <c r="D1164" t="s">
        <v>2493</v>
      </c>
      <c r="E1164">
        <v>59</v>
      </c>
      <c r="G1164" t="s">
        <v>103</v>
      </c>
      <c r="H1164" t="s">
        <v>521</v>
      </c>
      <c r="I1164" t="s">
        <v>418</v>
      </c>
      <c r="J1164" t="s">
        <v>288</v>
      </c>
      <c r="K1164" t="s">
        <v>103</v>
      </c>
      <c r="M1164" t="b">
        <v>1</v>
      </c>
      <c r="N1164" t="s">
        <v>192</v>
      </c>
      <c r="O1164" t="s">
        <v>33</v>
      </c>
      <c r="Q1164">
        <v>125.08</v>
      </c>
      <c r="R1164">
        <v>2.9</v>
      </c>
      <c r="S1164" t="s">
        <v>106</v>
      </c>
      <c r="T1164">
        <v>50.6</v>
      </c>
      <c r="V1164">
        <v>100.2</v>
      </c>
      <c r="W1164">
        <v>77</v>
      </c>
      <c r="X1164">
        <v>9.4</v>
      </c>
      <c r="Y1164">
        <v>59.2</v>
      </c>
      <c r="Z1164">
        <v>1397715000</v>
      </c>
      <c r="AA1164">
        <v>35.861660000000001</v>
      </c>
      <c r="AB1164">
        <v>104.195397</v>
      </c>
    </row>
    <row r="1165" spans="1:28" hidden="1">
      <c r="A1165">
        <v>1164</v>
      </c>
      <c r="B1165">
        <v>2600</v>
      </c>
      <c r="C1165" t="s">
        <v>221</v>
      </c>
      <c r="D1165" t="s">
        <v>2494</v>
      </c>
      <c r="E1165">
        <v>53</v>
      </c>
      <c r="G1165" t="s">
        <v>38</v>
      </c>
      <c r="H1165" t="s">
        <v>65</v>
      </c>
      <c r="I1165" t="s">
        <v>223</v>
      </c>
      <c r="J1165" t="s">
        <v>221</v>
      </c>
      <c r="K1165" t="s">
        <v>38</v>
      </c>
      <c r="M1165" t="b">
        <v>1</v>
      </c>
      <c r="N1165" t="s">
        <v>42</v>
      </c>
      <c r="O1165" t="s">
        <v>33</v>
      </c>
      <c r="Q1165">
        <v>117.24</v>
      </c>
      <c r="R1165">
        <v>7.5</v>
      </c>
      <c r="S1165" t="s">
        <v>44</v>
      </c>
      <c r="T1165">
        <v>88.2</v>
      </c>
      <c r="V1165">
        <v>101.8</v>
      </c>
      <c r="W1165">
        <v>78.5</v>
      </c>
      <c r="X1165">
        <v>9.6</v>
      </c>
      <c r="Y1165">
        <v>36.6</v>
      </c>
      <c r="Z1165">
        <v>328239523</v>
      </c>
      <c r="AA1165">
        <v>37.090240000000001</v>
      </c>
      <c r="AB1165">
        <v>-95.712890999999999</v>
      </c>
    </row>
    <row r="1166" spans="1:28" hidden="1">
      <c r="A1166">
        <v>1164</v>
      </c>
      <c r="B1166">
        <v>2600</v>
      </c>
      <c r="C1166" t="s">
        <v>54</v>
      </c>
      <c r="D1166" t="s">
        <v>2495</v>
      </c>
      <c r="E1166">
        <v>54</v>
      </c>
      <c r="G1166" t="s">
        <v>38</v>
      </c>
      <c r="H1166" t="s">
        <v>65</v>
      </c>
      <c r="I1166" t="s">
        <v>2465</v>
      </c>
      <c r="J1166" t="s">
        <v>54</v>
      </c>
      <c r="K1166" t="s">
        <v>38</v>
      </c>
      <c r="M1166" t="b">
        <v>1</v>
      </c>
      <c r="N1166" t="s">
        <v>42</v>
      </c>
      <c r="O1166" t="s">
        <v>33</v>
      </c>
      <c r="Q1166">
        <v>117.24</v>
      </c>
      <c r="R1166">
        <v>7.5</v>
      </c>
      <c r="S1166" t="s">
        <v>44</v>
      </c>
      <c r="T1166">
        <v>88.2</v>
      </c>
      <c r="V1166">
        <v>101.8</v>
      </c>
      <c r="W1166">
        <v>78.5</v>
      </c>
      <c r="X1166">
        <v>9.6</v>
      </c>
      <c r="Y1166">
        <v>36.6</v>
      </c>
      <c r="Z1166">
        <v>328239523</v>
      </c>
      <c r="AA1166">
        <v>37.090240000000001</v>
      </c>
      <c r="AB1166">
        <v>-95.712890999999999</v>
      </c>
    </row>
    <row r="1167" spans="1:28" hidden="1">
      <c r="A1167">
        <v>1164</v>
      </c>
      <c r="B1167">
        <v>2600</v>
      </c>
      <c r="C1167" t="s">
        <v>54</v>
      </c>
      <c r="D1167" t="s">
        <v>2496</v>
      </c>
      <c r="E1167">
        <v>56</v>
      </c>
      <c r="G1167" t="s">
        <v>38</v>
      </c>
      <c r="H1167" t="s">
        <v>65</v>
      </c>
      <c r="I1167" t="s">
        <v>1904</v>
      </c>
      <c r="J1167" t="s">
        <v>54</v>
      </c>
      <c r="K1167" t="s">
        <v>38</v>
      </c>
      <c r="M1167" t="b">
        <v>1</v>
      </c>
      <c r="N1167" t="s">
        <v>42</v>
      </c>
      <c r="O1167" t="s">
        <v>33</v>
      </c>
      <c r="Q1167">
        <v>117.24</v>
      </c>
      <c r="R1167">
        <v>7.5</v>
      </c>
      <c r="S1167" t="s">
        <v>44</v>
      </c>
      <c r="T1167">
        <v>88.2</v>
      </c>
      <c r="V1167">
        <v>101.8</v>
      </c>
      <c r="W1167">
        <v>78.5</v>
      </c>
      <c r="X1167">
        <v>9.6</v>
      </c>
      <c r="Y1167">
        <v>36.6</v>
      </c>
      <c r="Z1167">
        <v>328239523</v>
      </c>
      <c r="AA1167">
        <v>37.090240000000001</v>
      </c>
      <c r="AB1167">
        <v>-95.712890999999999</v>
      </c>
    </row>
    <row r="1168" spans="1:28" hidden="1">
      <c r="A1168">
        <v>1164</v>
      </c>
      <c r="B1168">
        <v>2600</v>
      </c>
      <c r="C1168" t="s">
        <v>63</v>
      </c>
      <c r="D1168" t="s">
        <v>2497</v>
      </c>
      <c r="E1168">
        <v>60</v>
      </c>
      <c r="G1168" t="s">
        <v>38</v>
      </c>
      <c r="H1168" t="s">
        <v>652</v>
      </c>
      <c r="I1168" t="s">
        <v>245</v>
      </c>
      <c r="J1168" t="s">
        <v>63</v>
      </c>
      <c r="K1168" t="s">
        <v>38</v>
      </c>
      <c r="M1168" t="b">
        <v>1</v>
      </c>
      <c r="N1168" t="s">
        <v>32</v>
      </c>
      <c r="O1168" t="s">
        <v>33</v>
      </c>
      <c r="Q1168">
        <v>117.24</v>
      </c>
      <c r="R1168">
        <v>7.5</v>
      </c>
      <c r="S1168" t="s">
        <v>44</v>
      </c>
      <c r="T1168">
        <v>88.2</v>
      </c>
      <c r="V1168">
        <v>101.8</v>
      </c>
      <c r="W1168">
        <v>78.5</v>
      </c>
      <c r="X1168">
        <v>9.6</v>
      </c>
      <c r="Y1168">
        <v>36.6</v>
      </c>
      <c r="Z1168">
        <v>328239523</v>
      </c>
      <c r="AA1168">
        <v>37.090240000000001</v>
      </c>
      <c r="AB1168">
        <v>-95.712890999999999</v>
      </c>
    </row>
    <row r="1169" spans="1:28" hidden="1">
      <c r="A1169">
        <v>1164</v>
      </c>
      <c r="B1169">
        <v>2600</v>
      </c>
      <c r="C1169" t="s">
        <v>101</v>
      </c>
      <c r="D1169" t="s">
        <v>2498</v>
      </c>
      <c r="E1169">
        <v>51</v>
      </c>
      <c r="G1169" t="s">
        <v>384</v>
      </c>
      <c r="H1169" t="s">
        <v>562</v>
      </c>
      <c r="I1169" t="s">
        <v>2499</v>
      </c>
      <c r="J1169" t="s">
        <v>101</v>
      </c>
      <c r="K1169" t="s">
        <v>384</v>
      </c>
      <c r="M1169" t="b">
        <v>0</v>
      </c>
      <c r="N1169" t="s">
        <v>42</v>
      </c>
      <c r="O1169" t="s">
        <v>33</v>
      </c>
      <c r="Q1169">
        <v>167.4</v>
      </c>
      <c r="R1169">
        <v>3.7</v>
      </c>
      <c r="S1169" t="s">
        <v>563</v>
      </c>
      <c r="T1169">
        <v>51.3</v>
      </c>
      <c r="V1169">
        <v>115.4</v>
      </c>
      <c r="W1169">
        <v>75.7</v>
      </c>
      <c r="X1169">
        <v>14.2</v>
      </c>
      <c r="Y1169">
        <v>65.099999999999994</v>
      </c>
      <c r="Z1169">
        <v>212559417</v>
      </c>
      <c r="AA1169">
        <v>-14.235004</v>
      </c>
      <c r="AB1169">
        <v>-51.925280000000001</v>
      </c>
    </row>
    <row r="1170" spans="1:28" hidden="1">
      <c r="A1170">
        <v>1164</v>
      </c>
      <c r="B1170">
        <v>2600</v>
      </c>
      <c r="C1170" t="s">
        <v>101</v>
      </c>
      <c r="D1170" t="s">
        <v>2500</v>
      </c>
      <c r="E1170">
        <v>50</v>
      </c>
      <c r="G1170" t="s">
        <v>384</v>
      </c>
      <c r="H1170" t="s">
        <v>562</v>
      </c>
      <c r="I1170" t="s">
        <v>2501</v>
      </c>
      <c r="J1170" t="s">
        <v>101</v>
      </c>
      <c r="K1170" t="s">
        <v>384</v>
      </c>
      <c r="M1170" t="b">
        <v>0</v>
      </c>
      <c r="N1170" t="s">
        <v>42</v>
      </c>
      <c r="O1170" t="s">
        <v>33</v>
      </c>
      <c r="Q1170">
        <v>167.4</v>
      </c>
      <c r="R1170">
        <v>3.7</v>
      </c>
      <c r="S1170" t="s">
        <v>563</v>
      </c>
      <c r="T1170">
        <v>51.3</v>
      </c>
      <c r="V1170">
        <v>115.4</v>
      </c>
      <c r="W1170">
        <v>75.7</v>
      </c>
      <c r="X1170">
        <v>14.2</v>
      </c>
      <c r="Y1170">
        <v>65.099999999999994</v>
      </c>
      <c r="Z1170">
        <v>212559417</v>
      </c>
      <c r="AA1170">
        <v>-14.235004</v>
      </c>
      <c r="AB1170">
        <v>-51.925280000000001</v>
      </c>
    </row>
    <row r="1171" spans="1:28" hidden="1">
      <c r="A1171">
        <v>1164</v>
      </c>
      <c r="B1171">
        <v>2600</v>
      </c>
      <c r="C1171" t="s">
        <v>63</v>
      </c>
      <c r="D1171" t="s">
        <v>2502</v>
      </c>
      <c r="E1171">
        <v>46</v>
      </c>
      <c r="G1171" t="s">
        <v>148</v>
      </c>
      <c r="H1171" t="s">
        <v>683</v>
      </c>
      <c r="I1171" t="s">
        <v>2503</v>
      </c>
      <c r="J1171" t="s">
        <v>63</v>
      </c>
      <c r="K1171" t="s">
        <v>148</v>
      </c>
      <c r="M1171" t="b">
        <v>0</v>
      </c>
      <c r="N1171" t="s">
        <v>42</v>
      </c>
      <c r="O1171" t="s">
        <v>88</v>
      </c>
      <c r="Q1171">
        <v>112.85</v>
      </c>
      <c r="R1171">
        <v>1.4</v>
      </c>
      <c r="S1171" t="s">
        <v>151</v>
      </c>
      <c r="T1171">
        <v>70.2</v>
      </c>
      <c r="V1171">
        <v>104</v>
      </c>
      <c r="W1171">
        <v>80.900000000000006</v>
      </c>
      <c r="X1171">
        <v>11.5</v>
      </c>
      <c r="Y1171">
        <v>48.8</v>
      </c>
      <c r="Z1171">
        <v>83132799</v>
      </c>
      <c r="AA1171">
        <v>51.165691000000002</v>
      </c>
      <c r="AB1171">
        <v>10.451525999999999</v>
      </c>
    </row>
    <row r="1172" spans="1:28" hidden="1">
      <c r="A1172">
        <v>1164</v>
      </c>
      <c r="B1172">
        <v>2600</v>
      </c>
      <c r="C1172" t="s">
        <v>217</v>
      </c>
      <c r="D1172" t="s">
        <v>2504</v>
      </c>
      <c r="E1172">
        <v>48</v>
      </c>
      <c r="G1172" t="s">
        <v>156</v>
      </c>
      <c r="H1172" t="s">
        <v>2505</v>
      </c>
      <c r="I1172" t="s">
        <v>287</v>
      </c>
      <c r="J1172" t="s">
        <v>217</v>
      </c>
      <c r="K1172" t="s">
        <v>156</v>
      </c>
      <c r="M1172" t="b">
        <v>0</v>
      </c>
      <c r="N1172" t="s">
        <v>42</v>
      </c>
      <c r="O1172" t="s">
        <v>88</v>
      </c>
      <c r="Q1172">
        <v>99.55</v>
      </c>
      <c r="R1172">
        <v>0.4</v>
      </c>
      <c r="S1172" t="s">
        <v>159</v>
      </c>
      <c r="T1172">
        <v>59.6</v>
      </c>
      <c r="V1172">
        <v>105.2</v>
      </c>
      <c r="W1172">
        <v>83.6</v>
      </c>
      <c r="X1172">
        <v>10.1</v>
      </c>
      <c r="Y1172">
        <v>28.8</v>
      </c>
      <c r="Z1172">
        <v>8574832</v>
      </c>
      <c r="AA1172">
        <v>46.818187999999999</v>
      </c>
      <c r="AB1172">
        <v>8.2275120000000008</v>
      </c>
    </row>
    <row r="1173" spans="1:28" hidden="1">
      <c r="A1173">
        <v>1164</v>
      </c>
      <c r="B1173">
        <v>2600</v>
      </c>
      <c r="C1173" t="s">
        <v>288</v>
      </c>
      <c r="D1173" t="s">
        <v>2506</v>
      </c>
      <c r="E1173">
        <v>58</v>
      </c>
      <c r="G1173" t="s">
        <v>103</v>
      </c>
      <c r="H1173" t="s">
        <v>623</v>
      </c>
      <c r="I1173" t="s">
        <v>418</v>
      </c>
      <c r="J1173" t="s">
        <v>288</v>
      </c>
      <c r="K1173" t="s">
        <v>103</v>
      </c>
      <c r="M1173" t="b">
        <v>1</v>
      </c>
      <c r="N1173" t="s">
        <v>32</v>
      </c>
      <c r="O1173" t="s">
        <v>33</v>
      </c>
      <c r="Q1173">
        <v>125.08</v>
      </c>
      <c r="R1173">
        <v>2.9</v>
      </c>
      <c r="S1173" t="s">
        <v>106</v>
      </c>
      <c r="T1173">
        <v>50.6</v>
      </c>
      <c r="V1173">
        <v>100.2</v>
      </c>
      <c r="W1173">
        <v>77</v>
      </c>
      <c r="X1173">
        <v>9.4</v>
      </c>
      <c r="Y1173">
        <v>59.2</v>
      </c>
      <c r="Z1173">
        <v>1397715000</v>
      </c>
      <c r="AA1173">
        <v>35.861660000000001</v>
      </c>
      <c r="AB1173">
        <v>104.195397</v>
      </c>
    </row>
    <row r="1174" spans="1:28" hidden="1">
      <c r="A1174">
        <v>1164</v>
      </c>
      <c r="B1174">
        <v>2600</v>
      </c>
      <c r="C1174" t="s">
        <v>54</v>
      </c>
      <c r="D1174" t="s">
        <v>2507</v>
      </c>
      <c r="E1174">
        <v>64</v>
      </c>
      <c r="G1174" t="s">
        <v>395</v>
      </c>
      <c r="H1174" t="s">
        <v>395</v>
      </c>
      <c r="I1174" t="s">
        <v>231</v>
      </c>
      <c r="J1174" t="s">
        <v>54</v>
      </c>
      <c r="K1174" t="s">
        <v>716</v>
      </c>
      <c r="M1174" t="b">
        <v>0</v>
      </c>
      <c r="N1174" t="s">
        <v>32</v>
      </c>
      <c r="O1174" t="s">
        <v>33</v>
      </c>
      <c r="Q1174">
        <v>114.41</v>
      </c>
      <c r="R1174">
        <v>0.6</v>
      </c>
      <c r="S1174" t="s">
        <v>451</v>
      </c>
      <c r="T1174">
        <v>84.8</v>
      </c>
      <c r="V1174">
        <v>100.6</v>
      </c>
      <c r="W1174">
        <v>83.1</v>
      </c>
      <c r="X1174">
        <v>13.1</v>
      </c>
      <c r="Y1174">
        <v>21</v>
      </c>
      <c r="Z1174">
        <v>5703569</v>
      </c>
      <c r="AA1174">
        <v>1.3520829999999999</v>
      </c>
      <c r="AB1174">
        <v>103.819836</v>
      </c>
    </row>
    <row r="1175" spans="1:28" hidden="1">
      <c r="A1175">
        <v>1164</v>
      </c>
      <c r="B1175">
        <v>2600</v>
      </c>
      <c r="C1175" t="s">
        <v>217</v>
      </c>
      <c r="D1175" t="s">
        <v>2508</v>
      </c>
      <c r="E1175">
        <v>47</v>
      </c>
      <c r="G1175" t="s">
        <v>103</v>
      </c>
      <c r="H1175" t="s">
        <v>176</v>
      </c>
      <c r="I1175" t="s">
        <v>2509</v>
      </c>
      <c r="J1175" t="s">
        <v>217</v>
      </c>
      <c r="K1175" t="s">
        <v>103</v>
      </c>
      <c r="M1175" t="b">
        <v>1</v>
      </c>
      <c r="N1175" t="s">
        <v>42</v>
      </c>
      <c r="O1175" t="s">
        <v>33</v>
      </c>
      <c r="Q1175">
        <v>125.08</v>
      </c>
      <c r="R1175">
        <v>2.9</v>
      </c>
      <c r="S1175" t="s">
        <v>106</v>
      </c>
      <c r="T1175">
        <v>50.6</v>
      </c>
      <c r="V1175">
        <v>100.2</v>
      </c>
      <c r="W1175">
        <v>77</v>
      </c>
      <c r="X1175">
        <v>9.4</v>
      </c>
      <c r="Y1175">
        <v>59.2</v>
      </c>
      <c r="Z1175">
        <v>1397715000</v>
      </c>
      <c r="AA1175">
        <v>35.861660000000001</v>
      </c>
      <c r="AB1175">
        <v>104.195397</v>
      </c>
    </row>
    <row r="1176" spans="1:28" hidden="1">
      <c r="A1176">
        <v>1164</v>
      </c>
      <c r="B1176">
        <v>2600</v>
      </c>
      <c r="C1176" t="s">
        <v>308</v>
      </c>
      <c r="D1176" t="s">
        <v>2510</v>
      </c>
      <c r="E1176">
        <v>71</v>
      </c>
      <c r="G1176" t="s">
        <v>70</v>
      </c>
      <c r="H1176" t="s">
        <v>71</v>
      </c>
      <c r="I1176" t="s">
        <v>2511</v>
      </c>
      <c r="J1176" t="s">
        <v>308</v>
      </c>
      <c r="K1176" t="s">
        <v>70</v>
      </c>
      <c r="M1176" t="b">
        <v>1</v>
      </c>
      <c r="N1176" t="s">
        <v>32</v>
      </c>
      <c r="O1176" t="s">
        <v>33</v>
      </c>
      <c r="Q1176">
        <v>141.54</v>
      </c>
      <c r="R1176">
        <v>3.6</v>
      </c>
      <c r="S1176" t="s">
        <v>74</v>
      </c>
      <c r="T1176">
        <v>40.200000000000003</v>
      </c>
      <c r="V1176">
        <v>105.8</v>
      </c>
      <c r="W1176">
        <v>75</v>
      </c>
      <c r="X1176">
        <v>13.1</v>
      </c>
      <c r="Y1176">
        <v>55.1</v>
      </c>
      <c r="Z1176">
        <v>126014024</v>
      </c>
      <c r="AA1176">
        <v>23.634501</v>
      </c>
      <c r="AB1176">
        <v>-102.552784</v>
      </c>
    </row>
    <row r="1177" spans="1:28" hidden="1">
      <c r="A1177">
        <v>1164</v>
      </c>
      <c r="B1177">
        <v>2600</v>
      </c>
      <c r="C1177" t="s">
        <v>250</v>
      </c>
      <c r="D1177" t="s">
        <v>2512</v>
      </c>
      <c r="E1177">
        <v>81</v>
      </c>
      <c r="G1177" t="s">
        <v>38</v>
      </c>
      <c r="H1177" t="s">
        <v>480</v>
      </c>
      <c r="I1177" t="s">
        <v>906</v>
      </c>
      <c r="J1177" t="s">
        <v>250</v>
      </c>
      <c r="K1177" t="s">
        <v>38</v>
      </c>
      <c r="M1177" t="b">
        <v>1</v>
      </c>
      <c r="N1177" t="s">
        <v>32</v>
      </c>
      <c r="O1177" t="s">
        <v>33</v>
      </c>
      <c r="Q1177">
        <v>117.24</v>
      </c>
      <c r="R1177">
        <v>7.5</v>
      </c>
      <c r="S1177" t="s">
        <v>44</v>
      </c>
      <c r="T1177">
        <v>88.2</v>
      </c>
      <c r="V1177">
        <v>101.8</v>
      </c>
      <c r="W1177">
        <v>78.5</v>
      </c>
      <c r="X1177">
        <v>9.6</v>
      </c>
      <c r="Y1177">
        <v>36.6</v>
      </c>
      <c r="Z1177">
        <v>328239523</v>
      </c>
      <c r="AA1177">
        <v>37.090240000000001</v>
      </c>
      <c r="AB1177">
        <v>-95.712890999999999</v>
      </c>
    </row>
    <row r="1178" spans="1:28" hidden="1">
      <c r="A1178">
        <v>1164</v>
      </c>
      <c r="B1178">
        <v>2600</v>
      </c>
      <c r="C1178" t="s">
        <v>469</v>
      </c>
      <c r="D1178" t="s">
        <v>2513</v>
      </c>
      <c r="E1178">
        <v>67</v>
      </c>
      <c r="G1178" t="s">
        <v>95</v>
      </c>
      <c r="H1178" t="s">
        <v>1527</v>
      </c>
      <c r="I1178" t="s">
        <v>1528</v>
      </c>
      <c r="J1178" t="s">
        <v>469</v>
      </c>
      <c r="K1178" t="s">
        <v>95</v>
      </c>
      <c r="M1178" t="b">
        <v>0</v>
      </c>
      <c r="N1178" t="s">
        <v>32</v>
      </c>
      <c r="O1178" t="s">
        <v>88</v>
      </c>
      <c r="Q1178">
        <v>110.96</v>
      </c>
      <c r="R1178">
        <v>0.7</v>
      </c>
      <c r="S1178" t="s">
        <v>98</v>
      </c>
      <c r="T1178">
        <v>88.9</v>
      </c>
      <c r="V1178">
        <v>102.7</v>
      </c>
      <c r="W1178">
        <v>83.3</v>
      </c>
      <c r="X1178">
        <v>14.2</v>
      </c>
      <c r="Y1178">
        <v>47</v>
      </c>
      <c r="Z1178">
        <v>47076781</v>
      </c>
      <c r="AA1178">
        <v>40.463667000000001</v>
      </c>
      <c r="AB1178">
        <v>-3.7492200000000002</v>
      </c>
    </row>
    <row r="1179" spans="1:28" hidden="1">
      <c r="A1179">
        <v>1164</v>
      </c>
      <c r="B1179">
        <v>2600</v>
      </c>
      <c r="C1179" t="s">
        <v>217</v>
      </c>
      <c r="D1179" t="s">
        <v>2514</v>
      </c>
      <c r="E1179">
        <v>54</v>
      </c>
      <c r="G1179" t="s">
        <v>103</v>
      </c>
      <c r="H1179" t="s">
        <v>463</v>
      </c>
      <c r="I1179" t="s">
        <v>2515</v>
      </c>
      <c r="J1179" t="s">
        <v>217</v>
      </c>
      <c r="K1179" t="s">
        <v>103</v>
      </c>
      <c r="M1179" t="b">
        <v>1</v>
      </c>
      <c r="N1179" t="s">
        <v>42</v>
      </c>
      <c r="O1179" t="s">
        <v>33</v>
      </c>
      <c r="Q1179">
        <v>125.08</v>
      </c>
      <c r="R1179">
        <v>2.9</v>
      </c>
      <c r="S1179" t="s">
        <v>106</v>
      </c>
      <c r="T1179">
        <v>50.6</v>
      </c>
      <c r="V1179">
        <v>100.2</v>
      </c>
      <c r="W1179">
        <v>77</v>
      </c>
      <c r="X1179">
        <v>9.4</v>
      </c>
      <c r="Y1179">
        <v>59.2</v>
      </c>
      <c r="Z1179">
        <v>1397715000</v>
      </c>
      <c r="AA1179">
        <v>35.861660000000001</v>
      </c>
      <c r="AB1179">
        <v>104.195397</v>
      </c>
    </row>
    <row r="1180" spans="1:28" hidden="1">
      <c r="A1180">
        <v>1164</v>
      </c>
      <c r="B1180">
        <v>2600</v>
      </c>
      <c r="C1180" t="s">
        <v>101</v>
      </c>
      <c r="D1180" t="s">
        <v>2516</v>
      </c>
      <c r="E1180">
        <v>79</v>
      </c>
      <c r="G1180" t="s">
        <v>945</v>
      </c>
      <c r="H1180" t="s">
        <v>2451</v>
      </c>
      <c r="I1180" t="s">
        <v>1648</v>
      </c>
      <c r="J1180" t="s">
        <v>101</v>
      </c>
      <c r="K1180" t="s">
        <v>945</v>
      </c>
      <c r="M1180" t="b">
        <v>0</v>
      </c>
      <c r="N1180" t="s">
        <v>42</v>
      </c>
      <c r="O1180" t="s">
        <v>33</v>
      </c>
    </row>
    <row r="1181" spans="1:28" hidden="1">
      <c r="A1181">
        <v>1164</v>
      </c>
      <c r="B1181">
        <v>2600</v>
      </c>
      <c r="C1181" t="s">
        <v>75</v>
      </c>
      <c r="D1181" t="s">
        <v>2517</v>
      </c>
      <c r="E1181">
        <v>61</v>
      </c>
      <c r="G1181" t="s">
        <v>397</v>
      </c>
      <c r="H1181" t="s">
        <v>398</v>
      </c>
      <c r="I1181" t="s">
        <v>231</v>
      </c>
      <c r="J1181" t="s">
        <v>75</v>
      </c>
      <c r="K1181" t="s">
        <v>397</v>
      </c>
      <c r="M1181" t="b">
        <v>0</v>
      </c>
      <c r="N1181" t="s">
        <v>42</v>
      </c>
      <c r="O1181" t="s">
        <v>33</v>
      </c>
      <c r="Q1181">
        <v>110.51</v>
      </c>
      <c r="R1181">
        <v>1.8</v>
      </c>
      <c r="S1181" t="s">
        <v>401</v>
      </c>
      <c r="T1181">
        <v>67</v>
      </c>
      <c r="V1181">
        <v>126.6</v>
      </c>
      <c r="W1181">
        <v>82.5</v>
      </c>
      <c r="X1181">
        <v>27.9</v>
      </c>
      <c r="Y1181">
        <v>49.1</v>
      </c>
      <c r="Z1181">
        <v>10285453</v>
      </c>
      <c r="AA1181">
        <v>60.128160999999999</v>
      </c>
      <c r="AB1181">
        <v>18.643501000000001</v>
      </c>
    </row>
    <row r="1182" spans="1:28" hidden="1">
      <c r="A1182">
        <v>1164</v>
      </c>
      <c r="B1182">
        <v>2600</v>
      </c>
      <c r="C1182" t="s">
        <v>75</v>
      </c>
      <c r="D1182" t="s">
        <v>2518</v>
      </c>
      <c r="E1182">
        <v>54</v>
      </c>
      <c r="G1182" t="s">
        <v>397</v>
      </c>
      <c r="H1182" t="s">
        <v>398</v>
      </c>
      <c r="I1182" t="s">
        <v>231</v>
      </c>
      <c r="J1182" t="s">
        <v>75</v>
      </c>
      <c r="K1182" t="s">
        <v>397</v>
      </c>
      <c r="M1182" t="b">
        <v>0</v>
      </c>
      <c r="N1182" t="s">
        <v>42</v>
      </c>
      <c r="O1182" t="s">
        <v>33</v>
      </c>
      <c r="Q1182">
        <v>110.51</v>
      </c>
      <c r="R1182">
        <v>1.8</v>
      </c>
      <c r="S1182" t="s">
        <v>401</v>
      </c>
      <c r="T1182">
        <v>67</v>
      </c>
      <c r="V1182">
        <v>126.6</v>
      </c>
      <c r="W1182">
        <v>82.5</v>
      </c>
      <c r="X1182">
        <v>27.9</v>
      </c>
      <c r="Y1182">
        <v>49.1</v>
      </c>
      <c r="Z1182">
        <v>10285453</v>
      </c>
      <c r="AA1182">
        <v>60.128160999999999</v>
      </c>
      <c r="AB1182">
        <v>18.643501000000001</v>
      </c>
    </row>
    <row r="1183" spans="1:28" hidden="1">
      <c r="A1183">
        <v>1164</v>
      </c>
      <c r="B1183">
        <v>2600</v>
      </c>
      <c r="C1183" t="s">
        <v>217</v>
      </c>
      <c r="D1183" t="s">
        <v>2519</v>
      </c>
      <c r="E1183">
        <v>58</v>
      </c>
      <c r="G1183" t="s">
        <v>238</v>
      </c>
      <c r="H1183" t="s">
        <v>534</v>
      </c>
      <c r="I1183" t="s">
        <v>217</v>
      </c>
      <c r="J1183" t="s">
        <v>217</v>
      </c>
      <c r="K1183" t="s">
        <v>238</v>
      </c>
      <c r="M1183" t="b">
        <v>0</v>
      </c>
      <c r="N1183" t="s">
        <v>42</v>
      </c>
      <c r="O1183" t="s">
        <v>88</v>
      </c>
      <c r="Q1183">
        <v>119.8</v>
      </c>
      <c r="R1183">
        <v>1.6</v>
      </c>
      <c r="S1183" t="s">
        <v>243</v>
      </c>
      <c r="T1183">
        <v>113.1</v>
      </c>
      <c r="V1183">
        <v>100.3</v>
      </c>
      <c r="W1183">
        <v>82.7</v>
      </c>
      <c r="X1183">
        <v>23</v>
      </c>
      <c r="Y1183">
        <v>47.4</v>
      </c>
      <c r="Z1183">
        <v>25766605</v>
      </c>
      <c r="AA1183">
        <v>-25.274398000000001</v>
      </c>
      <c r="AB1183">
        <v>133.775136</v>
      </c>
    </row>
    <row r="1184" spans="1:28" hidden="1">
      <c r="A1184">
        <v>1164</v>
      </c>
      <c r="B1184">
        <v>2600</v>
      </c>
      <c r="C1184" t="s">
        <v>54</v>
      </c>
      <c r="D1184" t="s">
        <v>2520</v>
      </c>
      <c r="E1184">
        <v>85</v>
      </c>
      <c r="G1184" t="s">
        <v>38</v>
      </c>
      <c r="H1184" t="s">
        <v>1394</v>
      </c>
      <c r="I1184" t="s">
        <v>57</v>
      </c>
      <c r="J1184" t="s">
        <v>54</v>
      </c>
      <c r="K1184" t="s">
        <v>38</v>
      </c>
      <c r="M1184" t="b">
        <v>1</v>
      </c>
      <c r="N1184" t="s">
        <v>42</v>
      </c>
      <c r="O1184" t="s">
        <v>33</v>
      </c>
      <c r="Q1184">
        <v>117.24</v>
      </c>
      <c r="R1184">
        <v>7.5</v>
      </c>
      <c r="S1184" t="s">
        <v>44</v>
      </c>
      <c r="T1184">
        <v>88.2</v>
      </c>
      <c r="V1184">
        <v>101.8</v>
      </c>
      <c r="W1184">
        <v>78.5</v>
      </c>
      <c r="X1184">
        <v>9.6</v>
      </c>
      <c r="Y1184">
        <v>36.6</v>
      </c>
      <c r="Z1184">
        <v>328239523</v>
      </c>
      <c r="AA1184">
        <v>37.090240000000001</v>
      </c>
      <c r="AB1184">
        <v>-95.712890999999999</v>
      </c>
    </row>
    <row r="1185" spans="1:28" hidden="1">
      <c r="A1185">
        <v>1164</v>
      </c>
      <c r="B1185">
        <v>2600</v>
      </c>
      <c r="C1185" t="s">
        <v>288</v>
      </c>
      <c r="D1185" t="s">
        <v>2521</v>
      </c>
      <c r="E1185">
        <v>58</v>
      </c>
      <c r="G1185" t="s">
        <v>103</v>
      </c>
      <c r="H1185" t="s">
        <v>104</v>
      </c>
      <c r="I1185" t="s">
        <v>2158</v>
      </c>
      <c r="J1185" t="s">
        <v>288</v>
      </c>
      <c r="K1185" t="s">
        <v>103</v>
      </c>
      <c r="M1185" t="b">
        <v>1</v>
      </c>
      <c r="N1185" t="s">
        <v>32</v>
      </c>
      <c r="O1185" t="s">
        <v>33</v>
      </c>
      <c r="Q1185">
        <v>125.08</v>
      </c>
      <c r="R1185">
        <v>2.9</v>
      </c>
      <c r="S1185" t="s">
        <v>106</v>
      </c>
      <c r="T1185">
        <v>50.6</v>
      </c>
      <c r="V1185">
        <v>100.2</v>
      </c>
      <c r="W1185">
        <v>77</v>
      </c>
      <c r="X1185">
        <v>9.4</v>
      </c>
      <c r="Y1185">
        <v>59.2</v>
      </c>
      <c r="Z1185">
        <v>1397715000</v>
      </c>
      <c r="AA1185">
        <v>35.861660000000001</v>
      </c>
      <c r="AB1185">
        <v>104.195397</v>
      </c>
    </row>
    <row r="1186" spans="1:28" hidden="1">
      <c r="A1186">
        <v>1164</v>
      </c>
      <c r="B1186">
        <v>2600</v>
      </c>
      <c r="C1186" t="s">
        <v>469</v>
      </c>
      <c r="D1186" t="s">
        <v>2522</v>
      </c>
      <c r="E1186">
        <v>75</v>
      </c>
      <c r="G1186" t="s">
        <v>103</v>
      </c>
      <c r="H1186" t="s">
        <v>2523</v>
      </c>
      <c r="I1186" t="s">
        <v>1528</v>
      </c>
      <c r="J1186" t="s">
        <v>469</v>
      </c>
      <c r="K1186" t="s">
        <v>103</v>
      </c>
      <c r="M1186" t="b">
        <v>1</v>
      </c>
      <c r="N1186" t="s">
        <v>42</v>
      </c>
      <c r="O1186" t="s">
        <v>33</v>
      </c>
      <c r="Q1186">
        <v>125.08</v>
      </c>
      <c r="R1186">
        <v>2.9</v>
      </c>
      <c r="S1186" t="s">
        <v>106</v>
      </c>
      <c r="T1186">
        <v>50.6</v>
      </c>
      <c r="V1186">
        <v>100.2</v>
      </c>
      <c r="W1186">
        <v>77</v>
      </c>
      <c r="X1186">
        <v>9.4</v>
      </c>
      <c r="Y1186">
        <v>59.2</v>
      </c>
      <c r="Z1186">
        <v>1397715000</v>
      </c>
      <c r="AA1186">
        <v>35.861660000000001</v>
      </c>
      <c r="AB1186">
        <v>104.195397</v>
      </c>
    </row>
    <row r="1187" spans="1:28" hidden="1">
      <c r="A1187">
        <v>1164</v>
      </c>
      <c r="B1187">
        <v>2600</v>
      </c>
      <c r="C1187" t="s">
        <v>308</v>
      </c>
      <c r="D1187" t="s">
        <v>2524</v>
      </c>
      <c r="E1187">
        <v>54</v>
      </c>
      <c r="G1187" t="s">
        <v>263</v>
      </c>
      <c r="H1187" t="s">
        <v>274</v>
      </c>
      <c r="I1187" t="s">
        <v>2525</v>
      </c>
      <c r="J1187" t="s">
        <v>308</v>
      </c>
      <c r="K1187" t="s">
        <v>263</v>
      </c>
      <c r="M1187" t="b">
        <v>1</v>
      </c>
      <c r="N1187" t="s">
        <v>32</v>
      </c>
      <c r="O1187" t="s">
        <v>33</v>
      </c>
      <c r="Q1187">
        <v>180.75</v>
      </c>
      <c r="R1187">
        <v>4.5</v>
      </c>
      <c r="S1187" t="s">
        <v>276</v>
      </c>
      <c r="T1187">
        <v>81.900000000000006</v>
      </c>
      <c r="V1187">
        <v>102.6</v>
      </c>
      <c r="W1187">
        <v>72.7</v>
      </c>
      <c r="X1187">
        <v>11.4</v>
      </c>
      <c r="Y1187">
        <v>46.2</v>
      </c>
      <c r="Z1187">
        <v>144373535</v>
      </c>
      <c r="AA1187">
        <v>61.524009999999997</v>
      </c>
      <c r="AB1187">
        <v>105.31875599999999</v>
      </c>
    </row>
    <row r="1188" spans="1:28" hidden="1">
      <c r="A1188">
        <v>1164</v>
      </c>
      <c r="B1188">
        <v>2600</v>
      </c>
      <c r="C1188" t="s">
        <v>54</v>
      </c>
      <c r="D1188" t="s">
        <v>2526</v>
      </c>
      <c r="E1188">
        <v>69</v>
      </c>
      <c r="G1188" t="s">
        <v>95</v>
      </c>
      <c r="H1188" t="s">
        <v>1527</v>
      </c>
      <c r="I1188" t="s">
        <v>876</v>
      </c>
      <c r="J1188" t="s">
        <v>54</v>
      </c>
      <c r="K1188" t="s">
        <v>95</v>
      </c>
      <c r="M1188" t="b">
        <v>0</v>
      </c>
      <c r="N1188" t="s">
        <v>42</v>
      </c>
      <c r="O1188" t="s">
        <v>88</v>
      </c>
      <c r="Q1188">
        <v>110.96</v>
      </c>
      <c r="R1188">
        <v>0.7</v>
      </c>
      <c r="S1188" t="s">
        <v>98</v>
      </c>
      <c r="T1188">
        <v>88.9</v>
      </c>
      <c r="V1188">
        <v>102.7</v>
      </c>
      <c r="W1188">
        <v>83.3</v>
      </c>
      <c r="X1188">
        <v>14.2</v>
      </c>
      <c r="Y1188">
        <v>47</v>
      </c>
      <c r="Z1188">
        <v>47076781</v>
      </c>
      <c r="AA1188">
        <v>40.463667000000001</v>
      </c>
      <c r="AB1188">
        <v>-3.7492200000000002</v>
      </c>
    </row>
    <row r="1189" spans="1:28" hidden="1">
      <c r="A1189">
        <v>1164</v>
      </c>
      <c r="B1189">
        <v>2600</v>
      </c>
      <c r="C1189" t="s">
        <v>221</v>
      </c>
      <c r="D1189" t="s">
        <v>2527</v>
      </c>
      <c r="E1189">
        <v>40</v>
      </c>
      <c r="G1189" t="s">
        <v>172</v>
      </c>
      <c r="H1189" t="s">
        <v>172</v>
      </c>
      <c r="I1189" t="s">
        <v>223</v>
      </c>
      <c r="J1189" t="s">
        <v>221</v>
      </c>
      <c r="K1189" t="s">
        <v>172</v>
      </c>
      <c r="M1189" t="b">
        <v>0</v>
      </c>
      <c r="N1189" t="s">
        <v>32</v>
      </c>
      <c r="O1189" t="s">
        <v>33</v>
      </c>
    </row>
    <row r="1190" spans="1:28" hidden="1">
      <c r="A1190">
        <v>1164</v>
      </c>
      <c r="B1190">
        <v>2600</v>
      </c>
      <c r="C1190" t="s">
        <v>54</v>
      </c>
      <c r="D1190" t="s">
        <v>2528</v>
      </c>
      <c r="E1190">
        <v>77</v>
      </c>
      <c r="G1190" t="s">
        <v>38</v>
      </c>
      <c r="H1190" t="s">
        <v>2529</v>
      </c>
      <c r="I1190" t="s">
        <v>185</v>
      </c>
      <c r="J1190" t="s">
        <v>54</v>
      </c>
      <c r="K1190" t="s">
        <v>38</v>
      </c>
      <c r="M1190" t="b">
        <v>1</v>
      </c>
      <c r="N1190" t="s">
        <v>32</v>
      </c>
      <c r="O1190" t="s">
        <v>33</v>
      </c>
      <c r="P1190" t="s">
        <v>468</v>
      </c>
      <c r="Q1190">
        <v>117.24</v>
      </c>
      <c r="R1190">
        <v>7.5</v>
      </c>
      <c r="S1190" t="s">
        <v>44</v>
      </c>
      <c r="T1190">
        <v>88.2</v>
      </c>
      <c r="V1190">
        <v>101.8</v>
      </c>
      <c r="W1190">
        <v>78.5</v>
      </c>
      <c r="X1190">
        <v>9.6</v>
      </c>
      <c r="Y1190">
        <v>36.6</v>
      </c>
      <c r="Z1190">
        <v>328239523</v>
      </c>
      <c r="AA1190">
        <v>37.090240000000001</v>
      </c>
      <c r="AB1190">
        <v>-95.712890999999999</v>
      </c>
    </row>
    <row r="1191" spans="1:28" hidden="1">
      <c r="A1191">
        <v>1164</v>
      </c>
      <c r="B1191">
        <v>2600</v>
      </c>
      <c r="C1191" t="s">
        <v>101</v>
      </c>
      <c r="D1191" t="s">
        <v>2530</v>
      </c>
      <c r="E1191">
        <v>76</v>
      </c>
      <c r="G1191" t="s">
        <v>28</v>
      </c>
      <c r="H1191" t="s">
        <v>29</v>
      </c>
      <c r="I1191" t="s">
        <v>2531</v>
      </c>
      <c r="J1191" t="s">
        <v>101</v>
      </c>
      <c r="K1191" t="s">
        <v>28</v>
      </c>
      <c r="M1191" t="b">
        <v>1</v>
      </c>
      <c r="N1191" t="s">
        <v>32</v>
      </c>
      <c r="O1191" t="s">
        <v>33</v>
      </c>
      <c r="Q1191">
        <v>110.05</v>
      </c>
      <c r="R1191">
        <v>1.1000000000000001</v>
      </c>
      <c r="S1191" t="s">
        <v>35</v>
      </c>
      <c r="T1191">
        <v>65.599999999999994</v>
      </c>
      <c r="V1191">
        <v>102.5</v>
      </c>
      <c r="W1191">
        <v>82.5</v>
      </c>
      <c r="X1191">
        <v>24.2</v>
      </c>
      <c r="Y1191">
        <v>60.7</v>
      </c>
      <c r="Z1191">
        <v>67059887</v>
      </c>
      <c r="AA1191">
        <v>46.227637999999999</v>
      </c>
      <c r="AB1191">
        <v>2.213749</v>
      </c>
    </row>
    <row r="1192" spans="1:28" hidden="1">
      <c r="A1192">
        <v>1164</v>
      </c>
      <c r="B1192">
        <v>2600</v>
      </c>
      <c r="C1192" t="s">
        <v>45</v>
      </c>
      <c r="D1192" t="s">
        <v>2532</v>
      </c>
      <c r="E1192">
        <v>66</v>
      </c>
      <c r="G1192" t="s">
        <v>127</v>
      </c>
      <c r="H1192" t="s">
        <v>128</v>
      </c>
      <c r="I1192" t="s">
        <v>572</v>
      </c>
      <c r="J1192" t="s">
        <v>45</v>
      </c>
      <c r="K1192" t="s">
        <v>127</v>
      </c>
      <c r="M1192" t="b">
        <v>1</v>
      </c>
      <c r="N1192" t="s">
        <v>32</v>
      </c>
      <c r="O1192" t="s">
        <v>33</v>
      </c>
      <c r="Q1192">
        <v>116.76</v>
      </c>
      <c r="R1192">
        <v>1.9</v>
      </c>
      <c r="S1192" t="s">
        <v>132</v>
      </c>
      <c r="T1192">
        <v>68.900000000000006</v>
      </c>
      <c r="V1192">
        <v>100.9</v>
      </c>
      <c r="W1192">
        <v>81.900000000000006</v>
      </c>
      <c r="X1192">
        <v>12.8</v>
      </c>
      <c r="Y1192">
        <v>24.5</v>
      </c>
      <c r="Z1192">
        <v>36991981</v>
      </c>
      <c r="AA1192">
        <v>56.130366000000002</v>
      </c>
      <c r="AB1192">
        <v>-106.346771</v>
      </c>
    </row>
    <row r="1193" spans="1:28" hidden="1">
      <c r="A1193">
        <v>1164</v>
      </c>
      <c r="B1193">
        <v>2600</v>
      </c>
      <c r="C1193" t="s">
        <v>36</v>
      </c>
      <c r="D1193" t="s">
        <v>2533</v>
      </c>
      <c r="E1193">
        <v>59</v>
      </c>
      <c r="G1193" t="s">
        <v>103</v>
      </c>
      <c r="H1193" t="s">
        <v>143</v>
      </c>
      <c r="I1193" t="s">
        <v>2534</v>
      </c>
      <c r="J1193" t="s">
        <v>36</v>
      </c>
      <c r="K1193" t="s">
        <v>103</v>
      </c>
      <c r="M1193" t="b">
        <v>1</v>
      </c>
      <c r="N1193" t="s">
        <v>42</v>
      </c>
      <c r="O1193" t="s">
        <v>33</v>
      </c>
      <c r="Q1193">
        <v>125.08</v>
      </c>
      <c r="R1193">
        <v>2.9</v>
      </c>
      <c r="S1193" t="s">
        <v>106</v>
      </c>
      <c r="T1193">
        <v>50.6</v>
      </c>
      <c r="V1193">
        <v>100.2</v>
      </c>
      <c r="W1193">
        <v>77</v>
      </c>
      <c r="X1193">
        <v>9.4</v>
      </c>
      <c r="Y1193">
        <v>59.2</v>
      </c>
      <c r="Z1193">
        <v>1397715000</v>
      </c>
      <c r="AA1193">
        <v>35.861660000000001</v>
      </c>
      <c r="AB1193">
        <v>104.195397</v>
      </c>
    </row>
    <row r="1194" spans="1:28" hidden="1">
      <c r="A1194">
        <v>1164</v>
      </c>
      <c r="B1194">
        <v>2600</v>
      </c>
      <c r="C1194" t="s">
        <v>308</v>
      </c>
      <c r="D1194" t="s">
        <v>2535</v>
      </c>
      <c r="E1194">
        <v>47</v>
      </c>
      <c r="G1194" t="s">
        <v>103</v>
      </c>
      <c r="H1194" t="s">
        <v>143</v>
      </c>
      <c r="I1194" t="s">
        <v>2155</v>
      </c>
      <c r="J1194" t="s">
        <v>308</v>
      </c>
      <c r="K1194" t="s">
        <v>103</v>
      </c>
      <c r="M1194" t="b">
        <v>1</v>
      </c>
      <c r="N1194" t="s">
        <v>42</v>
      </c>
      <c r="O1194" t="s">
        <v>33</v>
      </c>
      <c r="Q1194">
        <v>125.08</v>
      </c>
      <c r="R1194">
        <v>2.9</v>
      </c>
      <c r="S1194" t="s">
        <v>106</v>
      </c>
      <c r="T1194">
        <v>50.6</v>
      </c>
      <c r="V1194">
        <v>100.2</v>
      </c>
      <c r="W1194">
        <v>77</v>
      </c>
      <c r="X1194">
        <v>9.4</v>
      </c>
      <c r="Y1194">
        <v>59.2</v>
      </c>
      <c r="Z1194">
        <v>1397715000</v>
      </c>
      <c r="AA1194">
        <v>35.861660000000001</v>
      </c>
      <c r="AB1194">
        <v>104.195397</v>
      </c>
    </row>
    <row r="1195" spans="1:28" hidden="1">
      <c r="A1195">
        <v>1164</v>
      </c>
      <c r="B1195">
        <v>2600</v>
      </c>
      <c r="C1195" t="s">
        <v>54</v>
      </c>
      <c r="D1195" t="s">
        <v>2536</v>
      </c>
      <c r="E1195">
        <v>69</v>
      </c>
      <c r="G1195" t="s">
        <v>395</v>
      </c>
      <c r="H1195" t="s">
        <v>395</v>
      </c>
      <c r="I1195" t="s">
        <v>231</v>
      </c>
      <c r="J1195" t="s">
        <v>54</v>
      </c>
      <c r="K1195" t="s">
        <v>395</v>
      </c>
      <c r="M1195" t="b">
        <v>1</v>
      </c>
      <c r="N1195" t="s">
        <v>32</v>
      </c>
      <c r="O1195" t="s">
        <v>33</v>
      </c>
      <c r="Q1195">
        <v>114.41</v>
      </c>
      <c r="R1195">
        <v>0.6</v>
      </c>
      <c r="S1195" t="s">
        <v>451</v>
      </c>
      <c r="T1195">
        <v>84.8</v>
      </c>
      <c r="V1195">
        <v>100.6</v>
      </c>
      <c r="W1195">
        <v>83.1</v>
      </c>
      <c r="X1195">
        <v>13.1</v>
      </c>
      <c r="Y1195">
        <v>21</v>
      </c>
      <c r="Z1195">
        <v>5703569</v>
      </c>
      <c r="AA1195">
        <v>1.3520829999999999</v>
      </c>
      <c r="AB1195">
        <v>103.819836</v>
      </c>
    </row>
    <row r="1196" spans="1:28" hidden="1">
      <c r="A1196">
        <v>1164</v>
      </c>
      <c r="B1196">
        <v>2600</v>
      </c>
      <c r="C1196" t="s">
        <v>75</v>
      </c>
      <c r="D1196" t="s">
        <v>2537</v>
      </c>
      <c r="E1196">
        <v>52</v>
      </c>
      <c r="G1196" t="s">
        <v>103</v>
      </c>
      <c r="H1196" t="s">
        <v>104</v>
      </c>
      <c r="I1196" t="s">
        <v>75</v>
      </c>
      <c r="J1196" t="s">
        <v>75</v>
      </c>
      <c r="K1196" t="s">
        <v>103</v>
      </c>
      <c r="M1196" t="b">
        <v>0</v>
      </c>
      <c r="N1196" t="s">
        <v>42</v>
      </c>
      <c r="O1196" t="s">
        <v>33</v>
      </c>
      <c r="Q1196">
        <v>125.08</v>
      </c>
      <c r="R1196">
        <v>2.9</v>
      </c>
      <c r="S1196" t="s">
        <v>106</v>
      </c>
      <c r="T1196">
        <v>50.6</v>
      </c>
      <c r="V1196">
        <v>100.2</v>
      </c>
      <c r="W1196">
        <v>77</v>
      </c>
      <c r="X1196">
        <v>9.4</v>
      </c>
      <c r="Y1196">
        <v>59.2</v>
      </c>
      <c r="Z1196">
        <v>1397715000</v>
      </c>
      <c r="AA1196">
        <v>35.861660000000001</v>
      </c>
      <c r="AB1196">
        <v>104.195397</v>
      </c>
    </row>
    <row r="1197" spans="1:28" hidden="1">
      <c r="A1197">
        <v>1164</v>
      </c>
      <c r="B1197">
        <v>2600</v>
      </c>
      <c r="C1197" t="s">
        <v>308</v>
      </c>
      <c r="D1197" t="s">
        <v>2538</v>
      </c>
      <c r="E1197">
        <v>95</v>
      </c>
      <c r="G1197" t="s">
        <v>156</v>
      </c>
      <c r="H1197" t="s">
        <v>2539</v>
      </c>
      <c r="I1197" t="s">
        <v>2540</v>
      </c>
      <c r="J1197" t="s">
        <v>308</v>
      </c>
      <c r="K1197" t="s">
        <v>156</v>
      </c>
      <c r="M1197" t="b">
        <v>1</v>
      </c>
      <c r="N1197" t="s">
        <v>42</v>
      </c>
      <c r="O1197" t="s">
        <v>33</v>
      </c>
      <c r="Q1197">
        <v>99.55</v>
      </c>
      <c r="R1197">
        <v>0.4</v>
      </c>
      <c r="S1197" t="s">
        <v>159</v>
      </c>
      <c r="T1197">
        <v>59.6</v>
      </c>
      <c r="V1197">
        <v>105.2</v>
      </c>
      <c r="W1197">
        <v>83.6</v>
      </c>
      <c r="X1197">
        <v>10.1</v>
      </c>
      <c r="Y1197">
        <v>28.8</v>
      </c>
      <c r="Z1197">
        <v>8574832</v>
      </c>
      <c r="AA1197">
        <v>46.818187999999999</v>
      </c>
      <c r="AB1197">
        <v>8.2275120000000008</v>
      </c>
    </row>
    <row r="1198" spans="1:28" hidden="1">
      <c r="A1198">
        <v>1164</v>
      </c>
      <c r="B1198">
        <v>2600</v>
      </c>
      <c r="C1198" t="s">
        <v>54</v>
      </c>
      <c r="D1198" t="s">
        <v>2541</v>
      </c>
      <c r="E1198">
        <v>84</v>
      </c>
      <c r="G1198" t="s">
        <v>438</v>
      </c>
      <c r="H1198" t="s">
        <v>2542</v>
      </c>
      <c r="I1198" t="s">
        <v>2543</v>
      </c>
      <c r="J1198" t="s">
        <v>54</v>
      </c>
      <c r="K1198" t="s">
        <v>438</v>
      </c>
      <c r="M1198" t="b">
        <v>1</v>
      </c>
      <c r="N1198" t="s">
        <v>42</v>
      </c>
      <c r="O1198" t="s">
        <v>33</v>
      </c>
      <c r="Q1198">
        <v>115.91</v>
      </c>
      <c r="R1198">
        <v>2.6</v>
      </c>
      <c r="S1198" t="s">
        <v>1101</v>
      </c>
      <c r="T1198">
        <v>85</v>
      </c>
      <c r="V1198">
        <v>104.2</v>
      </c>
      <c r="W1198">
        <v>81.8</v>
      </c>
      <c r="X1198">
        <v>23</v>
      </c>
      <c r="Y1198">
        <v>41.2</v>
      </c>
      <c r="Z1198">
        <v>17332850</v>
      </c>
      <c r="AA1198">
        <v>52.132632999999998</v>
      </c>
      <c r="AB1198">
        <v>5.2912660000000002</v>
      </c>
    </row>
    <row r="1199" spans="1:28" hidden="1">
      <c r="A1199">
        <v>1164</v>
      </c>
      <c r="B1199">
        <v>2600</v>
      </c>
      <c r="C1199" t="s">
        <v>101</v>
      </c>
      <c r="D1199" t="s">
        <v>2544</v>
      </c>
      <c r="E1199">
        <v>76</v>
      </c>
      <c r="G1199" t="s">
        <v>38</v>
      </c>
      <c r="H1199" t="s">
        <v>257</v>
      </c>
      <c r="I1199" t="s">
        <v>231</v>
      </c>
      <c r="J1199" t="s">
        <v>101</v>
      </c>
      <c r="K1199" t="s">
        <v>38</v>
      </c>
      <c r="M1199" t="b">
        <v>1</v>
      </c>
      <c r="N1199" t="s">
        <v>42</v>
      </c>
      <c r="O1199" t="s">
        <v>33</v>
      </c>
      <c r="Q1199">
        <v>117.24</v>
      </c>
      <c r="R1199">
        <v>7.5</v>
      </c>
      <c r="S1199" t="s">
        <v>44</v>
      </c>
      <c r="T1199">
        <v>88.2</v>
      </c>
      <c r="V1199">
        <v>101.8</v>
      </c>
      <c r="W1199">
        <v>78.5</v>
      </c>
      <c r="X1199">
        <v>9.6</v>
      </c>
      <c r="Y1199">
        <v>36.6</v>
      </c>
      <c r="Z1199">
        <v>328239523</v>
      </c>
      <c r="AA1199">
        <v>37.090240000000001</v>
      </c>
      <c r="AB1199">
        <v>-95.712890999999999</v>
      </c>
    </row>
    <row r="1200" spans="1:28" hidden="1">
      <c r="A1200">
        <v>1164</v>
      </c>
      <c r="B1200">
        <v>2600</v>
      </c>
      <c r="C1200" t="s">
        <v>217</v>
      </c>
      <c r="D1200" t="s">
        <v>2545</v>
      </c>
      <c r="E1200">
        <v>61</v>
      </c>
      <c r="G1200" t="s">
        <v>148</v>
      </c>
      <c r="H1200" t="s">
        <v>2546</v>
      </c>
      <c r="I1200" t="s">
        <v>2547</v>
      </c>
      <c r="J1200" t="s">
        <v>217</v>
      </c>
      <c r="K1200" t="s">
        <v>148</v>
      </c>
      <c r="M1200" t="b">
        <v>0</v>
      </c>
      <c r="N1200" t="s">
        <v>419</v>
      </c>
      <c r="O1200" t="s">
        <v>33</v>
      </c>
      <c r="Q1200">
        <v>112.85</v>
      </c>
      <c r="R1200">
        <v>1.4</v>
      </c>
      <c r="S1200" t="s">
        <v>151</v>
      </c>
      <c r="T1200">
        <v>70.2</v>
      </c>
      <c r="V1200">
        <v>104</v>
      </c>
      <c r="W1200">
        <v>80.900000000000006</v>
      </c>
      <c r="X1200">
        <v>11.5</v>
      </c>
      <c r="Y1200">
        <v>48.8</v>
      </c>
      <c r="Z1200">
        <v>83132799</v>
      </c>
      <c r="AA1200">
        <v>51.165691000000002</v>
      </c>
      <c r="AB1200">
        <v>10.451525999999999</v>
      </c>
    </row>
    <row r="1201" spans="1:28">
      <c r="A1201">
        <v>1164</v>
      </c>
      <c r="B1201">
        <v>2600</v>
      </c>
      <c r="C1201" t="s">
        <v>26</v>
      </c>
      <c r="D1201" t="s">
        <v>2548</v>
      </c>
      <c r="E1201">
        <v>60</v>
      </c>
      <c r="F1201" t="str">
        <f>IF(E1201&gt;=90,"90-100",IF(E1201&gt;=80,"80-90",IF(E1201&gt;=70,"70-80",IF(E1201&gt;=60,"60-70",IF(E1201&gt;=50,"50-60",IF(E1201&gt;=40,"40-50",IF(E1201&gt;=30,"30-40","20-30")))))))</f>
        <v>60-70</v>
      </c>
      <c r="G1201" t="s">
        <v>77</v>
      </c>
      <c r="H1201" t="s">
        <v>78</v>
      </c>
      <c r="I1201" t="s">
        <v>2549</v>
      </c>
      <c r="J1201" t="s">
        <v>26</v>
      </c>
      <c r="K1201" t="s">
        <v>77</v>
      </c>
      <c r="L1201" t="s">
        <v>2550</v>
      </c>
      <c r="M1201" t="b">
        <v>1</v>
      </c>
      <c r="N1201" t="s">
        <v>42</v>
      </c>
      <c r="O1201" t="s">
        <v>4866</v>
      </c>
      <c r="P1201" t="s">
        <v>187</v>
      </c>
      <c r="Q1201">
        <v>180.44</v>
      </c>
      <c r="R1201">
        <v>7.7</v>
      </c>
      <c r="S1201" t="s">
        <v>81</v>
      </c>
      <c r="T1201">
        <v>28.1</v>
      </c>
      <c r="U1201" t="str">
        <f>IF(T1201&gt;=100,"above 100",IF(T1201&gt;=80,"80-100",IF(T1201&gt;=60,"60-80",IF(T1201&gt;=40,"40-60",IF(T1201&gt;=20,"20-60","0-20")))))</f>
        <v>20-60</v>
      </c>
      <c r="V1201">
        <v>113</v>
      </c>
      <c r="W1201">
        <v>69.400000000000006</v>
      </c>
      <c r="X1201">
        <v>11.2</v>
      </c>
      <c r="Y1201">
        <v>49.7</v>
      </c>
      <c r="Z1201">
        <v>1366417754</v>
      </c>
      <c r="AA1201">
        <v>20.593684</v>
      </c>
      <c r="AB1201">
        <v>78.962879999999998</v>
      </c>
    </row>
    <row r="1202" spans="1:28" hidden="1">
      <c r="A1202">
        <v>1164</v>
      </c>
      <c r="B1202">
        <v>2600</v>
      </c>
      <c r="C1202" t="s">
        <v>54</v>
      </c>
      <c r="D1202" t="s">
        <v>2551</v>
      </c>
      <c r="E1202">
        <v>55</v>
      </c>
      <c r="G1202" t="s">
        <v>38</v>
      </c>
      <c r="H1202" t="s">
        <v>635</v>
      </c>
      <c r="I1202" t="s">
        <v>231</v>
      </c>
      <c r="J1202" t="s">
        <v>54</v>
      </c>
      <c r="K1202" t="s">
        <v>238</v>
      </c>
      <c r="M1202" t="b">
        <v>0</v>
      </c>
      <c r="N1202" t="s">
        <v>42</v>
      </c>
      <c r="O1202" t="s">
        <v>33</v>
      </c>
      <c r="Q1202">
        <v>117.24</v>
      </c>
      <c r="R1202">
        <v>7.5</v>
      </c>
      <c r="S1202" t="s">
        <v>44</v>
      </c>
      <c r="T1202">
        <v>88.2</v>
      </c>
      <c r="V1202">
        <v>101.8</v>
      </c>
      <c r="W1202">
        <v>78.5</v>
      </c>
      <c r="X1202">
        <v>9.6</v>
      </c>
      <c r="Y1202">
        <v>36.6</v>
      </c>
      <c r="Z1202">
        <v>328239523</v>
      </c>
      <c r="AA1202">
        <v>37.090240000000001</v>
      </c>
      <c r="AB1202">
        <v>-95.712890999999999</v>
      </c>
    </row>
    <row r="1203" spans="1:28" hidden="1">
      <c r="A1203">
        <v>1164</v>
      </c>
      <c r="B1203">
        <v>2600</v>
      </c>
      <c r="C1203" t="s">
        <v>154</v>
      </c>
      <c r="D1203" t="s">
        <v>2552</v>
      </c>
      <c r="E1203">
        <v>58</v>
      </c>
      <c r="G1203" t="s">
        <v>263</v>
      </c>
      <c r="H1203" t="s">
        <v>274</v>
      </c>
      <c r="I1203" t="s">
        <v>2474</v>
      </c>
      <c r="J1203" t="s">
        <v>154</v>
      </c>
      <c r="K1203" t="s">
        <v>263</v>
      </c>
      <c r="M1203" t="b">
        <v>1</v>
      </c>
      <c r="N1203" t="s">
        <v>32</v>
      </c>
      <c r="O1203" t="s">
        <v>33</v>
      </c>
      <c r="Q1203">
        <v>180.75</v>
      </c>
      <c r="R1203">
        <v>4.5</v>
      </c>
      <c r="S1203" t="s">
        <v>276</v>
      </c>
      <c r="T1203">
        <v>81.900000000000006</v>
      </c>
      <c r="V1203">
        <v>102.6</v>
      </c>
      <c r="W1203">
        <v>72.7</v>
      </c>
      <c r="X1203">
        <v>11.4</v>
      </c>
      <c r="Y1203">
        <v>46.2</v>
      </c>
      <c r="Z1203">
        <v>144373535</v>
      </c>
      <c r="AA1203">
        <v>61.524009999999997</v>
      </c>
      <c r="AB1203">
        <v>105.31875599999999</v>
      </c>
    </row>
    <row r="1204" spans="1:28" hidden="1">
      <c r="A1204">
        <v>1164</v>
      </c>
      <c r="B1204">
        <v>2600</v>
      </c>
      <c r="C1204" t="s">
        <v>54</v>
      </c>
      <c r="D1204" t="s">
        <v>2553</v>
      </c>
      <c r="E1204">
        <v>79</v>
      </c>
      <c r="G1204" t="s">
        <v>38</v>
      </c>
      <c r="H1204" t="s">
        <v>2554</v>
      </c>
      <c r="I1204" t="s">
        <v>1193</v>
      </c>
      <c r="J1204" t="s">
        <v>54</v>
      </c>
      <c r="K1204" t="s">
        <v>38</v>
      </c>
      <c r="M1204" t="b">
        <v>0</v>
      </c>
      <c r="N1204" t="s">
        <v>42</v>
      </c>
      <c r="O1204" t="s">
        <v>33</v>
      </c>
      <c r="Q1204">
        <v>117.24</v>
      </c>
      <c r="R1204">
        <v>7.5</v>
      </c>
      <c r="S1204" t="s">
        <v>44</v>
      </c>
      <c r="T1204">
        <v>88.2</v>
      </c>
      <c r="V1204">
        <v>101.8</v>
      </c>
      <c r="W1204">
        <v>78.5</v>
      </c>
      <c r="X1204">
        <v>9.6</v>
      </c>
      <c r="Y1204">
        <v>36.6</v>
      </c>
      <c r="Z1204">
        <v>328239523</v>
      </c>
      <c r="AA1204">
        <v>37.090240000000001</v>
      </c>
      <c r="AB1204">
        <v>-95.712890999999999</v>
      </c>
    </row>
    <row r="1205" spans="1:28" hidden="1">
      <c r="A1205">
        <v>1164</v>
      </c>
      <c r="B1205">
        <v>2600</v>
      </c>
      <c r="C1205" t="s">
        <v>101</v>
      </c>
      <c r="D1205" t="s">
        <v>2555</v>
      </c>
      <c r="E1205">
        <v>46</v>
      </c>
      <c r="G1205" t="s">
        <v>38</v>
      </c>
      <c r="H1205" t="s">
        <v>65</v>
      </c>
      <c r="I1205" t="s">
        <v>414</v>
      </c>
      <c r="J1205" t="s">
        <v>101</v>
      </c>
      <c r="K1205" t="s">
        <v>38</v>
      </c>
      <c r="M1205" t="b">
        <v>0</v>
      </c>
      <c r="N1205" t="s">
        <v>419</v>
      </c>
      <c r="O1205" t="s">
        <v>33</v>
      </c>
      <c r="Q1205">
        <v>117.24</v>
      </c>
      <c r="R1205">
        <v>7.5</v>
      </c>
      <c r="S1205" t="s">
        <v>44</v>
      </c>
      <c r="T1205">
        <v>88.2</v>
      </c>
      <c r="V1205">
        <v>101.8</v>
      </c>
      <c r="W1205">
        <v>78.5</v>
      </c>
      <c r="X1205">
        <v>9.6</v>
      </c>
      <c r="Y1205">
        <v>36.6</v>
      </c>
      <c r="Z1205">
        <v>328239523</v>
      </c>
      <c r="AA1205">
        <v>37.090240000000001</v>
      </c>
      <c r="AB1205">
        <v>-95.712890999999999</v>
      </c>
    </row>
    <row r="1206" spans="1:28" hidden="1">
      <c r="A1206">
        <v>1164</v>
      </c>
      <c r="B1206">
        <v>2600</v>
      </c>
      <c r="C1206" t="s">
        <v>45</v>
      </c>
      <c r="D1206" t="s">
        <v>2556</v>
      </c>
      <c r="E1206">
        <v>57</v>
      </c>
      <c r="G1206" t="s">
        <v>38</v>
      </c>
      <c r="H1206" t="s">
        <v>2163</v>
      </c>
      <c r="I1206" t="s">
        <v>2557</v>
      </c>
      <c r="J1206" t="s">
        <v>45</v>
      </c>
      <c r="K1206" t="s">
        <v>38</v>
      </c>
      <c r="M1206" t="b">
        <v>1</v>
      </c>
      <c r="N1206" t="s">
        <v>42</v>
      </c>
      <c r="O1206" t="s">
        <v>33</v>
      </c>
      <c r="Q1206">
        <v>117.24</v>
      </c>
      <c r="R1206">
        <v>7.5</v>
      </c>
      <c r="S1206" t="s">
        <v>44</v>
      </c>
      <c r="T1206">
        <v>88.2</v>
      </c>
      <c r="V1206">
        <v>101.8</v>
      </c>
      <c r="W1206">
        <v>78.5</v>
      </c>
      <c r="X1206">
        <v>9.6</v>
      </c>
      <c r="Y1206">
        <v>36.6</v>
      </c>
      <c r="Z1206">
        <v>328239523</v>
      </c>
      <c r="AA1206">
        <v>37.090240000000001</v>
      </c>
      <c r="AB1206">
        <v>-95.712890999999999</v>
      </c>
    </row>
    <row r="1207" spans="1:28" hidden="1">
      <c r="A1207">
        <v>1164</v>
      </c>
      <c r="B1207">
        <v>2600</v>
      </c>
      <c r="C1207" t="s">
        <v>36</v>
      </c>
      <c r="D1207" t="s">
        <v>2558</v>
      </c>
      <c r="E1207">
        <v>81</v>
      </c>
      <c r="G1207" t="s">
        <v>148</v>
      </c>
      <c r="H1207" t="s">
        <v>586</v>
      </c>
      <c r="I1207" t="s">
        <v>506</v>
      </c>
      <c r="J1207" t="s">
        <v>36</v>
      </c>
      <c r="K1207" t="s">
        <v>148</v>
      </c>
      <c r="M1207" t="b">
        <v>0</v>
      </c>
      <c r="N1207" t="s">
        <v>32</v>
      </c>
      <c r="O1207" t="s">
        <v>88</v>
      </c>
      <c r="Q1207">
        <v>112.85</v>
      </c>
      <c r="R1207">
        <v>1.4</v>
      </c>
      <c r="S1207" t="s">
        <v>151</v>
      </c>
      <c r="T1207">
        <v>70.2</v>
      </c>
      <c r="V1207">
        <v>104</v>
      </c>
      <c r="W1207">
        <v>80.900000000000006</v>
      </c>
      <c r="X1207">
        <v>11.5</v>
      </c>
      <c r="Y1207">
        <v>48.8</v>
      </c>
      <c r="Z1207">
        <v>83132799</v>
      </c>
      <c r="AA1207">
        <v>51.165691000000002</v>
      </c>
      <c r="AB1207">
        <v>10.451525999999999</v>
      </c>
    </row>
    <row r="1208" spans="1:28">
      <c r="A1208">
        <v>1164</v>
      </c>
      <c r="B1208">
        <v>2600</v>
      </c>
      <c r="C1208" t="s">
        <v>288</v>
      </c>
      <c r="D1208" t="s">
        <v>2559</v>
      </c>
      <c r="E1208">
        <v>70</v>
      </c>
      <c r="F1208" t="str">
        <f>IF(E1208&gt;=90,"90-100",IF(E1208&gt;=80,"80-90",IF(E1208&gt;=70,"70-80",IF(E1208&gt;=60,"60-70",IF(E1208&gt;=50,"50-60",IF(E1208&gt;=40,"40-50",IF(E1208&gt;=30,"30-40","20-30")))))))</f>
        <v>70-80</v>
      </c>
      <c r="G1208" t="s">
        <v>38</v>
      </c>
      <c r="H1208" t="s">
        <v>2560</v>
      </c>
      <c r="I1208" t="s">
        <v>418</v>
      </c>
      <c r="J1208" t="s">
        <v>288</v>
      </c>
      <c r="K1208" t="s">
        <v>38</v>
      </c>
      <c r="L1208" t="s">
        <v>2561</v>
      </c>
      <c r="M1208" t="b">
        <v>1</v>
      </c>
      <c r="N1208" t="s">
        <v>32</v>
      </c>
      <c r="O1208" t="s">
        <v>4867</v>
      </c>
      <c r="P1208" t="s">
        <v>2562</v>
      </c>
      <c r="Q1208">
        <v>117.24</v>
      </c>
      <c r="R1208">
        <v>7.5</v>
      </c>
      <c r="S1208" t="s">
        <v>44</v>
      </c>
      <c r="T1208">
        <v>88.2</v>
      </c>
      <c r="U1208" t="str">
        <f>IF(T1208&gt;=100,"above 100",IF(T1208&gt;=80,"80-100",IF(T1208&gt;=60,"60-80",IF(T1208&gt;=40,"40-60",IF(T1208&gt;=20,"20-60","0-20")))))</f>
        <v>80-100</v>
      </c>
      <c r="V1208">
        <v>101.8</v>
      </c>
      <c r="W1208">
        <v>78.5</v>
      </c>
      <c r="X1208">
        <v>9.6</v>
      </c>
      <c r="Y1208">
        <v>36.6</v>
      </c>
      <c r="Z1208">
        <v>328239523</v>
      </c>
      <c r="AA1208">
        <v>37.090240000000001</v>
      </c>
      <c r="AB1208">
        <v>-95.712890999999999</v>
      </c>
    </row>
    <row r="1209" spans="1:28" hidden="1">
      <c r="A1209">
        <v>1164</v>
      </c>
      <c r="B1209">
        <v>2600</v>
      </c>
      <c r="C1209" t="s">
        <v>217</v>
      </c>
      <c r="D1209" t="s">
        <v>2563</v>
      </c>
      <c r="E1209">
        <v>77</v>
      </c>
      <c r="G1209" t="s">
        <v>148</v>
      </c>
      <c r="H1209" t="s">
        <v>683</v>
      </c>
      <c r="I1209" t="s">
        <v>287</v>
      </c>
      <c r="J1209" t="s">
        <v>217</v>
      </c>
      <c r="K1209" t="s">
        <v>148</v>
      </c>
      <c r="M1209" t="b">
        <v>0</v>
      </c>
      <c r="N1209" t="s">
        <v>32</v>
      </c>
      <c r="O1209" t="s">
        <v>33</v>
      </c>
      <c r="Q1209">
        <v>112.85</v>
      </c>
      <c r="R1209">
        <v>1.4</v>
      </c>
      <c r="S1209" t="s">
        <v>151</v>
      </c>
      <c r="T1209">
        <v>70.2</v>
      </c>
      <c r="V1209">
        <v>104</v>
      </c>
      <c r="W1209">
        <v>80.900000000000006</v>
      </c>
      <c r="X1209">
        <v>11.5</v>
      </c>
      <c r="Y1209">
        <v>48.8</v>
      </c>
      <c r="Z1209">
        <v>83132799</v>
      </c>
      <c r="AA1209">
        <v>51.165691000000002</v>
      </c>
      <c r="AB1209">
        <v>10.451525999999999</v>
      </c>
    </row>
    <row r="1210" spans="1:28" hidden="1">
      <c r="A1210">
        <v>1164</v>
      </c>
      <c r="B1210">
        <v>2600</v>
      </c>
      <c r="C1210" t="s">
        <v>250</v>
      </c>
      <c r="D1210" t="s">
        <v>2564</v>
      </c>
      <c r="E1210">
        <v>67</v>
      </c>
      <c r="G1210" t="s">
        <v>38</v>
      </c>
      <c r="H1210" t="s">
        <v>789</v>
      </c>
      <c r="I1210" t="s">
        <v>2565</v>
      </c>
      <c r="J1210" t="s">
        <v>250</v>
      </c>
      <c r="K1210" t="s">
        <v>38</v>
      </c>
      <c r="M1210" t="b">
        <v>1</v>
      </c>
      <c r="N1210" t="s">
        <v>32</v>
      </c>
      <c r="O1210" t="s">
        <v>33</v>
      </c>
      <c r="P1210" t="s">
        <v>468</v>
      </c>
      <c r="Q1210">
        <v>117.24</v>
      </c>
      <c r="R1210">
        <v>7.5</v>
      </c>
      <c r="S1210" t="s">
        <v>44</v>
      </c>
      <c r="T1210">
        <v>88.2</v>
      </c>
      <c r="V1210">
        <v>101.8</v>
      </c>
      <c r="W1210">
        <v>78.5</v>
      </c>
      <c r="X1210">
        <v>9.6</v>
      </c>
      <c r="Y1210">
        <v>36.6</v>
      </c>
      <c r="Z1210">
        <v>328239523</v>
      </c>
      <c r="AA1210">
        <v>37.090240000000001</v>
      </c>
      <c r="AB1210">
        <v>-95.712890999999999</v>
      </c>
    </row>
    <row r="1211" spans="1:28" hidden="1">
      <c r="A1211">
        <v>1164</v>
      </c>
      <c r="B1211">
        <v>2600</v>
      </c>
      <c r="C1211" t="s">
        <v>217</v>
      </c>
      <c r="D1211" t="s">
        <v>2566</v>
      </c>
      <c r="E1211">
        <v>51</v>
      </c>
      <c r="G1211" t="s">
        <v>148</v>
      </c>
      <c r="H1211" t="s">
        <v>1051</v>
      </c>
      <c r="I1211" t="s">
        <v>2567</v>
      </c>
      <c r="J1211" t="s">
        <v>217</v>
      </c>
      <c r="K1211" t="s">
        <v>148</v>
      </c>
      <c r="M1211" t="b">
        <v>0</v>
      </c>
      <c r="N1211" t="s">
        <v>42</v>
      </c>
      <c r="O1211" t="s">
        <v>88</v>
      </c>
      <c r="Q1211">
        <v>112.85</v>
      </c>
      <c r="R1211">
        <v>1.4</v>
      </c>
      <c r="S1211" t="s">
        <v>151</v>
      </c>
      <c r="T1211">
        <v>70.2</v>
      </c>
      <c r="V1211">
        <v>104</v>
      </c>
      <c r="W1211">
        <v>80.900000000000006</v>
      </c>
      <c r="X1211">
        <v>11.5</v>
      </c>
      <c r="Y1211">
        <v>48.8</v>
      </c>
      <c r="Z1211">
        <v>83132799</v>
      </c>
      <c r="AA1211">
        <v>51.165691000000002</v>
      </c>
      <c r="AB1211">
        <v>10.451525999999999</v>
      </c>
    </row>
    <row r="1212" spans="1:28" hidden="1">
      <c r="A1212">
        <v>1164</v>
      </c>
      <c r="B1212">
        <v>2600</v>
      </c>
      <c r="C1212" t="s">
        <v>101</v>
      </c>
      <c r="D1212" t="s">
        <v>2568</v>
      </c>
      <c r="E1212">
        <v>69</v>
      </c>
      <c r="G1212" t="s">
        <v>38</v>
      </c>
      <c r="H1212" t="s">
        <v>2569</v>
      </c>
      <c r="I1212" t="s">
        <v>2570</v>
      </c>
      <c r="J1212" t="s">
        <v>101</v>
      </c>
      <c r="K1212" t="s">
        <v>38</v>
      </c>
      <c r="M1212" t="b">
        <v>0</v>
      </c>
      <c r="N1212" t="s">
        <v>42</v>
      </c>
      <c r="O1212" t="s">
        <v>33</v>
      </c>
      <c r="Q1212">
        <v>117.24</v>
      </c>
      <c r="R1212">
        <v>7.5</v>
      </c>
      <c r="S1212" t="s">
        <v>44</v>
      </c>
      <c r="T1212">
        <v>88.2</v>
      </c>
      <c r="V1212">
        <v>101.8</v>
      </c>
      <c r="W1212">
        <v>78.5</v>
      </c>
      <c r="X1212">
        <v>9.6</v>
      </c>
      <c r="Y1212">
        <v>36.6</v>
      </c>
      <c r="Z1212">
        <v>328239523</v>
      </c>
      <c r="AA1212">
        <v>37.090240000000001</v>
      </c>
      <c r="AB1212">
        <v>-95.712890999999999</v>
      </c>
    </row>
    <row r="1213" spans="1:28" hidden="1">
      <c r="A1213">
        <v>1164</v>
      </c>
      <c r="B1213">
        <v>2600</v>
      </c>
      <c r="C1213" t="s">
        <v>217</v>
      </c>
      <c r="D1213" t="s">
        <v>2571</v>
      </c>
      <c r="G1213" t="s">
        <v>148</v>
      </c>
      <c r="H1213" t="s">
        <v>1488</v>
      </c>
      <c r="I1213" t="s">
        <v>2572</v>
      </c>
      <c r="J1213" t="s">
        <v>217</v>
      </c>
      <c r="K1213" t="s">
        <v>148</v>
      </c>
      <c r="M1213" t="b">
        <v>0</v>
      </c>
      <c r="N1213" t="s">
        <v>42</v>
      </c>
      <c r="O1213" t="s">
        <v>88</v>
      </c>
      <c r="Q1213">
        <v>112.85</v>
      </c>
      <c r="R1213">
        <v>1.4</v>
      </c>
      <c r="S1213" t="s">
        <v>151</v>
      </c>
      <c r="T1213">
        <v>70.2</v>
      </c>
      <c r="V1213">
        <v>104</v>
      </c>
      <c r="W1213">
        <v>80.900000000000006</v>
      </c>
      <c r="X1213">
        <v>11.5</v>
      </c>
      <c r="Y1213">
        <v>48.8</v>
      </c>
      <c r="Z1213">
        <v>83132799</v>
      </c>
      <c r="AA1213">
        <v>51.165691000000002</v>
      </c>
      <c r="AB1213">
        <v>10.451525999999999</v>
      </c>
    </row>
    <row r="1214" spans="1:28" hidden="1">
      <c r="A1214">
        <v>1164</v>
      </c>
      <c r="B1214">
        <v>2600</v>
      </c>
      <c r="C1214" t="s">
        <v>469</v>
      </c>
      <c r="D1214" t="s">
        <v>2573</v>
      </c>
      <c r="E1214">
        <v>57</v>
      </c>
      <c r="I1214" t="s">
        <v>2574</v>
      </c>
      <c r="J1214" t="s">
        <v>469</v>
      </c>
      <c r="K1214" t="s">
        <v>148</v>
      </c>
      <c r="M1214" t="b">
        <v>0</v>
      </c>
      <c r="N1214" t="s">
        <v>192</v>
      </c>
      <c r="O1214" t="s">
        <v>33</v>
      </c>
    </row>
    <row r="1215" spans="1:28" hidden="1">
      <c r="A1215">
        <v>1164</v>
      </c>
      <c r="B1215">
        <v>2600</v>
      </c>
      <c r="C1215" t="s">
        <v>469</v>
      </c>
      <c r="D1215" t="s">
        <v>2575</v>
      </c>
      <c r="E1215">
        <v>52</v>
      </c>
      <c r="I1215" t="s">
        <v>2574</v>
      </c>
      <c r="J1215" t="s">
        <v>469</v>
      </c>
      <c r="K1215" t="s">
        <v>148</v>
      </c>
      <c r="M1215" t="b">
        <v>0</v>
      </c>
      <c r="N1215" t="s">
        <v>192</v>
      </c>
      <c r="O1215" t="s">
        <v>33</v>
      </c>
    </row>
    <row r="1216" spans="1:28" hidden="1">
      <c r="A1216">
        <v>1164</v>
      </c>
      <c r="B1216">
        <v>2600</v>
      </c>
      <c r="C1216" t="s">
        <v>45</v>
      </c>
      <c r="D1216" t="s">
        <v>2576</v>
      </c>
      <c r="E1216">
        <v>57</v>
      </c>
      <c r="G1216" t="s">
        <v>103</v>
      </c>
      <c r="H1216" t="s">
        <v>215</v>
      </c>
      <c r="I1216" t="s">
        <v>897</v>
      </c>
      <c r="J1216" t="s">
        <v>45</v>
      </c>
      <c r="K1216" t="s">
        <v>103</v>
      </c>
      <c r="M1216" t="b">
        <v>1</v>
      </c>
      <c r="N1216" t="s">
        <v>42</v>
      </c>
      <c r="O1216" t="s">
        <v>33</v>
      </c>
      <c r="Q1216">
        <v>125.08</v>
      </c>
      <c r="R1216">
        <v>2.9</v>
      </c>
      <c r="S1216" t="s">
        <v>106</v>
      </c>
      <c r="T1216">
        <v>50.6</v>
      </c>
      <c r="V1216">
        <v>100.2</v>
      </c>
      <c r="W1216">
        <v>77</v>
      </c>
      <c r="X1216">
        <v>9.4</v>
      </c>
      <c r="Y1216">
        <v>59.2</v>
      </c>
      <c r="Z1216">
        <v>1397715000</v>
      </c>
      <c r="AA1216">
        <v>35.861660000000001</v>
      </c>
      <c r="AB1216">
        <v>104.195397</v>
      </c>
    </row>
    <row r="1217" spans="1:28" hidden="1">
      <c r="A1217">
        <v>1164</v>
      </c>
      <c r="B1217">
        <v>2600</v>
      </c>
      <c r="C1217" t="s">
        <v>45</v>
      </c>
      <c r="D1217" t="s">
        <v>2577</v>
      </c>
      <c r="E1217">
        <v>52</v>
      </c>
      <c r="G1217" t="s">
        <v>103</v>
      </c>
      <c r="H1217" t="s">
        <v>143</v>
      </c>
      <c r="I1217" t="s">
        <v>1134</v>
      </c>
      <c r="J1217" t="s">
        <v>45</v>
      </c>
      <c r="K1217" t="s">
        <v>103</v>
      </c>
      <c r="M1217" t="b">
        <v>1</v>
      </c>
      <c r="N1217" t="s">
        <v>32</v>
      </c>
      <c r="O1217" t="s">
        <v>33</v>
      </c>
      <c r="Q1217">
        <v>125.08</v>
      </c>
      <c r="R1217">
        <v>2.9</v>
      </c>
      <c r="S1217" t="s">
        <v>106</v>
      </c>
      <c r="T1217">
        <v>50.6</v>
      </c>
      <c r="V1217">
        <v>100.2</v>
      </c>
      <c r="W1217">
        <v>77</v>
      </c>
      <c r="X1217">
        <v>9.4</v>
      </c>
      <c r="Y1217">
        <v>59.2</v>
      </c>
      <c r="Z1217">
        <v>1397715000</v>
      </c>
      <c r="AA1217">
        <v>35.861660000000001</v>
      </c>
      <c r="AB1217">
        <v>104.195397</v>
      </c>
    </row>
    <row r="1218" spans="1:28">
      <c r="A1218">
        <v>1217</v>
      </c>
      <c r="B1218">
        <v>2500</v>
      </c>
      <c r="C1218" t="s">
        <v>101</v>
      </c>
      <c r="D1218" t="s">
        <v>2578</v>
      </c>
      <c r="E1218">
        <v>98</v>
      </c>
      <c r="F1218" t="str">
        <f>IF(E1218&gt;=90,"90-100",IF(E1218&gt;=80,"80-90",IF(E1218&gt;=70,"70-80",IF(E1218&gt;=60,"60-70",IF(E1218&gt;=50,"50-60",IF(E1218&gt;=40,"40-50",IF(E1218&gt;=30,"30-40","20-30")))))))</f>
        <v>90-100</v>
      </c>
      <c r="G1218" t="s">
        <v>38</v>
      </c>
      <c r="H1218" t="s">
        <v>257</v>
      </c>
      <c r="I1218" t="s">
        <v>2579</v>
      </c>
      <c r="J1218" t="s">
        <v>101</v>
      </c>
      <c r="K1218" t="s">
        <v>38</v>
      </c>
      <c r="L1218" t="s">
        <v>2580</v>
      </c>
      <c r="M1218" t="b">
        <v>1</v>
      </c>
      <c r="N1218" t="s">
        <v>32</v>
      </c>
      <c r="O1218" t="s">
        <v>4867</v>
      </c>
      <c r="P1218" t="s">
        <v>131</v>
      </c>
      <c r="Q1218">
        <v>117.24</v>
      </c>
      <c r="R1218">
        <v>7.5</v>
      </c>
      <c r="S1218" t="s">
        <v>44</v>
      </c>
      <c r="T1218">
        <v>88.2</v>
      </c>
      <c r="U1218" t="str">
        <f>IF(T1218&gt;=100,"above 100",IF(T1218&gt;=80,"80-100",IF(T1218&gt;=60,"60-80",IF(T1218&gt;=40,"40-60",IF(T1218&gt;=20,"20-60","0-20")))))</f>
        <v>80-100</v>
      </c>
      <c r="V1218">
        <v>101.8</v>
      </c>
      <c r="W1218">
        <v>78.5</v>
      </c>
      <c r="X1218">
        <v>9.6</v>
      </c>
      <c r="Y1218">
        <v>36.6</v>
      </c>
      <c r="Z1218">
        <v>328239523</v>
      </c>
      <c r="AA1218">
        <v>37.090240000000001</v>
      </c>
      <c r="AB1218">
        <v>-95.712890999999999</v>
      </c>
    </row>
    <row r="1219" spans="1:28" hidden="1">
      <c r="A1219">
        <v>1217</v>
      </c>
      <c r="B1219">
        <v>2500</v>
      </c>
      <c r="C1219" t="s">
        <v>26</v>
      </c>
      <c r="D1219" t="s">
        <v>2581</v>
      </c>
      <c r="E1219">
        <v>74</v>
      </c>
      <c r="G1219" t="s">
        <v>38</v>
      </c>
      <c r="H1219" t="s">
        <v>980</v>
      </c>
      <c r="I1219" t="s">
        <v>818</v>
      </c>
      <c r="J1219" t="s">
        <v>26</v>
      </c>
      <c r="K1219" t="s">
        <v>38</v>
      </c>
      <c r="M1219" t="b">
        <v>0</v>
      </c>
      <c r="N1219" t="s">
        <v>42</v>
      </c>
      <c r="O1219" t="s">
        <v>33</v>
      </c>
      <c r="Q1219">
        <v>117.24</v>
      </c>
      <c r="R1219">
        <v>7.5</v>
      </c>
      <c r="S1219" t="s">
        <v>44</v>
      </c>
      <c r="T1219">
        <v>88.2</v>
      </c>
      <c r="V1219">
        <v>101.8</v>
      </c>
      <c r="W1219">
        <v>78.5</v>
      </c>
      <c r="X1219">
        <v>9.6</v>
      </c>
      <c r="Y1219">
        <v>36.6</v>
      </c>
      <c r="Z1219">
        <v>328239523</v>
      </c>
      <c r="AA1219">
        <v>37.090240000000001</v>
      </c>
      <c r="AB1219">
        <v>-95.712890999999999</v>
      </c>
    </row>
    <row r="1220" spans="1:28" hidden="1">
      <c r="A1220">
        <v>1217</v>
      </c>
      <c r="B1220">
        <v>2500</v>
      </c>
      <c r="C1220" t="s">
        <v>26</v>
      </c>
      <c r="D1220" t="s">
        <v>2582</v>
      </c>
      <c r="E1220">
        <v>77</v>
      </c>
      <c r="G1220" t="s">
        <v>38</v>
      </c>
      <c r="H1220" t="s">
        <v>2583</v>
      </c>
      <c r="I1220" t="s">
        <v>818</v>
      </c>
      <c r="J1220" t="s">
        <v>26</v>
      </c>
      <c r="K1220" t="s">
        <v>38</v>
      </c>
      <c r="M1220" t="b">
        <v>0</v>
      </c>
      <c r="N1220" t="s">
        <v>42</v>
      </c>
      <c r="O1220" t="s">
        <v>88</v>
      </c>
      <c r="Q1220">
        <v>117.24</v>
      </c>
      <c r="R1220">
        <v>7.5</v>
      </c>
      <c r="S1220" t="s">
        <v>44</v>
      </c>
      <c r="T1220">
        <v>88.2</v>
      </c>
      <c r="V1220">
        <v>101.8</v>
      </c>
      <c r="W1220">
        <v>78.5</v>
      </c>
      <c r="X1220">
        <v>9.6</v>
      </c>
      <c r="Y1220">
        <v>36.6</v>
      </c>
      <c r="Z1220">
        <v>328239523</v>
      </c>
      <c r="AA1220">
        <v>37.090240000000001</v>
      </c>
      <c r="AB1220">
        <v>-95.712890999999999</v>
      </c>
    </row>
    <row r="1221" spans="1:28" hidden="1">
      <c r="A1221">
        <v>1217</v>
      </c>
      <c r="B1221">
        <v>2500</v>
      </c>
      <c r="C1221" t="s">
        <v>26</v>
      </c>
      <c r="D1221" t="s">
        <v>2584</v>
      </c>
      <c r="E1221">
        <v>78</v>
      </c>
      <c r="G1221" t="s">
        <v>38</v>
      </c>
      <c r="H1221" t="s">
        <v>2585</v>
      </c>
      <c r="I1221" t="s">
        <v>818</v>
      </c>
      <c r="J1221" t="s">
        <v>26</v>
      </c>
      <c r="K1221" t="s">
        <v>38</v>
      </c>
      <c r="M1221" t="b">
        <v>0</v>
      </c>
      <c r="N1221" t="s">
        <v>42</v>
      </c>
      <c r="O1221" t="s">
        <v>33</v>
      </c>
      <c r="Q1221">
        <v>117.24</v>
      </c>
      <c r="R1221">
        <v>7.5</v>
      </c>
      <c r="S1221" t="s">
        <v>44</v>
      </c>
      <c r="T1221">
        <v>88.2</v>
      </c>
      <c r="V1221">
        <v>101.8</v>
      </c>
      <c r="W1221">
        <v>78.5</v>
      </c>
      <c r="X1221">
        <v>9.6</v>
      </c>
      <c r="Y1221">
        <v>36.6</v>
      </c>
      <c r="Z1221">
        <v>328239523</v>
      </c>
      <c r="AA1221">
        <v>37.090240000000001</v>
      </c>
      <c r="AB1221">
        <v>-95.712890999999999</v>
      </c>
    </row>
    <row r="1222" spans="1:28">
      <c r="A1222">
        <v>1217</v>
      </c>
      <c r="B1222">
        <v>2500</v>
      </c>
      <c r="C1222" t="s">
        <v>469</v>
      </c>
      <c r="D1222" t="s">
        <v>2586</v>
      </c>
      <c r="E1222">
        <v>71</v>
      </c>
      <c r="F1222" t="str">
        <f>IF(E1222&gt;=90,"90-100",IF(E1222&gt;=80,"80-90",IF(E1222&gt;=70,"70-80",IF(E1222&gt;=60,"60-70",IF(E1222&gt;=50,"50-60",IF(E1222&gt;=40,"40-50",IF(E1222&gt;=30,"30-40","20-30")))))))</f>
        <v>70-80</v>
      </c>
      <c r="G1222" t="s">
        <v>38</v>
      </c>
      <c r="H1222" t="s">
        <v>652</v>
      </c>
      <c r="I1222" t="s">
        <v>2587</v>
      </c>
      <c r="J1222" t="s">
        <v>469</v>
      </c>
      <c r="K1222" t="s">
        <v>38</v>
      </c>
      <c r="L1222" t="s">
        <v>2588</v>
      </c>
      <c r="M1222" t="b">
        <v>0</v>
      </c>
      <c r="N1222" t="s">
        <v>42</v>
      </c>
      <c r="O1222" t="s">
        <v>4867</v>
      </c>
      <c r="P1222" t="s">
        <v>2589</v>
      </c>
      <c r="Q1222">
        <v>117.24</v>
      </c>
      <c r="R1222">
        <v>7.5</v>
      </c>
      <c r="S1222" t="s">
        <v>44</v>
      </c>
      <c r="T1222">
        <v>88.2</v>
      </c>
      <c r="U1222" t="str">
        <f>IF(T1222&gt;=100,"above 100",IF(T1222&gt;=80,"80-100",IF(T1222&gt;=60,"60-80",IF(T1222&gt;=40,"40-60",IF(T1222&gt;=20,"20-60","0-20")))))</f>
        <v>80-100</v>
      </c>
      <c r="V1222">
        <v>101.8</v>
      </c>
      <c r="W1222">
        <v>78.5</v>
      </c>
      <c r="X1222">
        <v>9.6</v>
      </c>
      <c r="Y1222">
        <v>36.6</v>
      </c>
      <c r="Z1222">
        <v>328239523</v>
      </c>
      <c r="AA1222">
        <v>37.090240000000001</v>
      </c>
      <c r="AB1222">
        <v>-95.712890999999999</v>
      </c>
    </row>
    <row r="1223" spans="1:28" hidden="1">
      <c r="A1223">
        <v>1217</v>
      </c>
      <c r="B1223">
        <v>2500</v>
      </c>
      <c r="C1223" t="s">
        <v>75</v>
      </c>
      <c r="D1223" t="s">
        <v>2590</v>
      </c>
      <c r="E1223">
        <v>56</v>
      </c>
      <c r="G1223" t="s">
        <v>203</v>
      </c>
      <c r="H1223" t="s">
        <v>204</v>
      </c>
      <c r="I1223" t="s">
        <v>231</v>
      </c>
      <c r="J1223" t="s">
        <v>75</v>
      </c>
      <c r="K1223" t="s">
        <v>2591</v>
      </c>
      <c r="M1223" t="b">
        <v>1</v>
      </c>
      <c r="N1223" t="s">
        <v>419</v>
      </c>
      <c r="O1223" t="s">
        <v>33</v>
      </c>
      <c r="Q1223">
        <v>119.62</v>
      </c>
      <c r="R1223">
        <v>1.7</v>
      </c>
      <c r="S1223" t="s">
        <v>206</v>
      </c>
      <c r="T1223">
        <v>60</v>
      </c>
      <c r="V1223">
        <v>101.2</v>
      </c>
      <c r="W1223">
        <v>81.3</v>
      </c>
      <c r="X1223">
        <v>25.5</v>
      </c>
      <c r="Y1223">
        <v>30.6</v>
      </c>
      <c r="Z1223">
        <v>66834405</v>
      </c>
      <c r="AA1223">
        <v>55.378050999999999</v>
      </c>
      <c r="AB1223">
        <v>-3.4359730000000002</v>
      </c>
    </row>
    <row r="1224" spans="1:28" hidden="1">
      <c r="A1224">
        <v>1217</v>
      </c>
      <c r="B1224">
        <v>2500</v>
      </c>
      <c r="C1224" t="s">
        <v>101</v>
      </c>
      <c r="D1224" t="s">
        <v>2592</v>
      </c>
      <c r="E1224">
        <v>91</v>
      </c>
      <c r="G1224" t="s">
        <v>38</v>
      </c>
      <c r="H1224" t="s">
        <v>257</v>
      </c>
      <c r="I1224" t="s">
        <v>1875</v>
      </c>
      <c r="J1224" t="s">
        <v>101</v>
      </c>
      <c r="K1224" t="s">
        <v>127</v>
      </c>
      <c r="M1224" t="b">
        <v>0</v>
      </c>
      <c r="N1224" t="s">
        <v>419</v>
      </c>
      <c r="O1224" t="s">
        <v>33</v>
      </c>
      <c r="Q1224">
        <v>117.24</v>
      </c>
      <c r="R1224">
        <v>7.5</v>
      </c>
      <c r="S1224" t="s">
        <v>44</v>
      </c>
      <c r="T1224">
        <v>88.2</v>
      </c>
      <c r="V1224">
        <v>101.8</v>
      </c>
      <c r="W1224">
        <v>78.5</v>
      </c>
      <c r="X1224">
        <v>9.6</v>
      </c>
      <c r="Y1224">
        <v>36.6</v>
      </c>
      <c r="Z1224">
        <v>328239523</v>
      </c>
      <c r="AA1224">
        <v>37.090240000000001</v>
      </c>
      <c r="AB1224">
        <v>-95.712890999999999</v>
      </c>
    </row>
    <row r="1225" spans="1:28" hidden="1">
      <c r="A1225">
        <v>1217</v>
      </c>
      <c r="B1225">
        <v>2500</v>
      </c>
      <c r="C1225" t="s">
        <v>101</v>
      </c>
      <c r="D1225" t="s">
        <v>2593</v>
      </c>
      <c r="E1225">
        <v>85</v>
      </c>
      <c r="G1225" t="s">
        <v>77</v>
      </c>
      <c r="H1225" t="s">
        <v>248</v>
      </c>
      <c r="I1225" t="s">
        <v>1260</v>
      </c>
      <c r="J1225" t="s">
        <v>101</v>
      </c>
      <c r="K1225" t="s">
        <v>77</v>
      </c>
      <c r="M1225" t="b">
        <v>0</v>
      </c>
      <c r="N1225" t="s">
        <v>42</v>
      </c>
      <c r="O1225" t="s">
        <v>33</v>
      </c>
      <c r="Q1225">
        <v>180.44</v>
      </c>
      <c r="R1225">
        <v>7.7</v>
      </c>
      <c r="S1225" t="s">
        <v>81</v>
      </c>
      <c r="T1225">
        <v>28.1</v>
      </c>
      <c r="V1225">
        <v>113</v>
      </c>
      <c r="W1225">
        <v>69.400000000000006</v>
      </c>
      <c r="X1225">
        <v>11.2</v>
      </c>
      <c r="Y1225">
        <v>49.7</v>
      </c>
      <c r="Z1225">
        <v>1366417754</v>
      </c>
      <c r="AA1225">
        <v>20.593684</v>
      </c>
      <c r="AB1225">
        <v>78.962879999999998</v>
      </c>
    </row>
    <row r="1226" spans="1:28" hidden="1">
      <c r="A1226">
        <v>1217</v>
      </c>
      <c r="B1226">
        <v>2500</v>
      </c>
      <c r="C1226" t="s">
        <v>36</v>
      </c>
      <c r="D1226" t="s">
        <v>2594</v>
      </c>
      <c r="E1226">
        <v>81</v>
      </c>
      <c r="G1226" t="s">
        <v>38</v>
      </c>
      <c r="H1226" t="s">
        <v>980</v>
      </c>
      <c r="I1226" t="s">
        <v>1689</v>
      </c>
      <c r="J1226" t="s">
        <v>36</v>
      </c>
      <c r="K1226" t="s">
        <v>38</v>
      </c>
      <c r="M1226" t="b">
        <v>1</v>
      </c>
      <c r="N1226" t="s">
        <v>32</v>
      </c>
      <c r="O1226" t="s">
        <v>33</v>
      </c>
      <c r="Q1226">
        <v>117.24</v>
      </c>
      <c r="R1226">
        <v>7.5</v>
      </c>
      <c r="S1226" t="s">
        <v>44</v>
      </c>
      <c r="T1226">
        <v>88.2</v>
      </c>
      <c r="V1226">
        <v>101.8</v>
      </c>
      <c r="W1226">
        <v>78.5</v>
      </c>
      <c r="X1226">
        <v>9.6</v>
      </c>
      <c r="Y1226">
        <v>36.6</v>
      </c>
      <c r="Z1226">
        <v>328239523</v>
      </c>
      <c r="AA1226">
        <v>37.090240000000001</v>
      </c>
      <c r="AB1226">
        <v>-95.712890999999999</v>
      </c>
    </row>
    <row r="1227" spans="1:28" hidden="1">
      <c r="A1227">
        <v>1217</v>
      </c>
      <c r="B1227">
        <v>2500</v>
      </c>
      <c r="C1227" t="s">
        <v>63</v>
      </c>
      <c r="D1227" t="s">
        <v>2595</v>
      </c>
      <c r="E1227">
        <v>39</v>
      </c>
      <c r="G1227" t="s">
        <v>103</v>
      </c>
      <c r="H1227" t="s">
        <v>143</v>
      </c>
      <c r="I1227" t="s">
        <v>2596</v>
      </c>
      <c r="J1227" t="s">
        <v>63</v>
      </c>
      <c r="K1227" t="s">
        <v>103</v>
      </c>
      <c r="M1227" t="b">
        <v>1</v>
      </c>
      <c r="N1227" t="s">
        <v>42</v>
      </c>
      <c r="O1227" t="s">
        <v>33</v>
      </c>
      <c r="Q1227">
        <v>125.08</v>
      </c>
      <c r="R1227">
        <v>2.9</v>
      </c>
      <c r="S1227" t="s">
        <v>106</v>
      </c>
      <c r="T1227">
        <v>50.6</v>
      </c>
      <c r="V1227">
        <v>100.2</v>
      </c>
      <c r="W1227">
        <v>77</v>
      </c>
      <c r="X1227">
        <v>9.4</v>
      </c>
      <c r="Y1227">
        <v>59.2</v>
      </c>
      <c r="Z1227">
        <v>1397715000</v>
      </c>
      <c r="AA1227">
        <v>35.861660000000001</v>
      </c>
      <c r="AB1227">
        <v>104.195397</v>
      </c>
    </row>
    <row r="1228" spans="1:28" hidden="1">
      <c r="A1228">
        <v>1217</v>
      </c>
      <c r="B1228">
        <v>2500</v>
      </c>
      <c r="C1228" t="s">
        <v>101</v>
      </c>
      <c r="D1228" t="s">
        <v>2597</v>
      </c>
      <c r="E1228">
        <v>75</v>
      </c>
      <c r="G1228" t="s">
        <v>38</v>
      </c>
      <c r="H1228" t="s">
        <v>181</v>
      </c>
      <c r="I1228" t="s">
        <v>2413</v>
      </c>
      <c r="J1228" t="s">
        <v>101</v>
      </c>
      <c r="K1228" t="s">
        <v>38</v>
      </c>
      <c r="M1228" t="b">
        <v>1</v>
      </c>
      <c r="N1228" t="s">
        <v>212</v>
      </c>
      <c r="O1228" t="s">
        <v>33</v>
      </c>
      <c r="Q1228">
        <v>117.24</v>
      </c>
      <c r="R1228">
        <v>7.5</v>
      </c>
      <c r="S1228" t="s">
        <v>44</v>
      </c>
      <c r="T1228">
        <v>88.2</v>
      </c>
      <c r="V1228">
        <v>101.8</v>
      </c>
      <c r="W1228">
        <v>78.5</v>
      </c>
      <c r="X1228">
        <v>9.6</v>
      </c>
      <c r="Y1228">
        <v>36.6</v>
      </c>
      <c r="Z1228">
        <v>328239523</v>
      </c>
      <c r="AA1228">
        <v>37.090240000000001</v>
      </c>
      <c r="AB1228">
        <v>-95.712890999999999</v>
      </c>
    </row>
    <row r="1229" spans="1:28" hidden="1">
      <c r="A1229">
        <v>1217</v>
      </c>
      <c r="B1229">
        <v>2500</v>
      </c>
      <c r="C1229" t="s">
        <v>101</v>
      </c>
      <c r="D1229" t="s">
        <v>2598</v>
      </c>
      <c r="E1229">
        <v>75</v>
      </c>
      <c r="G1229" t="s">
        <v>38</v>
      </c>
      <c r="H1229" t="s">
        <v>181</v>
      </c>
      <c r="I1229" t="s">
        <v>2413</v>
      </c>
      <c r="J1229" t="s">
        <v>101</v>
      </c>
      <c r="K1229" t="s">
        <v>38</v>
      </c>
      <c r="M1229" t="b">
        <v>1</v>
      </c>
      <c r="N1229" t="s">
        <v>212</v>
      </c>
      <c r="O1229" t="s">
        <v>88</v>
      </c>
      <c r="Q1229">
        <v>117.24</v>
      </c>
      <c r="R1229">
        <v>7.5</v>
      </c>
      <c r="S1229" t="s">
        <v>44</v>
      </c>
      <c r="T1229">
        <v>88.2</v>
      </c>
      <c r="V1229">
        <v>101.8</v>
      </c>
      <c r="W1229">
        <v>78.5</v>
      </c>
      <c r="X1229">
        <v>9.6</v>
      </c>
      <c r="Y1229">
        <v>36.6</v>
      </c>
      <c r="Z1229">
        <v>328239523</v>
      </c>
      <c r="AA1229">
        <v>37.090240000000001</v>
      </c>
      <c r="AB1229">
        <v>-95.712890999999999</v>
      </c>
    </row>
    <row r="1230" spans="1:28">
      <c r="A1230">
        <v>1217</v>
      </c>
      <c r="B1230">
        <v>2500</v>
      </c>
      <c r="C1230" t="s">
        <v>54</v>
      </c>
      <c r="D1230" t="s">
        <v>2599</v>
      </c>
      <c r="E1230">
        <v>79</v>
      </c>
      <c r="F1230" t="str">
        <f>IF(E1230&gt;=90,"90-100",IF(E1230&gt;=80,"80-90",IF(E1230&gt;=70,"70-80",IF(E1230&gt;=60,"60-70",IF(E1230&gt;=50,"50-60",IF(E1230&gt;=40,"40-50",IF(E1230&gt;=30,"30-40","20-30")))))))</f>
        <v>70-80</v>
      </c>
      <c r="G1230" t="s">
        <v>38</v>
      </c>
      <c r="H1230" t="s">
        <v>1017</v>
      </c>
      <c r="I1230" t="s">
        <v>185</v>
      </c>
      <c r="J1230" t="s">
        <v>54</v>
      </c>
      <c r="K1230" t="s">
        <v>38</v>
      </c>
      <c r="L1230" t="s">
        <v>2600</v>
      </c>
      <c r="M1230" t="b">
        <v>1</v>
      </c>
      <c r="N1230" t="s">
        <v>419</v>
      </c>
      <c r="O1230" t="s">
        <v>4867</v>
      </c>
      <c r="P1230" t="s">
        <v>146</v>
      </c>
      <c r="Q1230">
        <v>117.24</v>
      </c>
      <c r="R1230">
        <v>7.5</v>
      </c>
      <c r="S1230" t="s">
        <v>44</v>
      </c>
      <c r="T1230">
        <v>88.2</v>
      </c>
      <c r="U1230" t="str">
        <f>IF(T1230&gt;=100,"above 100",IF(T1230&gt;=80,"80-100",IF(T1230&gt;=60,"60-80",IF(T1230&gt;=40,"40-60",IF(T1230&gt;=20,"20-60","0-20")))))</f>
        <v>80-100</v>
      </c>
      <c r="V1230">
        <v>101.8</v>
      </c>
      <c r="W1230">
        <v>78.5</v>
      </c>
      <c r="X1230">
        <v>9.6</v>
      </c>
      <c r="Y1230">
        <v>36.6</v>
      </c>
      <c r="Z1230">
        <v>328239523</v>
      </c>
      <c r="AA1230">
        <v>37.090240000000001</v>
      </c>
      <c r="AB1230">
        <v>-95.712890999999999</v>
      </c>
    </row>
    <row r="1231" spans="1:28" hidden="1">
      <c r="A1231">
        <v>1217</v>
      </c>
      <c r="B1231">
        <v>2500</v>
      </c>
      <c r="C1231" t="s">
        <v>217</v>
      </c>
      <c r="D1231" t="s">
        <v>2601</v>
      </c>
      <c r="E1231">
        <v>75</v>
      </c>
      <c r="G1231" t="s">
        <v>77</v>
      </c>
      <c r="H1231" t="s">
        <v>248</v>
      </c>
      <c r="I1231" t="s">
        <v>883</v>
      </c>
      <c r="J1231" t="s">
        <v>217</v>
      </c>
      <c r="K1231" t="s">
        <v>77</v>
      </c>
      <c r="M1231" t="b">
        <v>0</v>
      </c>
      <c r="N1231" t="s">
        <v>32</v>
      </c>
      <c r="O1231" t="s">
        <v>33</v>
      </c>
      <c r="Q1231">
        <v>180.44</v>
      </c>
      <c r="R1231">
        <v>7.7</v>
      </c>
      <c r="S1231" t="s">
        <v>81</v>
      </c>
      <c r="T1231">
        <v>28.1</v>
      </c>
      <c r="V1231">
        <v>113</v>
      </c>
      <c r="W1231">
        <v>69.400000000000006</v>
      </c>
      <c r="X1231">
        <v>11.2</v>
      </c>
      <c r="Y1231">
        <v>49.7</v>
      </c>
      <c r="Z1231">
        <v>1366417754</v>
      </c>
      <c r="AA1231">
        <v>20.593684</v>
      </c>
      <c r="AB1231">
        <v>78.962879999999998</v>
      </c>
    </row>
    <row r="1232" spans="1:28" hidden="1">
      <c r="A1232">
        <v>1217</v>
      </c>
      <c r="B1232">
        <v>2500</v>
      </c>
      <c r="C1232" t="s">
        <v>101</v>
      </c>
      <c r="D1232" t="s">
        <v>2602</v>
      </c>
      <c r="E1232">
        <v>72</v>
      </c>
      <c r="G1232" t="s">
        <v>38</v>
      </c>
      <c r="H1232" t="s">
        <v>56</v>
      </c>
      <c r="I1232" t="s">
        <v>2499</v>
      </c>
      <c r="J1232" t="s">
        <v>101</v>
      </c>
      <c r="K1232" t="s">
        <v>38</v>
      </c>
      <c r="M1232" t="b">
        <v>0</v>
      </c>
      <c r="N1232" t="s">
        <v>32</v>
      </c>
      <c r="O1232" t="s">
        <v>33</v>
      </c>
      <c r="Q1232">
        <v>117.24</v>
      </c>
      <c r="R1232">
        <v>7.5</v>
      </c>
      <c r="S1232" t="s">
        <v>44</v>
      </c>
      <c r="T1232">
        <v>88.2</v>
      </c>
      <c r="V1232">
        <v>101.8</v>
      </c>
      <c r="W1232">
        <v>78.5</v>
      </c>
      <c r="X1232">
        <v>9.6</v>
      </c>
      <c r="Y1232">
        <v>36.6</v>
      </c>
      <c r="Z1232">
        <v>328239523</v>
      </c>
      <c r="AA1232">
        <v>37.090240000000001</v>
      </c>
      <c r="AB1232">
        <v>-95.712890999999999</v>
      </c>
    </row>
    <row r="1233" spans="1:28" hidden="1">
      <c r="A1233">
        <v>1217</v>
      </c>
      <c r="B1233">
        <v>2500</v>
      </c>
      <c r="C1233" t="s">
        <v>236</v>
      </c>
      <c r="D1233" t="s">
        <v>2603</v>
      </c>
      <c r="E1233">
        <v>55</v>
      </c>
      <c r="G1233" t="s">
        <v>263</v>
      </c>
      <c r="H1233" t="s">
        <v>274</v>
      </c>
      <c r="I1233" t="s">
        <v>2604</v>
      </c>
      <c r="J1233" t="s">
        <v>236</v>
      </c>
      <c r="K1233" t="s">
        <v>263</v>
      </c>
      <c r="M1233" t="b">
        <v>1</v>
      </c>
      <c r="N1233" t="s">
        <v>32</v>
      </c>
      <c r="O1233" t="s">
        <v>33</v>
      </c>
      <c r="Q1233">
        <v>180.75</v>
      </c>
      <c r="R1233">
        <v>4.5</v>
      </c>
      <c r="S1233" t="s">
        <v>276</v>
      </c>
      <c r="T1233">
        <v>81.900000000000006</v>
      </c>
      <c r="V1233">
        <v>102.6</v>
      </c>
      <c r="W1233">
        <v>72.7</v>
      </c>
      <c r="X1233">
        <v>11.4</v>
      </c>
      <c r="Y1233">
        <v>46.2</v>
      </c>
      <c r="Z1233">
        <v>144373535</v>
      </c>
      <c r="AA1233">
        <v>61.524009999999997</v>
      </c>
      <c r="AB1233">
        <v>105.31875599999999</v>
      </c>
    </row>
    <row r="1234" spans="1:28" hidden="1">
      <c r="A1234">
        <v>1217</v>
      </c>
      <c r="B1234">
        <v>2500</v>
      </c>
      <c r="C1234" t="s">
        <v>45</v>
      </c>
      <c r="D1234" t="s">
        <v>2605</v>
      </c>
      <c r="E1234">
        <v>57</v>
      </c>
      <c r="G1234" t="s">
        <v>467</v>
      </c>
      <c r="H1234" t="s">
        <v>2606</v>
      </c>
      <c r="I1234" t="s">
        <v>572</v>
      </c>
      <c r="J1234" t="s">
        <v>45</v>
      </c>
      <c r="K1234" t="s">
        <v>467</v>
      </c>
      <c r="M1234" t="b">
        <v>1</v>
      </c>
      <c r="N1234" t="s">
        <v>42</v>
      </c>
      <c r="O1234" t="s">
        <v>33</v>
      </c>
      <c r="Q1234">
        <v>102.51</v>
      </c>
      <c r="R1234">
        <v>0.3</v>
      </c>
      <c r="S1234" t="s">
        <v>2607</v>
      </c>
      <c r="T1234">
        <v>75.900000000000006</v>
      </c>
      <c r="V1234">
        <v>99.3</v>
      </c>
      <c r="W1234">
        <v>80.8</v>
      </c>
      <c r="X1234">
        <v>24.5</v>
      </c>
      <c r="Y1234">
        <v>22.4</v>
      </c>
      <c r="Z1234">
        <v>1198575</v>
      </c>
      <c r="AA1234">
        <v>35.126412999999999</v>
      </c>
      <c r="AB1234">
        <v>33.429859</v>
      </c>
    </row>
    <row r="1235" spans="1:28">
      <c r="A1235">
        <v>1217</v>
      </c>
      <c r="B1235">
        <v>2500</v>
      </c>
      <c r="C1235" t="s">
        <v>54</v>
      </c>
      <c r="D1235" t="s">
        <v>2608</v>
      </c>
      <c r="E1235">
        <v>67</v>
      </c>
      <c r="F1235" t="str">
        <f>IF(E1235&gt;=90,"90-100",IF(E1235&gt;=80,"80-90",IF(E1235&gt;=70,"70-80",IF(E1235&gt;=60,"60-70",IF(E1235&gt;=50,"50-60",IF(E1235&gt;=40,"40-50",IF(E1235&gt;=30,"30-40","20-30")))))))</f>
        <v>60-70</v>
      </c>
      <c r="G1235" t="s">
        <v>38</v>
      </c>
      <c r="H1235" t="s">
        <v>65</v>
      </c>
      <c r="I1235" t="s">
        <v>185</v>
      </c>
      <c r="J1235" t="s">
        <v>54</v>
      </c>
      <c r="K1235" t="s">
        <v>38</v>
      </c>
      <c r="L1235" t="s">
        <v>2609</v>
      </c>
      <c r="M1235" t="b">
        <v>1</v>
      </c>
      <c r="N1235" t="s">
        <v>42</v>
      </c>
      <c r="O1235" t="s">
        <v>4867</v>
      </c>
      <c r="P1235" t="s">
        <v>187</v>
      </c>
      <c r="Q1235">
        <v>117.24</v>
      </c>
      <c r="R1235">
        <v>7.5</v>
      </c>
      <c r="S1235" t="s">
        <v>44</v>
      </c>
      <c r="T1235">
        <v>88.2</v>
      </c>
      <c r="U1235" t="str">
        <f>IF(T1235&gt;=100,"above 100",IF(T1235&gt;=80,"80-100",IF(T1235&gt;=60,"60-80",IF(T1235&gt;=40,"40-60",IF(T1235&gt;=20,"20-60","0-20")))))</f>
        <v>80-100</v>
      </c>
      <c r="V1235">
        <v>101.8</v>
      </c>
      <c r="W1235">
        <v>78.5</v>
      </c>
      <c r="X1235">
        <v>9.6</v>
      </c>
      <c r="Y1235">
        <v>36.6</v>
      </c>
      <c r="Z1235">
        <v>328239523</v>
      </c>
      <c r="AA1235">
        <v>37.090240000000001</v>
      </c>
      <c r="AB1235">
        <v>-95.712890999999999</v>
      </c>
    </row>
    <row r="1236" spans="1:28" hidden="1">
      <c r="A1236">
        <v>1217</v>
      </c>
      <c r="B1236">
        <v>2500</v>
      </c>
      <c r="C1236" t="s">
        <v>217</v>
      </c>
      <c r="D1236" t="s">
        <v>2610</v>
      </c>
      <c r="E1236">
        <v>61</v>
      </c>
      <c r="G1236" t="s">
        <v>77</v>
      </c>
      <c r="H1236" t="s">
        <v>137</v>
      </c>
      <c r="I1236" t="s">
        <v>2611</v>
      </c>
      <c r="J1236" t="s">
        <v>217</v>
      </c>
      <c r="K1236" t="s">
        <v>77</v>
      </c>
      <c r="M1236" t="b">
        <v>1</v>
      </c>
      <c r="N1236" t="s">
        <v>42</v>
      </c>
      <c r="O1236" t="s">
        <v>33</v>
      </c>
      <c r="Q1236">
        <v>180.44</v>
      </c>
      <c r="R1236">
        <v>7.7</v>
      </c>
      <c r="S1236" t="s">
        <v>81</v>
      </c>
      <c r="T1236">
        <v>28.1</v>
      </c>
      <c r="V1236">
        <v>113</v>
      </c>
      <c r="W1236">
        <v>69.400000000000006</v>
      </c>
      <c r="X1236">
        <v>11.2</v>
      </c>
      <c r="Y1236">
        <v>49.7</v>
      </c>
      <c r="Z1236">
        <v>1366417754</v>
      </c>
      <c r="AA1236">
        <v>20.593684</v>
      </c>
      <c r="AB1236">
        <v>78.962879999999998</v>
      </c>
    </row>
    <row r="1237" spans="1:28" hidden="1">
      <c r="A1237">
        <v>1217</v>
      </c>
      <c r="B1237">
        <v>2500</v>
      </c>
      <c r="C1237" t="s">
        <v>250</v>
      </c>
      <c r="D1237" t="s">
        <v>2612</v>
      </c>
      <c r="E1237">
        <v>73</v>
      </c>
      <c r="G1237" t="s">
        <v>384</v>
      </c>
      <c r="H1237" t="s">
        <v>2613</v>
      </c>
      <c r="I1237" t="s">
        <v>1075</v>
      </c>
      <c r="J1237" t="s">
        <v>250</v>
      </c>
      <c r="K1237" t="s">
        <v>384</v>
      </c>
      <c r="M1237" t="b">
        <v>1</v>
      </c>
      <c r="N1237" t="s">
        <v>42</v>
      </c>
      <c r="O1237" t="s">
        <v>33</v>
      </c>
      <c r="Q1237">
        <v>167.4</v>
      </c>
      <c r="R1237">
        <v>3.7</v>
      </c>
      <c r="S1237" t="s">
        <v>563</v>
      </c>
      <c r="T1237">
        <v>51.3</v>
      </c>
      <c r="V1237">
        <v>115.4</v>
      </c>
      <c r="W1237">
        <v>75.7</v>
      </c>
      <c r="X1237">
        <v>14.2</v>
      </c>
      <c r="Y1237">
        <v>65.099999999999994</v>
      </c>
      <c r="Z1237">
        <v>212559417</v>
      </c>
      <c r="AA1237">
        <v>-14.235004</v>
      </c>
      <c r="AB1237">
        <v>-51.925280000000001</v>
      </c>
    </row>
    <row r="1238" spans="1:28">
      <c r="A1238">
        <v>1217</v>
      </c>
      <c r="B1238">
        <v>2500</v>
      </c>
      <c r="C1238" t="s">
        <v>45</v>
      </c>
      <c r="D1238" t="s">
        <v>2614</v>
      </c>
      <c r="E1238">
        <v>73</v>
      </c>
      <c r="F1238" t="str">
        <f>IF(E1238&gt;=90,"90-100",IF(E1238&gt;=80,"80-90",IF(E1238&gt;=70,"70-80",IF(E1238&gt;=60,"60-70",IF(E1238&gt;=50,"50-60",IF(E1238&gt;=40,"40-50",IF(E1238&gt;=30,"30-40","20-30")))))))</f>
        <v>70-80</v>
      </c>
      <c r="G1238" t="s">
        <v>127</v>
      </c>
      <c r="H1238" t="s">
        <v>2615</v>
      </c>
      <c r="I1238" t="s">
        <v>2616</v>
      </c>
      <c r="J1238" t="s">
        <v>45</v>
      </c>
      <c r="K1238" t="s">
        <v>127</v>
      </c>
      <c r="L1238" t="s">
        <v>2617</v>
      </c>
      <c r="M1238" t="b">
        <v>1</v>
      </c>
      <c r="N1238" t="s">
        <v>32</v>
      </c>
      <c r="O1238" t="s">
        <v>4867</v>
      </c>
      <c r="P1238" t="s">
        <v>34</v>
      </c>
      <c r="Q1238">
        <v>116.76</v>
      </c>
      <c r="R1238">
        <v>1.9</v>
      </c>
      <c r="S1238" t="s">
        <v>132</v>
      </c>
      <c r="T1238">
        <v>68.900000000000006</v>
      </c>
      <c r="U1238" t="str">
        <f>IF(T1238&gt;=100,"above 100",IF(T1238&gt;=80,"80-100",IF(T1238&gt;=60,"60-80",IF(T1238&gt;=40,"40-60",IF(T1238&gt;=20,"20-60","0-20")))))</f>
        <v>60-80</v>
      </c>
      <c r="V1238">
        <v>100.9</v>
      </c>
      <c r="W1238">
        <v>81.900000000000006</v>
      </c>
      <c r="X1238">
        <v>12.8</v>
      </c>
      <c r="Y1238">
        <v>24.5</v>
      </c>
      <c r="Z1238">
        <v>36991981</v>
      </c>
      <c r="AA1238">
        <v>56.130366000000002</v>
      </c>
      <c r="AB1238">
        <v>-106.346771</v>
      </c>
    </row>
    <row r="1239" spans="1:28" hidden="1">
      <c r="A1239">
        <v>1217</v>
      </c>
      <c r="B1239">
        <v>2500</v>
      </c>
      <c r="C1239" t="s">
        <v>54</v>
      </c>
      <c r="D1239" t="s">
        <v>2618</v>
      </c>
      <c r="E1239">
        <v>70</v>
      </c>
      <c r="G1239" t="s">
        <v>38</v>
      </c>
      <c r="H1239" t="s">
        <v>675</v>
      </c>
      <c r="I1239" t="s">
        <v>613</v>
      </c>
      <c r="J1239" t="s">
        <v>54</v>
      </c>
      <c r="K1239" t="s">
        <v>38</v>
      </c>
      <c r="M1239" t="b">
        <v>1</v>
      </c>
      <c r="N1239" t="s">
        <v>42</v>
      </c>
      <c r="O1239" t="s">
        <v>33</v>
      </c>
      <c r="Q1239">
        <v>117.24</v>
      </c>
      <c r="R1239">
        <v>7.5</v>
      </c>
      <c r="S1239" t="s">
        <v>44</v>
      </c>
      <c r="T1239">
        <v>88.2</v>
      </c>
      <c r="V1239">
        <v>101.8</v>
      </c>
      <c r="W1239">
        <v>78.5</v>
      </c>
      <c r="X1239">
        <v>9.6</v>
      </c>
      <c r="Y1239">
        <v>36.6</v>
      </c>
      <c r="Z1239">
        <v>328239523</v>
      </c>
      <c r="AA1239">
        <v>37.090240000000001</v>
      </c>
      <c r="AB1239">
        <v>-95.712890999999999</v>
      </c>
    </row>
    <row r="1240" spans="1:28" hidden="1">
      <c r="A1240">
        <v>1217</v>
      </c>
      <c r="B1240">
        <v>2500</v>
      </c>
      <c r="C1240" t="s">
        <v>26</v>
      </c>
      <c r="D1240" t="s">
        <v>2619</v>
      </c>
      <c r="E1240">
        <v>64</v>
      </c>
      <c r="G1240" t="s">
        <v>38</v>
      </c>
      <c r="H1240" t="s">
        <v>1409</v>
      </c>
      <c r="I1240" t="s">
        <v>551</v>
      </c>
      <c r="J1240" t="s">
        <v>26</v>
      </c>
      <c r="K1240" t="s">
        <v>38</v>
      </c>
      <c r="M1240" t="b">
        <v>0</v>
      </c>
      <c r="N1240" t="s">
        <v>32</v>
      </c>
      <c r="O1240" t="s">
        <v>33</v>
      </c>
      <c r="Q1240">
        <v>117.24</v>
      </c>
      <c r="R1240">
        <v>7.5</v>
      </c>
      <c r="S1240" t="s">
        <v>44</v>
      </c>
      <c r="T1240">
        <v>88.2</v>
      </c>
      <c r="V1240">
        <v>101.8</v>
      </c>
      <c r="W1240">
        <v>78.5</v>
      </c>
      <c r="X1240">
        <v>9.6</v>
      </c>
      <c r="Y1240">
        <v>36.6</v>
      </c>
      <c r="Z1240">
        <v>328239523</v>
      </c>
      <c r="AA1240">
        <v>37.090240000000001</v>
      </c>
      <c r="AB1240">
        <v>-95.712890999999999</v>
      </c>
    </row>
    <row r="1241" spans="1:28" hidden="1">
      <c r="A1241">
        <v>1217</v>
      </c>
      <c r="B1241">
        <v>2500</v>
      </c>
      <c r="C1241" t="s">
        <v>54</v>
      </c>
      <c r="D1241" t="s">
        <v>2620</v>
      </c>
      <c r="E1241">
        <v>74</v>
      </c>
      <c r="G1241" t="s">
        <v>38</v>
      </c>
      <c r="H1241" t="s">
        <v>65</v>
      </c>
      <c r="I1241" t="s">
        <v>231</v>
      </c>
      <c r="J1241" t="s">
        <v>54</v>
      </c>
      <c r="K1241" t="s">
        <v>38</v>
      </c>
      <c r="M1241" t="b">
        <v>1</v>
      </c>
      <c r="N1241" t="s">
        <v>42</v>
      </c>
      <c r="O1241" t="s">
        <v>33</v>
      </c>
      <c r="Q1241">
        <v>117.24</v>
      </c>
      <c r="R1241">
        <v>7.5</v>
      </c>
      <c r="S1241" t="s">
        <v>44</v>
      </c>
      <c r="T1241">
        <v>88.2</v>
      </c>
      <c r="V1241">
        <v>101.8</v>
      </c>
      <c r="W1241">
        <v>78.5</v>
      </c>
      <c r="X1241">
        <v>9.6</v>
      </c>
      <c r="Y1241">
        <v>36.6</v>
      </c>
      <c r="Z1241">
        <v>328239523</v>
      </c>
      <c r="AA1241">
        <v>37.090240000000001</v>
      </c>
      <c r="AB1241">
        <v>-95.712890999999999</v>
      </c>
    </row>
    <row r="1242" spans="1:28" hidden="1">
      <c r="A1242">
        <v>1217</v>
      </c>
      <c r="B1242">
        <v>2500</v>
      </c>
      <c r="C1242" t="s">
        <v>63</v>
      </c>
      <c r="D1242" t="s">
        <v>2621</v>
      </c>
      <c r="E1242">
        <v>53</v>
      </c>
      <c r="G1242" t="s">
        <v>38</v>
      </c>
      <c r="H1242" t="s">
        <v>65</v>
      </c>
      <c r="I1242" t="s">
        <v>2622</v>
      </c>
      <c r="J1242" t="s">
        <v>63</v>
      </c>
      <c r="K1242" t="s">
        <v>38</v>
      </c>
      <c r="M1242" t="b">
        <v>1</v>
      </c>
      <c r="N1242" t="s">
        <v>32</v>
      </c>
      <c r="O1242" t="s">
        <v>33</v>
      </c>
      <c r="Q1242">
        <v>117.24</v>
      </c>
      <c r="R1242">
        <v>7.5</v>
      </c>
      <c r="S1242" t="s">
        <v>44</v>
      </c>
      <c r="T1242">
        <v>88.2</v>
      </c>
      <c r="V1242">
        <v>101.8</v>
      </c>
      <c r="W1242">
        <v>78.5</v>
      </c>
      <c r="X1242">
        <v>9.6</v>
      </c>
      <c r="Y1242">
        <v>36.6</v>
      </c>
      <c r="Z1242">
        <v>328239523</v>
      </c>
      <c r="AA1242">
        <v>37.090240000000001</v>
      </c>
      <c r="AB1242">
        <v>-95.712890999999999</v>
      </c>
    </row>
    <row r="1243" spans="1:28" hidden="1">
      <c r="A1243">
        <v>1217</v>
      </c>
      <c r="B1243">
        <v>2500</v>
      </c>
      <c r="C1243" t="s">
        <v>36</v>
      </c>
      <c r="D1243" t="s">
        <v>2623</v>
      </c>
      <c r="E1243">
        <v>74</v>
      </c>
      <c r="G1243" t="s">
        <v>77</v>
      </c>
      <c r="H1243" t="s">
        <v>290</v>
      </c>
      <c r="I1243" t="s">
        <v>2294</v>
      </c>
      <c r="J1243" t="s">
        <v>36</v>
      </c>
      <c r="K1243" t="s">
        <v>77</v>
      </c>
      <c r="M1243" t="b">
        <v>0</v>
      </c>
      <c r="N1243" t="s">
        <v>419</v>
      </c>
      <c r="O1243" t="s">
        <v>33</v>
      </c>
      <c r="Q1243">
        <v>180.44</v>
      </c>
      <c r="R1243">
        <v>7.7</v>
      </c>
      <c r="S1243" t="s">
        <v>81</v>
      </c>
      <c r="T1243">
        <v>28.1</v>
      </c>
      <c r="V1243">
        <v>113</v>
      </c>
      <c r="W1243">
        <v>69.400000000000006</v>
      </c>
      <c r="X1243">
        <v>11.2</v>
      </c>
      <c r="Y1243">
        <v>49.7</v>
      </c>
      <c r="Z1243">
        <v>1366417754</v>
      </c>
      <c r="AA1243">
        <v>20.593684</v>
      </c>
      <c r="AB1243">
        <v>78.962879999999998</v>
      </c>
    </row>
    <row r="1244" spans="1:28" hidden="1">
      <c r="A1244">
        <v>1217</v>
      </c>
      <c r="B1244">
        <v>2500</v>
      </c>
      <c r="C1244" t="s">
        <v>250</v>
      </c>
      <c r="D1244" t="s">
        <v>2624</v>
      </c>
      <c r="E1244">
        <v>62</v>
      </c>
      <c r="G1244" t="s">
        <v>1267</v>
      </c>
      <c r="H1244" t="s">
        <v>1268</v>
      </c>
      <c r="I1244" t="s">
        <v>250</v>
      </c>
      <c r="J1244" t="s">
        <v>250</v>
      </c>
      <c r="K1244" t="s">
        <v>1267</v>
      </c>
      <c r="M1244" t="b">
        <v>0</v>
      </c>
      <c r="N1244" t="s">
        <v>853</v>
      </c>
      <c r="O1244" t="s">
        <v>33</v>
      </c>
      <c r="Q1244">
        <v>234.44</v>
      </c>
      <c r="R1244">
        <v>15.2</v>
      </c>
      <c r="S1244" t="s">
        <v>1270</v>
      </c>
      <c r="T1244">
        <v>23.9</v>
      </c>
      <c r="V1244">
        <v>93.2</v>
      </c>
      <c r="W1244">
        <v>77.400000000000006</v>
      </c>
      <c r="X1244">
        <v>17.899999999999999</v>
      </c>
      <c r="Y1244">
        <v>42.3</v>
      </c>
      <c r="Z1244">
        <v>83429615</v>
      </c>
      <c r="AA1244">
        <v>38.963745000000003</v>
      </c>
      <c r="AB1244">
        <v>35.243321999999999</v>
      </c>
    </row>
    <row r="1245" spans="1:28" hidden="1">
      <c r="A1245">
        <v>1217</v>
      </c>
      <c r="B1245">
        <v>2500</v>
      </c>
      <c r="C1245" t="s">
        <v>221</v>
      </c>
      <c r="D1245" t="s">
        <v>2625</v>
      </c>
      <c r="E1245">
        <v>66</v>
      </c>
      <c r="G1245" t="s">
        <v>38</v>
      </c>
      <c r="H1245" t="s">
        <v>359</v>
      </c>
      <c r="I1245" t="s">
        <v>1973</v>
      </c>
      <c r="J1245" t="s">
        <v>221</v>
      </c>
      <c r="K1245" t="s">
        <v>38</v>
      </c>
      <c r="M1245" t="b">
        <v>1</v>
      </c>
      <c r="N1245" t="s">
        <v>42</v>
      </c>
      <c r="O1245" t="s">
        <v>33</v>
      </c>
      <c r="Q1245">
        <v>117.24</v>
      </c>
      <c r="R1245">
        <v>7.5</v>
      </c>
      <c r="S1245" t="s">
        <v>44</v>
      </c>
      <c r="T1245">
        <v>88.2</v>
      </c>
      <c r="V1245">
        <v>101.8</v>
      </c>
      <c r="W1245">
        <v>78.5</v>
      </c>
      <c r="X1245">
        <v>9.6</v>
      </c>
      <c r="Y1245">
        <v>36.6</v>
      </c>
      <c r="Z1245">
        <v>328239523</v>
      </c>
      <c r="AA1245">
        <v>37.090240000000001</v>
      </c>
      <c r="AB1245">
        <v>-95.712890999999999</v>
      </c>
    </row>
    <row r="1246" spans="1:28" hidden="1">
      <c r="A1246">
        <v>1217</v>
      </c>
      <c r="B1246">
        <v>2500</v>
      </c>
      <c r="C1246" t="s">
        <v>469</v>
      </c>
      <c r="D1246" t="s">
        <v>2626</v>
      </c>
      <c r="E1246">
        <v>70</v>
      </c>
      <c r="G1246" t="s">
        <v>189</v>
      </c>
      <c r="H1246" t="s">
        <v>2627</v>
      </c>
      <c r="I1246" t="s">
        <v>2294</v>
      </c>
      <c r="J1246" t="s">
        <v>469</v>
      </c>
      <c r="K1246" t="s">
        <v>189</v>
      </c>
      <c r="M1246" t="b">
        <v>1</v>
      </c>
      <c r="N1246" t="s">
        <v>32</v>
      </c>
      <c r="O1246" t="s">
        <v>33</v>
      </c>
      <c r="Q1246">
        <v>118.06</v>
      </c>
      <c r="R1246">
        <v>1.5</v>
      </c>
      <c r="S1246" t="s">
        <v>193</v>
      </c>
      <c r="T1246">
        <v>85.1</v>
      </c>
      <c r="V1246">
        <v>103.1</v>
      </c>
      <c r="W1246">
        <v>81.599999999999994</v>
      </c>
      <c r="X1246">
        <v>25.4</v>
      </c>
      <c r="Y1246">
        <v>51.4</v>
      </c>
      <c r="Z1246">
        <v>8877067</v>
      </c>
      <c r="AA1246">
        <v>47.516230999999998</v>
      </c>
      <c r="AB1246">
        <v>14.550072</v>
      </c>
    </row>
    <row r="1247" spans="1:28" hidden="1">
      <c r="A1247">
        <v>1217</v>
      </c>
      <c r="B1247">
        <v>2500</v>
      </c>
      <c r="C1247" t="s">
        <v>217</v>
      </c>
      <c r="D1247" t="s">
        <v>2628</v>
      </c>
      <c r="E1247">
        <v>70</v>
      </c>
      <c r="G1247" t="s">
        <v>103</v>
      </c>
      <c r="H1247" t="s">
        <v>2629</v>
      </c>
      <c r="I1247" t="s">
        <v>2630</v>
      </c>
      <c r="J1247" t="s">
        <v>217</v>
      </c>
      <c r="K1247" t="s">
        <v>103</v>
      </c>
      <c r="M1247" t="b">
        <v>1</v>
      </c>
      <c r="N1247" t="s">
        <v>42</v>
      </c>
      <c r="O1247" t="s">
        <v>33</v>
      </c>
      <c r="Q1247">
        <v>125.08</v>
      </c>
      <c r="R1247">
        <v>2.9</v>
      </c>
      <c r="S1247" t="s">
        <v>106</v>
      </c>
      <c r="T1247">
        <v>50.6</v>
      </c>
      <c r="V1247">
        <v>100.2</v>
      </c>
      <c r="W1247">
        <v>77</v>
      </c>
      <c r="X1247">
        <v>9.4</v>
      </c>
      <c r="Y1247">
        <v>59.2</v>
      </c>
      <c r="Z1247">
        <v>1397715000</v>
      </c>
      <c r="AA1247">
        <v>35.861660000000001</v>
      </c>
      <c r="AB1247">
        <v>104.195397</v>
      </c>
    </row>
    <row r="1248" spans="1:28" hidden="1">
      <c r="A1248">
        <v>1217</v>
      </c>
      <c r="B1248">
        <v>2500</v>
      </c>
      <c r="C1248" t="s">
        <v>221</v>
      </c>
      <c r="D1248" t="s">
        <v>2631</v>
      </c>
      <c r="E1248">
        <v>76</v>
      </c>
      <c r="G1248" t="s">
        <v>810</v>
      </c>
      <c r="H1248" t="s">
        <v>811</v>
      </c>
      <c r="I1248" t="s">
        <v>223</v>
      </c>
      <c r="J1248" t="s">
        <v>221</v>
      </c>
      <c r="K1248" t="s">
        <v>810</v>
      </c>
      <c r="M1248" t="b">
        <v>1</v>
      </c>
      <c r="N1248" t="s">
        <v>42</v>
      </c>
      <c r="O1248" t="s">
        <v>33</v>
      </c>
    </row>
    <row r="1249" spans="1:28" hidden="1">
      <c r="A1249">
        <v>1217</v>
      </c>
      <c r="B1249">
        <v>2500</v>
      </c>
      <c r="C1249" t="s">
        <v>26</v>
      </c>
      <c r="D1249" t="s">
        <v>2632</v>
      </c>
      <c r="E1249">
        <v>36</v>
      </c>
      <c r="G1249" t="s">
        <v>103</v>
      </c>
      <c r="H1249" t="s">
        <v>176</v>
      </c>
      <c r="I1249" t="s">
        <v>2335</v>
      </c>
      <c r="J1249" t="s">
        <v>26</v>
      </c>
      <c r="K1249" t="s">
        <v>103</v>
      </c>
      <c r="M1249" t="b">
        <v>1</v>
      </c>
      <c r="N1249" t="s">
        <v>42</v>
      </c>
      <c r="O1249" t="s">
        <v>88</v>
      </c>
      <c r="Q1249">
        <v>125.08</v>
      </c>
      <c r="R1249">
        <v>2.9</v>
      </c>
      <c r="S1249" t="s">
        <v>106</v>
      </c>
      <c r="T1249">
        <v>50.6</v>
      </c>
      <c r="V1249">
        <v>100.2</v>
      </c>
      <c r="W1249">
        <v>77</v>
      </c>
      <c r="X1249">
        <v>9.4</v>
      </c>
      <c r="Y1249">
        <v>59.2</v>
      </c>
      <c r="Z1249">
        <v>1397715000</v>
      </c>
      <c r="AA1249">
        <v>35.861660000000001</v>
      </c>
      <c r="AB1249">
        <v>104.195397</v>
      </c>
    </row>
    <row r="1250" spans="1:28" hidden="1">
      <c r="A1250">
        <v>1217</v>
      </c>
      <c r="B1250">
        <v>2500</v>
      </c>
      <c r="C1250" t="s">
        <v>101</v>
      </c>
      <c r="D1250" t="s">
        <v>2633</v>
      </c>
      <c r="E1250">
        <v>77</v>
      </c>
      <c r="G1250" t="s">
        <v>429</v>
      </c>
      <c r="H1250" t="s">
        <v>430</v>
      </c>
      <c r="I1250" t="s">
        <v>2634</v>
      </c>
      <c r="J1250" t="s">
        <v>101</v>
      </c>
      <c r="K1250" t="s">
        <v>429</v>
      </c>
      <c r="M1250" t="b">
        <v>0</v>
      </c>
      <c r="N1250" t="s">
        <v>32</v>
      </c>
      <c r="O1250" t="s">
        <v>33</v>
      </c>
      <c r="Q1250">
        <v>113.27</v>
      </c>
      <c r="R1250">
        <v>0.7</v>
      </c>
      <c r="S1250" t="s">
        <v>431</v>
      </c>
      <c r="T1250">
        <v>49.3</v>
      </c>
      <c r="V1250">
        <v>99.8</v>
      </c>
      <c r="W1250">
        <v>76.900000000000006</v>
      </c>
      <c r="X1250">
        <v>14.9</v>
      </c>
      <c r="Y1250">
        <v>29.5</v>
      </c>
      <c r="Z1250">
        <v>69625582</v>
      </c>
      <c r="AA1250">
        <v>15.870032</v>
      </c>
      <c r="AB1250">
        <v>100.992541</v>
      </c>
    </row>
    <row r="1251" spans="1:28" hidden="1">
      <c r="A1251">
        <v>1217</v>
      </c>
      <c r="B1251">
        <v>2500</v>
      </c>
      <c r="C1251" t="s">
        <v>288</v>
      </c>
      <c r="D1251" t="s">
        <v>2635</v>
      </c>
      <c r="E1251">
        <v>76</v>
      </c>
      <c r="G1251" t="s">
        <v>156</v>
      </c>
      <c r="H1251" t="s">
        <v>2636</v>
      </c>
      <c r="I1251" t="s">
        <v>440</v>
      </c>
      <c r="J1251" t="s">
        <v>288</v>
      </c>
      <c r="K1251" t="s">
        <v>156</v>
      </c>
      <c r="M1251" t="b">
        <v>1</v>
      </c>
      <c r="N1251" t="s">
        <v>419</v>
      </c>
      <c r="O1251" t="s">
        <v>33</v>
      </c>
      <c r="Q1251">
        <v>99.55</v>
      </c>
      <c r="R1251">
        <v>0.4</v>
      </c>
      <c r="S1251" t="s">
        <v>159</v>
      </c>
      <c r="T1251">
        <v>59.6</v>
      </c>
      <c r="V1251">
        <v>105.2</v>
      </c>
      <c r="W1251">
        <v>83.6</v>
      </c>
      <c r="X1251">
        <v>10.1</v>
      </c>
      <c r="Y1251">
        <v>28.8</v>
      </c>
      <c r="Z1251">
        <v>8574832</v>
      </c>
      <c r="AA1251">
        <v>46.818187999999999</v>
      </c>
      <c r="AB1251">
        <v>8.2275120000000008</v>
      </c>
    </row>
    <row r="1252" spans="1:28" hidden="1">
      <c r="A1252">
        <v>1217</v>
      </c>
      <c r="B1252">
        <v>2500</v>
      </c>
      <c r="C1252" t="s">
        <v>36</v>
      </c>
      <c r="D1252" t="s">
        <v>2637</v>
      </c>
      <c r="E1252">
        <v>92</v>
      </c>
      <c r="G1252" t="s">
        <v>77</v>
      </c>
      <c r="H1252" t="s">
        <v>248</v>
      </c>
      <c r="I1252" t="s">
        <v>2638</v>
      </c>
      <c r="J1252" t="s">
        <v>36</v>
      </c>
      <c r="K1252" t="s">
        <v>77</v>
      </c>
      <c r="M1252" t="b">
        <v>0</v>
      </c>
      <c r="N1252" t="s">
        <v>419</v>
      </c>
      <c r="O1252" t="s">
        <v>33</v>
      </c>
      <c r="Q1252">
        <v>180.44</v>
      </c>
      <c r="R1252">
        <v>7.7</v>
      </c>
      <c r="S1252" t="s">
        <v>81</v>
      </c>
      <c r="T1252">
        <v>28.1</v>
      </c>
      <c r="V1252">
        <v>113</v>
      </c>
      <c r="W1252">
        <v>69.400000000000006</v>
      </c>
      <c r="X1252">
        <v>11.2</v>
      </c>
      <c r="Y1252">
        <v>49.7</v>
      </c>
      <c r="Z1252">
        <v>1366417754</v>
      </c>
      <c r="AA1252">
        <v>20.593684</v>
      </c>
      <c r="AB1252">
        <v>78.962879999999998</v>
      </c>
    </row>
    <row r="1253" spans="1:28">
      <c r="A1253">
        <v>1217</v>
      </c>
      <c r="B1253">
        <v>2500</v>
      </c>
      <c r="C1253" t="s">
        <v>45</v>
      </c>
      <c r="D1253" t="s">
        <v>2639</v>
      </c>
      <c r="E1253">
        <v>34</v>
      </c>
      <c r="F1253" t="str">
        <f>IF(E1253&gt;=90,"90-100",IF(E1253&gt;=80,"80-90",IF(E1253&gt;=70,"70-80",IF(E1253&gt;=60,"60-70",IF(E1253&gt;=50,"50-60",IF(E1253&gt;=40,"40-50",IF(E1253&gt;=30,"30-40","20-30")))))))</f>
        <v>30-40</v>
      </c>
      <c r="G1253" t="s">
        <v>38</v>
      </c>
      <c r="H1253" t="s">
        <v>1235</v>
      </c>
      <c r="I1253" t="s">
        <v>2476</v>
      </c>
      <c r="J1253" t="s">
        <v>45</v>
      </c>
      <c r="K1253" t="s">
        <v>38</v>
      </c>
      <c r="L1253" t="s">
        <v>2477</v>
      </c>
      <c r="M1253" t="b">
        <v>1</v>
      </c>
      <c r="N1253" t="s">
        <v>42</v>
      </c>
      <c r="O1253" t="s">
        <v>4867</v>
      </c>
      <c r="P1253" t="s">
        <v>110</v>
      </c>
      <c r="Q1253">
        <v>117.24</v>
      </c>
      <c r="R1253">
        <v>7.5</v>
      </c>
      <c r="S1253" t="s">
        <v>44</v>
      </c>
      <c r="T1253">
        <v>88.2</v>
      </c>
      <c r="U1253" t="str">
        <f>IF(T1253&gt;=100,"above 100",IF(T1253&gt;=80,"80-100",IF(T1253&gt;=60,"60-80",IF(T1253&gt;=40,"40-60",IF(T1253&gt;=20,"20-60","0-20")))))</f>
        <v>80-100</v>
      </c>
      <c r="V1253">
        <v>101.8</v>
      </c>
      <c r="W1253">
        <v>78.5</v>
      </c>
      <c r="X1253">
        <v>9.6</v>
      </c>
      <c r="Y1253">
        <v>36.6</v>
      </c>
      <c r="Z1253">
        <v>328239523</v>
      </c>
      <c r="AA1253">
        <v>37.090240000000001</v>
      </c>
      <c r="AB1253">
        <v>-95.712890999999999</v>
      </c>
    </row>
    <row r="1254" spans="1:28" hidden="1">
      <c r="A1254">
        <v>1217</v>
      </c>
      <c r="B1254">
        <v>2500</v>
      </c>
      <c r="C1254" t="s">
        <v>221</v>
      </c>
      <c r="D1254" t="s">
        <v>2640</v>
      </c>
      <c r="E1254">
        <v>49</v>
      </c>
      <c r="G1254" t="s">
        <v>95</v>
      </c>
      <c r="H1254" t="s">
        <v>2641</v>
      </c>
      <c r="I1254" t="s">
        <v>2220</v>
      </c>
      <c r="J1254" t="s">
        <v>221</v>
      </c>
      <c r="K1254" t="s">
        <v>95</v>
      </c>
      <c r="M1254" t="b">
        <v>1</v>
      </c>
      <c r="N1254" t="s">
        <v>32</v>
      </c>
      <c r="O1254" t="s">
        <v>33</v>
      </c>
      <c r="Q1254">
        <v>110.96</v>
      </c>
      <c r="R1254">
        <v>0.7</v>
      </c>
      <c r="S1254" t="s">
        <v>98</v>
      </c>
      <c r="T1254">
        <v>88.9</v>
      </c>
      <c r="V1254">
        <v>102.7</v>
      </c>
      <c r="W1254">
        <v>83.3</v>
      </c>
      <c r="X1254">
        <v>14.2</v>
      </c>
      <c r="Y1254">
        <v>47</v>
      </c>
      <c r="Z1254">
        <v>47076781</v>
      </c>
      <c r="AA1254">
        <v>40.463667000000001</v>
      </c>
      <c r="AB1254">
        <v>-3.7492200000000002</v>
      </c>
    </row>
    <row r="1255" spans="1:28" hidden="1">
      <c r="A1255">
        <v>1217</v>
      </c>
      <c r="B1255">
        <v>2500</v>
      </c>
      <c r="C1255" t="s">
        <v>217</v>
      </c>
      <c r="D1255" t="s">
        <v>2642</v>
      </c>
      <c r="E1255">
        <v>64</v>
      </c>
      <c r="G1255" t="s">
        <v>38</v>
      </c>
      <c r="H1255" t="s">
        <v>1133</v>
      </c>
      <c r="I1255" t="s">
        <v>2643</v>
      </c>
      <c r="J1255" t="s">
        <v>217</v>
      </c>
      <c r="K1255" t="s">
        <v>38</v>
      </c>
      <c r="M1255" t="b">
        <v>1</v>
      </c>
      <c r="N1255" t="s">
        <v>42</v>
      </c>
      <c r="O1255" t="s">
        <v>88</v>
      </c>
      <c r="Q1255">
        <v>117.24</v>
      </c>
      <c r="R1255">
        <v>7.5</v>
      </c>
      <c r="S1255" t="s">
        <v>44</v>
      </c>
      <c r="T1255">
        <v>88.2</v>
      </c>
      <c r="V1255">
        <v>101.8</v>
      </c>
      <c r="W1255">
        <v>78.5</v>
      </c>
      <c r="X1255">
        <v>9.6</v>
      </c>
      <c r="Y1255">
        <v>36.6</v>
      </c>
      <c r="Z1255">
        <v>328239523</v>
      </c>
      <c r="AA1255">
        <v>37.090240000000001</v>
      </c>
      <c r="AB1255">
        <v>-95.712890999999999</v>
      </c>
    </row>
    <row r="1256" spans="1:28" hidden="1">
      <c r="A1256">
        <v>1217</v>
      </c>
      <c r="B1256">
        <v>2500</v>
      </c>
      <c r="C1256" t="s">
        <v>54</v>
      </c>
      <c r="D1256" t="s">
        <v>2644</v>
      </c>
      <c r="E1256">
        <v>69</v>
      </c>
      <c r="G1256" t="s">
        <v>38</v>
      </c>
      <c r="H1256" t="s">
        <v>652</v>
      </c>
      <c r="I1256" t="s">
        <v>1193</v>
      </c>
      <c r="J1256" t="s">
        <v>54</v>
      </c>
      <c r="K1256" t="s">
        <v>38</v>
      </c>
      <c r="M1256" t="b">
        <v>0</v>
      </c>
      <c r="N1256" t="s">
        <v>42</v>
      </c>
      <c r="O1256" t="s">
        <v>33</v>
      </c>
      <c r="Q1256">
        <v>117.24</v>
      </c>
      <c r="R1256">
        <v>7.5</v>
      </c>
      <c r="S1256" t="s">
        <v>44</v>
      </c>
      <c r="T1256">
        <v>88.2</v>
      </c>
      <c r="V1256">
        <v>101.8</v>
      </c>
      <c r="W1256">
        <v>78.5</v>
      </c>
      <c r="X1256">
        <v>9.6</v>
      </c>
      <c r="Y1256">
        <v>36.6</v>
      </c>
      <c r="Z1256">
        <v>328239523</v>
      </c>
      <c r="AA1256">
        <v>37.090240000000001</v>
      </c>
      <c r="AB1256">
        <v>-95.712890999999999</v>
      </c>
    </row>
    <row r="1257" spans="1:28" hidden="1">
      <c r="A1257">
        <v>1217</v>
      </c>
      <c r="B1257">
        <v>2500</v>
      </c>
      <c r="C1257" t="s">
        <v>45</v>
      </c>
      <c r="D1257" t="s">
        <v>2645</v>
      </c>
      <c r="E1257">
        <v>77</v>
      </c>
      <c r="G1257" t="s">
        <v>103</v>
      </c>
      <c r="H1257" t="s">
        <v>2646</v>
      </c>
      <c r="I1257" t="s">
        <v>312</v>
      </c>
      <c r="J1257" t="s">
        <v>45</v>
      </c>
      <c r="K1257" t="s">
        <v>103</v>
      </c>
      <c r="M1257" t="b">
        <v>1</v>
      </c>
      <c r="N1257" t="s">
        <v>419</v>
      </c>
      <c r="O1257" t="s">
        <v>88</v>
      </c>
      <c r="Q1257">
        <v>125.08</v>
      </c>
      <c r="R1257">
        <v>2.9</v>
      </c>
      <c r="S1257" t="s">
        <v>106</v>
      </c>
      <c r="T1257">
        <v>50.6</v>
      </c>
      <c r="V1257">
        <v>100.2</v>
      </c>
      <c r="W1257">
        <v>77</v>
      </c>
      <c r="X1257">
        <v>9.4</v>
      </c>
      <c r="Y1257">
        <v>59.2</v>
      </c>
      <c r="Z1257">
        <v>1397715000</v>
      </c>
      <c r="AA1257">
        <v>35.861660000000001</v>
      </c>
      <c r="AB1257">
        <v>104.195397</v>
      </c>
    </row>
    <row r="1258" spans="1:28" hidden="1">
      <c r="A1258">
        <v>1217</v>
      </c>
      <c r="B1258">
        <v>2500</v>
      </c>
      <c r="C1258" t="s">
        <v>75</v>
      </c>
      <c r="D1258" t="s">
        <v>2647</v>
      </c>
      <c r="E1258">
        <v>59</v>
      </c>
      <c r="G1258" t="s">
        <v>1267</v>
      </c>
      <c r="H1258" t="s">
        <v>1268</v>
      </c>
      <c r="I1258" t="s">
        <v>75</v>
      </c>
      <c r="J1258" t="s">
        <v>75</v>
      </c>
      <c r="K1258" t="s">
        <v>1267</v>
      </c>
      <c r="M1258" t="b">
        <v>0</v>
      </c>
      <c r="N1258" t="s">
        <v>32</v>
      </c>
      <c r="O1258" t="s">
        <v>33</v>
      </c>
      <c r="Q1258">
        <v>234.44</v>
      </c>
      <c r="R1258">
        <v>15.2</v>
      </c>
      <c r="S1258" t="s">
        <v>1270</v>
      </c>
      <c r="T1258">
        <v>23.9</v>
      </c>
      <c r="V1258">
        <v>93.2</v>
      </c>
      <c r="W1258">
        <v>77.400000000000006</v>
      </c>
      <c r="X1258">
        <v>17.899999999999999</v>
      </c>
      <c r="Y1258">
        <v>42.3</v>
      </c>
      <c r="Z1258">
        <v>83429615</v>
      </c>
      <c r="AA1258">
        <v>38.963745000000003</v>
      </c>
      <c r="AB1258">
        <v>35.243321999999999</v>
      </c>
    </row>
    <row r="1259" spans="1:28" hidden="1">
      <c r="A1259">
        <v>1217</v>
      </c>
      <c r="B1259">
        <v>2500</v>
      </c>
      <c r="C1259" t="s">
        <v>236</v>
      </c>
      <c r="D1259" t="s">
        <v>2648</v>
      </c>
      <c r="E1259">
        <v>77</v>
      </c>
      <c r="G1259" t="s">
        <v>103</v>
      </c>
      <c r="H1259" t="s">
        <v>2649</v>
      </c>
      <c r="I1259" t="s">
        <v>2650</v>
      </c>
      <c r="J1259" t="s">
        <v>236</v>
      </c>
      <c r="K1259" t="s">
        <v>103</v>
      </c>
      <c r="M1259" t="b">
        <v>1</v>
      </c>
      <c r="N1259" t="s">
        <v>32</v>
      </c>
      <c r="O1259" t="s">
        <v>33</v>
      </c>
      <c r="Q1259">
        <v>125.08</v>
      </c>
      <c r="R1259">
        <v>2.9</v>
      </c>
      <c r="S1259" t="s">
        <v>106</v>
      </c>
      <c r="T1259">
        <v>50.6</v>
      </c>
      <c r="V1259">
        <v>100.2</v>
      </c>
      <c r="W1259">
        <v>77</v>
      </c>
      <c r="X1259">
        <v>9.4</v>
      </c>
      <c r="Y1259">
        <v>59.2</v>
      </c>
      <c r="Z1259">
        <v>1397715000</v>
      </c>
      <c r="AA1259">
        <v>35.861660000000001</v>
      </c>
      <c r="AB1259">
        <v>104.195397</v>
      </c>
    </row>
    <row r="1260" spans="1:28" hidden="1">
      <c r="A1260">
        <v>1217</v>
      </c>
      <c r="B1260">
        <v>2500</v>
      </c>
      <c r="C1260" t="s">
        <v>75</v>
      </c>
      <c r="D1260" t="s">
        <v>2651</v>
      </c>
      <c r="E1260">
        <v>60</v>
      </c>
      <c r="G1260" t="s">
        <v>103</v>
      </c>
      <c r="H1260" t="s">
        <v>215</v>
      </c>
      <c r="I1260" t="s">
        <v>2652</v>
      </c>
      <c r="J1260" t="s">
        <v>75</v>
      </c>
      <c r="K1260" t="s">
        <v>103</v>
      </c>
      <c r="M1260" t="b">
        <v>1</v>
      </c>
      <c r="N1260" t="s">
        <v>42</v>
      </c>
      <c r="O1260" t="s">
        <v>33</v>
      </c>
      <c r="Q1260">
        <v>125.08</v>
      </c>
      <c r="R1260">
        <v>2.9</v>
      </c>
      <c r="S1260" t="s">
        <v>106</v>
      </c>
      <c r="T1260">
        <v>50.6</v>
      </c>
      <c r="V1260">
        <v>100.2</v>
      </c>
      <c r="W1260">
        <v>77</v>
      </c>
      <c r="X1260">
        <v>9.4</v>
      </c>
      <c r="Y1260">
        <v>59.2</v>
      </c>
      <c r="Z1260">
        <v>1397715000</v>
      </c>
      <c r="AA1260">
        <v>35.861660000000001</v>
      </c>
      <c r="AB1260">
        <v>104.195397</v>
      </c>
    </row>
    <row r="1261" spans="1:28" hidden="1">
      <c r="A1261">
        <v>1217</v>
      </c>
      <c r="B1261">
        <v>2500</v>
      </c>
      <c r="C1261" t="s">
        <v>221</v>
      </c>
      <c r="D1261" t="s">
        <v>2653</v>
      </c>
      <c r="E1261">
        <v>63</v>
      </c>
      <c r="G1261" t="s">
        <v>38</v>
      </c>
      <c r="H1261" t="s">
        <v>65</v>
      </c>
      <c r="I1261" t="s">
        <v>223</v>
      </c>
      <c r="J1261" t="s">
        <v>221</v>
      </c>
      <c r="K1261" t="s">
        <v>38</v>
      </c>
      <c r="M1261" t="b">
        <v>1</v>
      </c>
      <c r="N1261" t="s">
        <v>42</v>
      </c>
      <c r="O1261" t="s">
        <v>33</v>
      </c>
      <c r="Q1261">
        <v>117.24</v>
      </c>
      <c r="R1261">
        <v>7.5</v>
      </c>
      <c r="S1261" t="s">
        <v>44</v>
      </c>
      <c r="T1261">
        <v>88.2</v>
      </c>
      <c r="V1261">
        <v>101.8</v>
      </c>
      <c r="W1261">
        <v>78.5</v>
      </c>
      <c r="X1261">
        <v>9.6</v>
      </c>
      <c r="Y1261">
        <v>36.6</v>
      </c>
      <c r="Z1261">
        <v>328239523</v>
      </c>
      <c r="AA1261">
        <v>37.090240000000001</v>
      </c>
      <c r="AB1261">
        <v>-95.712890999999999</v>
      </c>
    </row>
    <row r="1262" spans="1:28" hidden="1">
      <c r="A1262">
        <v>1217</v>
      </c>
      <c r="B1262">
        <v>2500</v>
      </c>
      <c r="C1262" t="s">
        <v>75</v>
      </c>
      <c r="D1262" t="s">
        <v>2654</v>
      </c>
      <c r="E1262">
        <v>69</v>
      </c>
      <c r="G1262" t="s">
        <v>726</v>
      </c>
      <c r="H1262" t="s">
        <v>727</v>
      </c>
      <c r="I1262" t="s">
        <v>75</v>
      </c>
      <c r="J1262" t="s">
        <v>75</v>
      </c>
      <c r="K1262" t="s">
        <v>726</v>
      </c>
      <c r="M1262" t="b">
        <v>0</v>
      </c>
      <c r="N1262" t="s">
        <v>42</v>
      </c>
      <c r="O1262" t="s">
        <v>33</v>
      </c>
      <c r="Q1262">
        <v>129.61000000000001</v>
      </c>
      <c r="R1262">
        <v>2.5</v>
      </c>
      <c r="S1262" t="s">
        <v>728</v>
      </c>
      <c r="T1262">
        <v>35.5</v>
      </c>
      <c r="V1262">
        <v>107.5</v>
      </c>
      <c r="W1262">
        <v>71.099999999999994</v>
      </c>
      <c r="X1262">
        <v>14</v>
      </c>
      <c r="Y1262">
        <v>43.1</v>
      </c>
      <c r="Z1262">
        <v>108116615</v>
      </c>
      <c r="AA1262">
        <v>12.879721</v>
      </c>
      <c r="AB1262">
        <v>121.774017</v>
      </c>
    </row>
    <row r="1263" spans="1:28" hidden="1">
      <c r="A1263">
        <v>1217</v>
      </c>
      <c r="B1263">
        <v>2500</v>
      </c>
      <c r="C1263" t="s">
        <v>75</v>
      </c>
      <c r="D1263" t="s">
        <v>2655</v>
      </c>
      <c r="E1263">
        <v>71</v>
      </c>
      <c r="G1263" t="s">
        <v>726</v>
      </c>
      <c r="H1263" t="s">
        <v>727</v>
      </c>
      <c r="I1263" t="s">
        <v>75</v>
      </c>
      <c r="J1263" t="s">
        <v>75</v>
      </c>
      <c r="K1263" t="s">
        <v>726</v>
      </c>
      <c r="M1263" t="b">
        <v>1</v>
      </c>
      <c r="N1263" t="s">
        <v>42</v>
      </c>
      <c r="O1263" t="s">
        <v>33</v>
      </c>
      <c r="Q1263">
        <v>129.61000000000001</v>
      </c>
      <c r="R1263">
        <v>2.5</v>
      </c>
      <c r="S1263" t="s">
        <v>728</v>
      </c>
      <c r="T1263">
        <v>35.5</v>
      </c>
      <c r="V1263">
        <v>107.5</v>
      </c>
      <c r="W1263">
        <v>71.099999999999994</v>
      </c>
      <c r="X1263">
        <v>14</v>
      </c>
      <c r="Y1263">
        <v>43.1</v>
      </c>
      <c r="Z1263">
        <v>108116615</v>
      </c>
      <c r="AA1263">
        <v>12.879721</v>
      </c>
      <c r="AB1263">
        <v>121.774017</v>
      </c>
    </row>
    <row r="1264" spans="1:28" hidden="1">
      <c r="A1264">
        <v>1217</v>
      </c>
      <c r="B1264">
        <v>2500</v>
      </c>
      <c r="C1264" t="s">
        <v>250</v>
      </c>
      <c r="D1264" t="s">
        <v>2656</v>
      </c>
      <c r="E1264">
        <v>53</v>
      </c>
      <c r="G1264" t="s">
        <v>395</v>
      </c>
      <c r="H1264" t="s">
        <v>395</v>
      </c>
      <c r="I1264" t="s">
        <v>2112</v>
      </c>
      <c r="J1264" t="s">
        <v>250</v>
      </c>
      <c r="K1264" t="s">
        <v>77</v>
      </c>
      <c r="M1264" t="b">
        <v>1</v>
      </c>
      <c r="N1264" t="s">
        <v>32</v>
      </c>
      <c r="O1264" t="s">
        <v>33</v>
      </c>
      <c r="Q1264">
        <v>114.41</v>
      </c>
      <c r="R1264">
        <v>0.6</v>
      </c>
      <c r="S1264" t="s">
        <v>451</v>
      </c>
      <c r="T1264">
        <v>84.8</v>
      </c>
      <c r="V1264">
        <v>100.6</v>
      </c>
      <c r="W1264">
        <v>83.1</v>
      </c>
      <c r="X1264">
        <v>13.1</v>
      </c>
      <c r="Y1264">
        <v>21</v>
      </c>
      <c r="Z1264">
        <v>5703569</v>
      </c>
      <c r="AA1264">
        <v>1.3520829999999999</v>
      </c>
      <c r="AB1264">
        <v>103.819836</v>
      </c>
    </row>
    <row r="1265" spans="1:28" hidden="1">
      <c r="A1265">
        <v>1217</v>
      </c>
      <c r="B1265">
        <v>2500</v>
      </c>
      <c r="C1265" t="s">
        <v>54</v>
      </c>
      <c r="D1265" t="s">
        <v>2657</v>
      </c>
      <c r="E1265">
        <v>64</v>
      </c>
      <c r="G1265" t="s">
        <v>38</v>
      </c>
      <c r="H1265" t="s">
        <v>781</v>
      </c>
      <c r="I1265" t="s">
        <v>231</v>
      </c>
      <c r="J1265" t="s">
        <v>54</v>
      </c>
      <c r="K1265" t="s">
        <v>38</v>
      </c>
      <c r="M1265" t="b">
        <v>1</v>
      </c>
      <c r="N1265" t="s">
        <v>32</v>
      </c>
      <c r="O1265" t="s">
        <v>33</v>
      </c>
      <c r="Q1265">
        <v>117.24</v>
      </c>
      <c r="R1265">
        <v>7.5</v>
      </c>
      <c r="S1265" t="s">
        <v>44</v>
      </c>
      <c r="T1265">
        <v>88.2</v>
      </c>
      <c r="V1265">
        <v>101.8</v>
      </c>
      <c r="W1265">
        <v>78.5</v>
      </c>
      <c r="X1265">
        <v>9.6</v>
      </c>
      <c r="Y1265">
        <v>36.6</v>
      </c>
      <c r="Z1265">
        <v>328239523</v>
      </c>
      <c r="AA1265">
        <v>37.090240000000001</v>
      </c>
      <c r="AB1265">
        <v>-95.712890999999999</v>
      </c>
    </row>
    <row r="1266" spans="1:28" hidden="1">
      <c r="A1266">
        <v>1217</v>
      </c>
      <c r="B1266">
        <v>2500</v>
      </c>
      <c r="C1266" t="s">
        <v>221</v>
      </c>
      <c r="D1266" t="s">
        <v>2658</v>
      </c>
      <c r="E1266">
        <v>76</v>
      </c>
      <c r="G1266" t="s">
        <v>38</v>
      </c>
      <c r="H1266" t="s">
        <v>257</v>
      </c>
      <c r="I1266" t="s">
        <v>223</v>
      </c>
      <c r="J1266" t="s">
        <v>221</v>
      </c>
      <c r="K1266" t="s">
        <v>38</v>
      </c>
      <c r="M1266" t="b">
        <v>0</v>
      </c>
      <c r="N1266" t="s">
        <v>42</v>
      </c>
      <c r="O1266" t="s">
        <v>33</v>
      </c>
      <c r="Q1266">
        <v>117.24</v>
      </c>
      <c r="R1266">
        <v>7.5</v>
      </c>
      <c r="S1266" t="s">
        <v>44</v>
      </c>
      <c r="T1266">
        <v>88.2</v>
      </c>
      <c r="V1266">
        <v>101.8</v>
      </c>
      <c r="W1266">
        <v>78.5</v>
      </c>
      <c r="X1266">
        <v>9.6</v>
      </c>
      <c r="Y1266">
        <v>36.6</v>
      </c>
      <c r="Z1266">
        <v>328239523</v>
      </c>
      <c r="AA1266">
        <v>37.090240000000001</v>
      </c>
      <c r="AB1266">
        <v>-95.712890999999999</v>
      </c>
    </row>
    <row r="1267" spans="1:28" hidden="1">
      <c r="A1267">
        <v>1217</v>
      </c>
      <c r="B1267">
        <v>2500</v>
      </c>
      <c r="C1267" t="s">
        <v>36</v>
      </c>
      <c r="D1267" t="s">
        <v>2659</v>
      </c>
      <c r="E1267">
        <v>78</v>
      </c>
      <c r="G1267" t="s">
        <v>148</v>
      </c>
      <c r="H1267" t="s">
        <v>2660</v>
      </c>
      <c r="I1267" t="s">
        <v>2661</v>
      </c>
      <c r="J1267" t="s">
        <v>36</v>
      </c>
      <c r="K1267" t="s">
        <v>148</v>
      </c>
      <c r="M1267" t="b">
        <v>1</v>
      </c>
      <c r="N1267" t="s">
        <v>32</v>
      </c>
      <c r="O1267" t="s">
        <v>33</v>
      </c>
      <c r="Q1267">
        <v>112.85</v>
      </c>
      <c r="R1267">
        <v>1.4</v>
      </c>
      <c r="S1267" t="s">
        <v>151</v>
      </c>
      <c r="T1267">
        <v>70.2</v>
      </c>
      <c r="V1267">
        <v>104</v>
      </c>
      <c r="W1267">
        <v>80.900000000000006</v>
      </c>
      <c r="X1267">
        <v>11.5</v>
      </c>
      <c r="Y1267">
        <v>48.8</v>
      </c>
      <c r="Z1267">
        <v>83132799</v>
      </c>
      <c r="AA1267">
        <v>51.165691000000002</v>
      </c>
      <c r="AB1267">
        <v>10.451525999999999</v>
      </c>
    </row>
    <row r="1268" spans="1:28" hidden="1">
      <c r="A1268">
        <v>1217</v>
      </c>
      <c r="B1268">
        <v>2500</v>
      </c>
      <c r="C1268" t="s">
        <v>26</v>
      </c>
      <c r="D1268" t="s">
        <v>2662</v>
      </c>
      <c r="E1268">
        <v>74</v>
      </c>
      <c r="G1268" t="s">
        <v>103</v>
      </c>
      <c r="H1268" t="s">
        <v>2663</v>
      </c>
      <c r="I1268" t="s">
        <v>150</v>
      </c>
      <c r="J1268" t="s">
        <v>26</v>
      </c>
      <c r="K1268" t="s">
        <v>38</v>
      </c>
      <c r="M1268" t="b">
        <v>1</v>
      </c>
      <c r="N1268" t="s">
        <v>42</v>
      </c>
      <c r="O1268" t="s">
        <v>33</v>
      </c>
      <c r="Q1268">
        <v>125.08</v>
      </c>
      <c r="R1268">
        <v>2.9</v>
      </c>
      <c r="S1268" t="s">
        <v>106</v>
      </c>
      <c r="T1268">
        <v>50.6</v>
      </c>
      <c r="V1268">
        <v>100.2</v>
      </c>
      <c r="W1268">
        <v>77</v>
      </c>
      <c r="X1268">
        <v>9.4</v>
      </c>
      <c r="Y1268">
        <v>59.2</v>
      </c>
      <c r="Z1268">
        <v>1397715000</v>
      </c>
      <c r="AA1268">
        <v>35.861660000000001</v>
      </c>
      <c r="AB1268">
        <v>104.195397</v>
      </c>
    </row>
    <row r="1269" spans="1:28" hidden="1">
      <c r="A1269">
        <v>1217</v>
      </c>
      <c r="B1269">
        <v>2500</v>
      </c>
      <c r="C1269" t="s">
        <v>63</v>
      </c>
      <c r="D1269" t="s">
        <v>2664</v>
      </c>
      <c r="E1269">
        <v>69</v>
      </c>
      <c r="G1269" t="s">
        <v>38</v>
      </c>
      <c r="H1269" t="s">
        <v>2665</v>
      </c>
      <c r="I1269" t="s">
        <v>2666</v>
      </c>
      <c r="J1269" t="s">
        <v>63</v>
      </c>
      <c r="K1269" t="s">
        <v>38</v>
      </c>
      <c r="M1269" t="b">
        <v>1</v>
      </c>
      <c r="N1269" t="s">
        <v>42</v>
      </c>
      <c r="O1269" t="s">
        <v>88</v>
      </c>
      <c r="P1269" t="s">
        <v>2667</v>
      </c>
      <c r="Q1269">
        <v>117.24</v>
      </c>
      <c r="R1269">
        <v>7.5</v>
      </c>
      <c r="S1269" t="s">
        <v>44</v>
      </c>
      <c r="T1269">
        <v>88.2</v>
      </c>
      <c r="V1269">
        <v>101.8</v>
      </c>
      <c r="W1269">
        <v>78.5</v>
      </c>
      <c r="X1269">
        <v>9.6</v>
      </c>
      <c r="Y1269">
        <v>36.6</v>
      </c>
      <c r="Z1269">
        <v>328239523</v>
      </c>
      <c r="AA1269">
        <v>37.090240000000001</v>
      </c>
      <c r="AB1269">
        <v>-95.712890999999999</v>
      </c>
    </row>
    <row r="1270" spans="1:28" hidden="1">
      <c r="A1270">
        <v>1217</v>
      </c>
      <c r="B1270">
        <v>2500</v>
      </c>
      <c r="C1270" t="s">
        <v>101</v>
      </c>
      <c r="D1270" t="s">
        <v>2668</v>
      </c>
      <c r="E1270">
        <v>88</v>
      </c>
      <c r="G1270" t="s">
        <v>103</v>
      </c>
      <c r="H1270" t="s">
        <v>2669</v>
      </c>
      <c r="I1270" t="s">
        <v>2670</v>
      </c>
      <c r="J1270" t="s">
        <v>101</v>
      </c>
      <c r="K1270" t="s">
        <v>103</v>
      </c>
      <c r="M1270" t="b">
        <v>1</v>
      </c>
      <c r="N1270" t="s">
        <v>42</v>
      </c>
      <c r="O1270" t="s">
        <v>33</v>
      </c>
      <c r="Q1270">
        <v>125.08</v>
      </c>
      <c r="R1270">
        <v>2.9</v>
      </c>
      <c r="S1270" t="s">
        <v>106</v>
      </c>
      <c r="T1270">
        <v>50.6</v>
      </c>
      <c r="V1270">
        <v>100.2</v>
      </c>
      <c r="W1270">
        <v>77</v>
      </c>
      <c r="X1270">
        <v>9.4</v>
      </c>
      <c r="Y1270">
        <v>59.2</v>
      </c>
      <c r="Z1270">
        <v>1397715000</v>
      </c>
      <c r="AA1270">
        <v>35.861660000000001</v>
      </c>
      <c r="AB1270">
        <v>104.195397</v>
      </c>
    </row>
    <row r="1271" spans="1:28" hidden="1">
      <c r="A1271">
        <v>1217</v>
      </c>
      <c r="B1271">
        <v>2500</v>
      </c>
      <c r="C1271" t="s">
        <v>236</v>
      </c>
      <c r="D1271" t="s">
        <v>2671</v>
      </c>
      <c r="E1271">
        <v>66</v>
      </c>
      <c r="G1271" t="s">
        <v>395</v>
      </c>
      <c r="I1271" t="s">
        <v>2672</v>
      </c>
      <c r="J1271" t="s">
        <v>236</v>
      </c>
      <c r="K1271" t="s">
        <v>810</v>
      </c>
      <c r="M1271" t="b">
        <v>1</v>
      </c>
      <c r="N1271" t="s">
        <v>42</v>
      </c>
      <c r="O1271" t="s">
        <v>33</v>
      </c>
      <c r="Q1271">
        <v>114.41</v>
      </c>
      <c r="R1271">
        <v>0.6</v>
      </c>
      <c r="S1271" t="s">
        <v>451</v>
      </c>
      <c r="T1271">
        <v>84.8</v>
      </c>
      <c r="V1271">
        <v>100.6</v>
      </c>
      <c r="W1271">
        <v>83.1</v>
      </c>
      <c r="X1271">
        <v>13.1</v>
      </c>
      <c r="Y1271">
        <v>21</v>
      </c>
      <c r="Z1271">
        <v>5703569</v>
      </c>
      <c r="AA1271">
        <v>1.3520829999999999</v>
      </c>
      <c r="AB1271">
        <v>103.819836</v>
      </c>
    </row>
    <row r="1272" spans="1:28" hidden="1">
      <c r="A1272">
        <v>1217</v>
      </c>
      <c r="B1272">
        <v>2500</v>
      </c>
      <c r="C1272" t="s">
        <v>26</v>
      </c>
      <c r="D1272" t="s">
        <v>2673</v>
      </c>
      <c r="E1272">
        <v>45</v>
      </c>
      <c r="G1272" t="s">
        <v>103</v>
      </c>
      <c r="H1272" t="s">
        <v>489</v>
      </c>
      <c r="I1272" t="s">
        <v>150</v>
      </c>
      <c r="J1272" t="s">
        <v>26</v>
      </c>
      <c r="K1272" t="s">
        <v>103</v>
      </c>
      <c r="M1272" t="b">
        <v>1</v>
      </c>
      <c r="N1272" t="s">
        <v>853</v>
      </c>
      <c r="O1272" t="s">
        <v>33</v>
      </c>
      <c r="Q1272">
        <v>125.08</v>
      </c>
      <c r="R1272">
        <v>2.9</v>
      </c>
      <c r="S1272" t="s">
        <v>106</v>
      </c>
      <c r="T1272">
        <v>50.6</v>
      </c>
      <c r="V1272">
        <v>100.2</v>
      </c>
      <c r="W1272">
        <v>77</v>
      </c>
      <c r="X1272">
        <v>9.4</v>
      </c>
      <c r="Y1272">
        <v>59.2</v>
      </c>
      <c r="Z1272">
        <v>1397715000</v>
      </c>
      <c r="AA1272">
        <v>35.861660000000001</v>
      </c>
      <c r="AB1272">
        <v>104.195397</v>
      </c>
    </row>
    <row r="1273" spans="1:28">
      <c r="A1273">
        <v>1272</v>
      </c>
      <c r="B1273">
        <v>2400</v>
      </c>
      <c r="C1273" t="s">
        <v>45</v>
      </c>
      <c r="D1273" t="s">
        <v>2674</v>
      </c>
      <c r="E1273">
        <v>51</v>
      </c>
      <c r="F1273" t="str">
        <f>IF(E1273&gt;=90,"90-100",IF(E1273&gt;=80,"80-90",IF(E1273&gt;=70,"70-80",IF(E1273&gt;=60,"60-70",IF(E1273&gt;=50,"50-60",IF(E1273&gt;=40,"40-50",IF(E1273&gt;=30,"30-40","20-30")))))))</f>
        <v>50-60</v>
      </c>
      <c r="G1273" t="s">
        <v>38</v>
      </c>
      <c r="H1273" t="s">
        <v>90</v>
      </c>
      <c r="I1273" t="s">
        <v>475</v>
      </c>
      <c r="J1273" t="s">
        <v>45</v>
      </c>
      <c r="K1273" t="s">
        <v>38</v>
      </c>
      <c r="L1273" t="s">
        <v>476</v>
      </c>
      <c r="M1273" t="b">
        <v>1</v>
      </c>
      <c r="N1273" t="s">
        <v>42</v>
      </c>
      <c r="O1273" t="s">
        <v>4867</v>
      </c>
      <c r="P1273" t="s">
        <v>110</v>
      </c>
      <c r="Q1273">
        <v>117.24</v>
      </c>
      <c r="R1273">
        <v>7.5</v>
      </c>
      <c r="S1273" t="s">
        <v>44</v>
      </c>
      <c r="T1273">
        <v>88.2</v>
      </c>
      <c r="U1273" t="str">
        <f>IF(T1273&gt;=100,"above 100",IF(T1273&gt;=80,"80-100",IF(T1273&gt;=60,"60-80",IF(T1273&gt;=40,"40-60",IF(T1273&gt;=20,"20-60","0-20")))))</f>
        <v>80-100</v>
      </c>
      <c r="V1273">
        <v>101.8</v>
      </c>
      <c r="W1273">
        <v>78.5</v>
      </c>
      <c r="X1273">
        <v>9.6</v>
      </c>
      <c r="Y1273">
        <v>36.6</v>
      </c>
      <c r="Z1273">
        <v>328239523</v>
      </c>
      <c r="AA1273">
        <v>37.090240000000001</v>
      </c>
      <c r="AB1273">
        <v>-95.712890999999999</v>
      </c>
    </row>
    <row r="1274" spans="1:28" hidden="1">
      <c r="A1274">
        <v>1272</v>
      </c>
      <c r="B1274">
        <v>2400</v>
      </c>
      <c r="C1274" t="s">
        <v>36</v>
      </c>
      <c r="D1274" t="s">
        <v>2675</v>
      </c>
      <c r="E1274">
        <v>83</v>
      </c>
      <c r="G1274" t="s">
        <v>260</v>
      </c>
      <c r="H1274" t="s">
        <v>515</v>
      </c>
      <c r="I1274" t="s">
        <v>2676</v>
      </c>
      <c r="J1274" t="s">
        <v>36</v>
      </c>
      <c r="K1274" t="s">
        <v>260</v>
      </c>
      <c r="M1274" t="b">
        <v>0</v>
      </c>
      <c r="N1274" t="s">
        <v>42</v>
      </c>
      <c r="O1274" t="s">
        <v>33</v>
      </c>
      <c r="Q1274">
        <v>114.52</v>
      </c>
      <c r="R1274">
        <v>-1.9</v>
      </c>
      <c r="S1274" t="s">
        <v>264</v>
      </c>
      <c r="T1274">
        <v>36.799999999999997</v>
      </c>
      <c r="V1274">
        <v>108.4</v>
      </c>
      <c r="W1274">
        <v>77.8</v>
      </c>
      <c r="X1274">
        <v>0.1</v>
      </c>
      <c r="Y1274">
        <v>15.9</v>
      </c>
      <c r="Z1274">
        <v>9770529</v>
      </c>
      <c r="AA1274">
        <v>23.424075999999999</v>
      </c>
      <c r="AB1274">
        <v>53.847817999999997</v>
      </c>
    </row>
    <row r="1275" spans="1:28" hidden="1">
      <c r="A1275">
        <v>1272</v>
      </c>
      <c r="B1275">
        <v>2400</v>
      </c>
      <c r="C1275" t="s">
        <v>250</v>
      </c>
      <c r="D1275" t="s">
        <v>2677</v>
      </c>
      <c r="E1275">
        <v>77</v>
      </c>
      <c r="G1275" t="s">
        <v>38</v>
      </c>
      <c r="H1275" t="s">
        <v>123</v>
      </c>
      <c r="I1275" t="s">
        <v>1337</v>
      </c>
      <c r="J1275" t="s">
        <v>250</v>
      </c>
      <c r="K1275" t="s">
        <v>38</v>
      </c>
      <c r="M1275" t="b">
        <v>0</v>
      </c>
      <c r="N1275" t="s">
        <v>419</v>
      </c>
      <c r="O1275" t="s">
        <v>33</v>
      </c>
      <c r="Q1275">
        <v>117.24</v>
      </c>
      <c r="R1275">
        <v>7.5</v>
      </c>
      <c r="S1275" t="s">
        <v>44</v>
      </c>
      <c r="T1275">
        <v>88.2</v>
      </c>
      <c r="V1275">
        <v>101.8</v>
      </c>
      <c r="W1275">
        <v>78.5</v>
      </c>
      <c r="X1275">
        <v>9.6</v>
      </c>
      <c r="Y1275">
        <v>36.6</v>
      </c>
      <c r="Z1275">
        <v>328239523</v>
      </c>
      <c r="AA1275">
        <v>37.090240000000001</v>
      </c>
      <c r="AB1275">
        <v>-95.712890999999999</v>
      </c>
    </row>
    <row r="1276" spans="1:28" hidden="1">
      <c r="A1276">
        <v>1272</v>
      </c>
      <c r="B1276">
        <v>2400</v>
      </c>
      <c r="C1276" t="s">
        <v>63</v>
      </c>
      <c r="D1276" t="s">
        <v>2678</v>
      </c>
      <c r="E1276">
        <v>70</v>
      </c>
      <c r="G1276" t="s">
        <v>541</v>
      </c>
      <c r="H1276" t="s">
        <v>542</v>
      </c>
      <c r="I1276" t="s">
        <v>2679</v>
      </c>
      <c r="J1276" t="s">
        <v>63</v>
      </c>
      <c r="K1276" t="s">
        <v>541</v>
      </c>
      <c r="M1276" t="b">
        <v>1</v>
      </c>
      <c r="N1276" t="s">
        <v>32</v>
      </c>
      <c r="O1276" t="s">
        <v>33</v>
      </c>
      <c r="Q1276">
        <v>158.93</v>
      </c>
      <c r="R1276">
        <v>4.0999999999999996</v>
      </c>
      <c r="S1276" t="s">
        <v>543</v>
      </c>
      <c r="T1276">
        <v>22.4</v>
      </c>
      <c r="V1276">
        <v>100.9</v>
      </c>
      <c r="W1276">
        <v>63.9</v>
      </c>
      <c r="X1276">
        <v>27.5</v>
      </c>
      <c r="Y1276">
        <v>29.2</v>
      </c>
      <c r="Z1276">
        <v>58558270</v>
      </c>
      <c r="AA1276">
        <v>-30.559481999999999</v>
      </c>
      <c r="AB1276">
        <v>22.937505999999999</v>
      </c>
    </row>
    <row r="1277" spans="1:28" hidden="1">
      <c r="A1277">
        <v>1272</v>
      </c>
      <c r="B1277">
        <v>2400</v>
      </c>
      <c r="C1277" t="s">
        <v>288</v>
      </c>
      <c r="D1277" t="s">
        <v>2680</v>
      </c>
      <c r="E1277">
        <v>45</v>
      </c>
      <c r="G1277" t="s">
        <v>148</v>
      </c>
      <c r="H1277" t="s">
        <v>2681</v>
      </c>
      <c r="I1277" t="s">
        <v>2682</v>
      </c>
      <c r="J1277" t="s">
        <v>288</v>
      </c>
      <c r="K1277" t="s">
        <v>148</v>
      </c>
      <c r="M1277" t="b">
        <v>0</v>
      </c>
      <c r="N1277" t="s">
        <v>42</v>
      </c>
      <c r="O1277" t="s">
        <v>33</v>
      </c>
      <c r="Q1277">
        <v>112.85</v>
      </c>
      <c r="R1277">
        <v>1.4</v>
      </c>
      <c r="S1277" t="s">
        <v>151</v>
      </c>
      <c r="T1277">
        <v>70.2</v>
      </c>
      <c r="V1277">
        <v>104</v>
      </c>
      <c r="W1277">
        <v>80.900000000000006</v>
      </c>
      <c r="X1277">
        <v>11.5</v>
      </c>
      <c r="Y1277">
        <v>48.8</v>
      </c>
      <c r="Z1277">
        <v>83132799</v>
      </c>
      <c r="AA1277">
        <v>51.165691000000002</v>
      </c>
      <c r="AB1277">
        <v>10.451525999999999</v>
      </c>
    </row>
    <row r="1278" spans="1:28" hidden="1">
      <c r="A1278">
        <v>1272</v>
      </c>
      <c r="B1278">
        <v>2400</v>
      </c>
      <c r="C1278" t="s">
        <v>26</v>
      </c>
      <c r="D1278" t="s">
        <v>2683</v>
      </c>
      <c r="E1278">
        <v>74</v>
      </c>
      <c r="G1278" t="s">
        <v>38</v>
      </c>
      <c r="H1278" t="s">
        <v>635</v>
      </c>
      <c r="I1278" t="s">
        <v>2684</v>
      </c>
      <c r="J1278" t="s">
        <v>26</v>
      </c>
      <c r="K1278" t="s">
        <v>810</v>
      </c>
      <c r="M1278" t="b">
        <v>1</v>
      </c>
      <c r="N1278" t="s">
        <v>42</v>
      </c>
      <c r="O1278" t="s">
        <v>33</v>
      </c>
      <c r="Q1278">
        <v>117.24</v>
      </c>
      <c r="R1278">
        <v>7.5</v>
      </c>
      <c r="S1278" t="s">
        <v>44</v>
      </c>
      <c r="T1278">
        <v>88.2</v>
      </c>
      <c r="V1278">
        <v>101.8</v>
      </c>
      <c r="W1278">
        <v>78.5</v>
      </c>
      <c r="X1278">
        <v>9.6</v>
      </c>
      <c r="Y1278">
        <v>36.6</v>
      </c>
      <c r="Z1278">
        <v>328239523</v>
      </c>
      <c r="AA1278">
        <v>37.090240000000001</v>
      </c>
      <c r="AB1278">
        <v>-95.712890999999999</v>
      </c>
    </row>
    <row r="1279" spans="1:28" hidden="1">
      <c r="A1279">
        <v>1272</v>
      </c>
      <c r="B1279">
        <v>2400</v>
      </c>
      <c r="C1279" t="s">
        <v>26</v>
      </c>
      <c r="D1279" t="s">
        <v>2685</v>
      </c>
      <c r="E1279">
        <v>86</v>
      </c>
      <c r="G1279" t="s">
        <v>384</v>
      </c>
      <c r="H1279" t="s">
        <v>562</v>
      </c>
      <c r="I1279" t="s">
        <v>150</v>
      </c>
      <c r="J1279" t="s">
        <v>26</v>
      </c>
      <c r="K1279" t="s">
        <v>384</v>
      </c>
      <c r="M1279" t="b">
        <v>0</v>
      </c>
      <c r="N1279" t="s">
        <v>42</v>
      </c>
      <c r="O1279" t="s">
        <v>33</v>
      </c>
      <c r="Q1279">
        <v>167.4</v>
      </c>
      <c r="R1279">
        <v>3.7</v>
      </c>
      <c r="S1279" t="s">
        <v>563</v>
      </c>
      <c r="T1279">
        <v>51.3</v>
      </c>
      <c r="V1279">
        <v>115.4</v>
      </c>
      <c r="W1279">
        <v>75.7</v>
      </c>
      <c r="X1279">
        <v>14.2</v>
      </c>
      <c r="Y1279">
        <v>65.099999999999994</v>
      </c>
      <c r="Z1279">
        <v>212559417</v>
      </c>
      <c r="AA1279">
        <v>-14.235004</v>
      </c>
      <c r="AB1279">
        <v>-51.925280000000001</v>
      </c>
    </row>
    <row r="1280" spans="1:28" hidden="1">
      <c r="A1280">
        <v>1272</v>
      </c>
      <c r="B1280">
        <v>2400</v>
      </c>
      <c r="C1280" t="s">
        <v>54</v>
      </c>
      <c r="D1280" t="s">
        <v>2686</v>
      </c>
      <c r="E1280">
        <v>58</v>
      </c>
      <c r="G1280" t="s">
        <v>156</v>
      </c>
      <c r="H1280" t="s">
        <v>1989</v>
      </c>
      <c r="I1280" t="s">
        <v>613</v>
      </c>
      <c r="J1280" t="s">
        <v>54</v>
      </c>
      <c r="K1280" t="s">
        <v>156</v>
      </c>
      <c r="M1280" t="b">
        <v>1</v>
      </c>
      <c r="N1280" t="s">
        <v>42</v>
      </c>
      <c r="O1280" t="s">
        <v>33</v>
      </c>
      <c r="Q1280">
        <v>99.55</v>
      </c>
      <c r="R1280">
        <v>0.4</v>
      </c>
      <c r="S1280" t="s">
        <v>159</v>
      </c>
      <c r="T1280">
        <v>59.6</v>
      </c>
      <c r="V1280">
        <v>105.2</v>
      </c>
      <c r="W1280">
        <v>83.6</v>
      </c>
      <c r="X1280">
        <v>10.1</v>
      </c>
      <c r="Y1280">
        <v>28.8</v>
      </c>
      <c r="Z1280">
        <v>8574832</v>
      </c>
      <c r="AA1280">
        <v>46.818187999999999</v>
      </c>
      <c r="AB1280">
        <v>8.2275120000000008</v>
      </c>
    </row>
    <row r="1281" spans="1:28">
      <c r="A1281">
        <v>1272</v>
      </c>
      <c r="B1281">
        <v>2400</v>
      </c>
      <c r="C1281" t="s">
        <v>26</v>
      </c>
      <c r="D1281" t="s">
        <v>2687</v>
      </c>
      <c r="E1281">
        <v>91</v>
      </c>
      <c r="F1281" t="str">
        <f>IF(E1281&gt;=90,"90-100",IF(E1281&gt;=80,"80-90",IF(E1281&gt;=70,"70-80",IF(E1281&gt;=60,"60-70",IF(E1281&gt;=50,"50-60",IF(E1281&gt;=40,"40-50",IF(E1281&gt;=30,"30-40","20-30")))))))</f>
        <v>90-100</v>
      </c>
      <c r="G1281" t="s">
        <v>38</v>
      </c>
      <c r="H1281" t="s">
        <v>652</v>
      </c>
      <c r="I1281" t="s">
        <v>2688</v>
      </c>
      <c r="J1281" t="s">
        <v>26</v>
      </c>
      <c r="K1281" t="s">
        <v>38</v>
      </c>
      <c r="L1281" t="s">
        <v>2689</v>
      </c>
      <c r="M1281" t="b">
        <v>1</v>
      </c>
      <c r="N1281" t="s">
        <v>42</v>
      </c>
      <c r="O1281" t="s">
        <v>4866</v>
      </c>
      <c r="P1281" t="s">
        <v>110</v>
      </c>
      <c r="Q1281">
        <v>117.24</v>
      </c>
      <c r="R1281">
        <v>7.5</v>
      </c>
      <c r="S1281" t="s">
        <v>44</v>
      </c>
      <c r="T1281">
        <v>88.2</v>
      </c>
      <c r="U1281" t="str">
        <f t="shared" ref="U1281:U1282" si="38">IF(T1281&gt;=100,"above 100",IF(T1281&gt;=80,"80-100",IF(T1281&gt;=60,"60-80",IF(T1281&gt;=40,"40-60",IF(T1281&gt;=20,"20-60","0-20")))))</f>
        <v>80-100</v>
      </c>
      <c r="V1281">
        <v>101.8</v>
      </c>
      <c r="W1281">
        <v>78.5</v>
      </c>
      <c r="X1281">
        <v>9.6</v>
      </c>
      <c r="Y1281">
        <v>36.6</v>
      </c>
      <c r="Z1281">
        <v>328239523</v>
      </c>
      <c r="AA1281">
        <v>37.090240000000001</v>
      </c>
      <c r="AB1281">
        <v>-95.712890999999999</v>
      </c>
    </row>
    <row r="1282" spans="1:28">
      <c r="A1282">
        <v>1272</v>
      </c>
      <c r="B1282">
        <v>2400</v>
      </c>
      <c r="C1282" t="s">
        <v>54</v>
      </c>
      <c r="D1282" t="s">
        <v>2690</v>
      </c>
      <c r="E1282">
        <v>78</v>
      </c>
      <c r="F1282" t="str">
        <f>IF(E1282&gt;=90,"90-100",IF(E1282&gt;=80,"80-90",IF(E1282&gt;=70,"70-80",IF(E1282&gt;=60,"60-70",IF(E1282&gt;=50,"50-60",IF(E1282&gt;=40,"40-50",IF(E1282&gt;=30,"30-40","20-30")))))))</f>
        <v>70-80</v>
      </c>
      <c r="G1282" t="s">
        <v>38</v>
      </c>
      <c r="H1282" t="s">
        <v>480</v>
      </c>
      <c r="I1282" t="s">
        <v>383</v>
      </c>
      <c r="J1282" t="s">
        <v>54</v>
      </c>
      <c r="K1282" t="s">
        <v>38</v>
      </c>
      <c r="L1282" t="s">
        <v>2691</v>
      </c>
      <c r="M1282" t="b">
        <v>1</v>
      </c>
      <c r="N1282" t="s">
        <v>42</v>
      </c>
      <c r="O1282" t="s">
        <v>4867</v>
      </c>
      <c r="P1282" t="s">
        <v>2692</v>
      </c>
      <c r="Q1282">
        <v>117.24</v>
      </c>
      <c r="R1282">
        <v>7.5</v>
      </c>
      <c r="S1282" t="s">
        <v>44</v>
      </c>
      <c r="T1282">
        <v>88.2</v>
      </c>
      <c r="U1282" t="str">
        <f t="shared" si="38"/>
        <v>80-100</v>
      </c>
      <c r="V1282">
        <v>101.8</v>
      </c>
      <c r="W1282">
        <v>78.5</v>
      </c>
      <c r="X1282">
        <v>9.6</v>
      </c>
      <c r="Y1282">
        <v>36.6</v>
      </c>
      <c r="Z1282">
        <v>328239523</v>
      </c>
      <c r="AA1282">
        <v>37.090240000000001</v>
      </c>
      <c r="AB1282">
        <v>-95.712890999999999</v>
      </c>
    </row>
    <row r="1283" spans="1:28" hidden="1">
      <c r="A1283">
        <v>1272</v>
      </c>
      <c r="B1283">
        <v>2400</v>
      </c>
      <c r="C1283" t="s">
        <v>288</v>
      </c>
      <c r="D1283" t="s">
        <v>2693</v>
      </c>
      <c r="E1283">
        <v>66</v>
      </c>
      <c r="G1283" t="s">
        <v>28</v>
      </c>
      <c r="H1283" t="s">
        <v>29</v>
      </c>
      <c r="I1283" t="s">
        <v>418</v>
      </c>
      <c r="J1283" t="s">
        <v>288</v>
      </c>
      <c r="K1283" t="s">
        <v>28</v>
      </c>
      <c r="M1283" t="b">
        <v>1</v>
      </c>
      <c r="N1283" t="s">
        <v>419</v>
      </c>
      <c r="O1283" t="s">
        <v>33</v>
      </c>
      <c r="Q1283">
        <v>110.05</v>
      </c>
      <c r="R1283">
        <v>1.1000000000000001</v>
      </c>
      <c r="S1283" t="s">
        <v>35</v>
      </c>
      <c r="T1283">
        <v>65.599999999999994</v>
      </c>
      <c r="V1283">
        <v>102.5</v>
      </c>
      <c r="W1283">
        <v>82.5</v>
      </c>
      <c r="X1283">
        <v>24.2</v>
      </c>
      <c r="Y1283">
        <v>60.7</v>
      </c>
      <c r="Z1283">
        <v>67059887</v>
      </c>
      <c r="AA1283">
        <v>46.227637999999999</v>
      </c>
      <c r="AB1283">
        <v>2.213749</v>
      </c>
    </row>
    <row r="1284" spans="1:28" hidden="1">
      <c r="A1284">
        <v>1272</v>
      </c>
      <c r="B1284">
        <v>2400</v>
      </c>
      <c r="C1284" t="s">
        <v>54</v>
      </c>
      <c r="D1284" t="s">
        <v>2694</v>
      </c>
      <c r="E1284">
        <v>55</v>
      </c>
      <c r="G1284" t="s">
        <v>156</v>
      </c>
      <c r="H1284" t="s">
        <v>1989</v>
      </c>
      <c r="I1284" t="s">
        <v>613</v>
      </c>
      <c r="J1284" t="s">
        <v>54</v>
      </c>
      <c r="K1284" t="s">
        <v>156</v>
      </c>
      <c r="M1284" t="b">
        <v>1</v>
      </c>
      <c r="N1284" t="s">
        <v>42</v>
      </c>
      <c r="O1284" t="s">
        <v>33</v>
      </c>
      <c r="Q1284">
        <v>99.55</v>
      </c>
      <c r="R1284">
        <v>0.4</v>
      </c>
      <c r="S1284" t="s">
        <v>159</v>
      </c>
      <c r="T1284">
        <v>59.6</v>
      </c>
      <c r="V1284">
        <v>105.2</v>
      </c>
      <c r="W1284">
        <v>83.6</v>
      </c>
      <c r="X1284">
        <v>10.1</v>
      </c>
      <c r="Y1284">
        <v>28.8</v>
      </c>
      <c r="Z1284">
        <v>8574832</v>
      </c>
      <c r="AA1284">
        <v>46.818187999999999</v>
      </c>
      <c r="AB1284">
        <v>8.2275120000000008</v>
      </c>
    </row>
    <row r="1285" spans="1:28" hidden="1">
      <c r="A1285">
        <v>1272</v>
      </c>
      <c r="B1285">
        <v>2400</v>
      </c>
      <c r="C1285" t="s">
        <v>179</v>
      </c>
      <c r="D1285" t="s">
        <v>2695</v>
      </c>
      <c r="E1285">
        <v>88</v>
      </c>
      <c r="G1285" t="s">
        <v>148</v>
      </c>
      <c r="H1285" t="s">
        <v>2696</v>
      </c>
      <c r="I1285" t="s">
        <v>920</v>
      </c>
      <c r="J1285" t="s">
        <v>179</v>
      </c>
      <c r="K1285" t="s">
        <v>148</v>
      </c>
      <c r="M1285" t="b">
        <v>1</v>
      </c>
      <c r="N1285" t="s">
        <v>42</v>
      </c>
      <c r="O1285" t="s">
        <v>33</v>
      </c>
      <c r="Q1285">
        <v>112.85</v>
      </c>
      <c r="R1285">
        <v>1.4</v>
      </c>
      <c r="S1285" t="s">
        <v>151</v>
      </c>
      <c r="T1285">
        <v>70.2</v>
      </c>
      <c r="V1285">
        <v>104</v>
      </c>
      <c r="W1285">
        <v>80.900000000000006</v>
      </c>
      <c r="X1285">
        <v>11.5</v>
      </c>
      <c r="Y1285">
        <v>48.8</v>
      </c>
      <c r="Z1285">
        <v>83132799</v>
      </c>
      <c r="AA1285">
        <v>51.165691000000002</v>
      </c>
      <c r="AB1285">
        <v>10.451525999999999</v>
      </c>
    </row>
    <row r="1286" spans="1:28">
      <c r="A1286">
        <v>1272</v>
      </c>
      <c r="B1286">
        <v>2400</v>
      </c>
      <c r="C1286" t="s">
        <v>221</v>
      </c>
      <c r="D1286" t="s">
        <v>2697</v>
      </c>
      <c r="E1286">
        <v>61</v>
      </c>
      <c r="F1286" t="str">
        <f>IF(E1286&gt;=90,"90-100",IF(E1286&gt;=80,"80-90",IF(E1286&gt;=70,"70-80",IF(E1286&gt;=60,"60-70",IF(E1286&gt;=50,"50-60",IF(E1286&gt;=40,"40-50",IF(E1286&gt;=30,"30-40","20-30")))))))</f>
        <v>60-70</v>
      </c>
      <c r="G1286" t="s">
        <v>127</v>
      </c>
      <c r="H1286" t="s">
        <v>2698</v>
      </c>
      <c r="I1286" t="s">
        <v>223</v>
      </c>
      <c r="J1286" t="s">
        <v>221</v>
      </c>
      <c r="K1286" t="s">
        <v>127</v>
      </c>
      <c r="L1286" t="s">
        <v>2699</v>
      </c>
      <c r="M1286" t="b">
        <v>1</v>
      </c>
      <c r="N1286" t="s">
        <v>42</v>
      </c>
      <c r="O1286" t="s">
        <v>4867</v>
      </c>
      <c r="P1286" t="s">
        <v>85</v>
      </c>
      <c r="Q1286">
        <v>116.76</v>
      </c>
      <c r="R1286">
        <v>1.9</v>
      </c>
      <c r="S1286" t="s">
        <v>132</v>
      </c>
      <c r="T1286">
        <v>68.900000000000006</v>
      </c>
      <c r="U1286" t="str">
        <f>IF(T1286&gt;=100,"above 100",IF(T1286&gt;=80,"80-100",IF(T1286&gt;=60,"60-80",IF(T1286&gt;=40,"40-60",IF(T1286&gt;=20,"20-60","0-20")))))</f>
        <v>60-80</v>
      </c>
      <c r="V1286">
        <v>100.9</v>
      </c>
      <c r="W1286">
        <v>81.900000000000006</v>
      </c>
      <c r="X1286">
        <v>12.8</v>
      </c>
      <c r="Y1286">
        <v>24.5</v>
      </c>
      <c r="Z1286">
        <v>36991981</v>
      </c>
      <c r="AA1286">
        <v>56.130366000000002</v>
      </c>
      <c r="AB1286">
        <v>-106.346771</v>
      </c>
    </row>
    <row r="1287" spans="1:28" hidden="1">
      <c r="A1287">
        <v>1272</v>
      </c>
      <c r="B1287">
        <v>2400</v>
      </c>
      <c r="C1287" t="s">
        <v>54</v>
      </c>
      <c r="D1287" t="s">
        <v>2700</v>
      </c>
      <c r="E1287">
        <v>76</v>
      </c>
      <c r="G1287" t="s">
        <v>203</v>
      </c>
      <c r="H1287" t="s">
        <v>2701</v>
      </c>
      <c r="I1287" t="s">
        <v>1466</v>
      </c>
      <c r="J1287" t="s">
        <v>54</v>
      </c>
      <c r="K1287" t="s">
        <v>203</v>
      </c>
      <c r="M1287" t="b">
        <v>1</v>
      </c>
      <c r="N1287" t="s">
        <v>42</v>
      </c>
      <c r="O1287" t="s">
        <v>33</v>
      </c>
      <c r="Q1287">
        <v>119.62</v>
      </c>
      <c r="R1287">
        <v>1.7</v>
      </c>
      <c r="S1287" t="s">
        <v>206</v>
      </c>
      <c r="T1287">
        <v>60</v>
      </c>
      <c r="V1287">
        <v>101.2</v>
      </c>
      <c r="W1287">
        <v>81.3</v>
      </c>
      <c r="X1287">
        <v>25.5</v>
      </c>
      <c r="Y1287">
        <v>30.6</v>
      </c>
      <c r="Z1287">
        <v>66834405</v>
      </c>
      <c r="AA1287">
        <v>55.378050999999999</v>
      </c>
      <c r="AB1287">
        <v>-3.4359730000000002</v>
      </c>
    </row>
    <row r="1288" spans="1:28" hidden="1">
      <c r="A1288">
        <v>1272</v>
      </c>
      <c r="B1288">
        <v>2400</v>
      </c>
      <c r="C1288" t="s">
        <v>288</v>
      </c>
      <c r="D1288" t="s">
        <v>2702</v>
      </c>
      <c r="E1288">
        <v>79</v>
      </c>
      <c r="G1288" t="s">
        <v>103</v>
      </c>
      <c r="H1288" t="s">
        <v>2703</v>
      </c>
      <c r="I1288" t="s">
        <v>418</v>
      </c>
      <c r="J1288" t="s">
        <v>288</v>
      </c>
      <c r="K1288" t="s">
        <v>103</v>
      </c>
      <c r="M1288" t="b">
        <v>1</v>
      </c>
      <c r="N1288" t="s">
        <v>42</v>
      </c>
      <c r="O1288" t="s">
        <v>33</v>
      </c>
      <c r="Q1288">
        <v>125.08</v>
      </c>
      <c r="R1288">
        <v>2.9</v>
      </c>
      <c r="S1288" t="s">
        <v>106</v>
      </c>
      <c r="T1288">
        <v>50.6</v>
      </c>
      <c r="V1288">
        <v>100.2</v>
      </c>
      <c r="W1288">
        <v>77</v>
      </c>
      <c r="X1288">
        <v>9.4</v>
      </c>
      <c r="Y1288">
        <v>59.2</v>
      </c>
      <c r="Z1288">
        <v>1397715000</v>
      </c>
      <c r="AA1288">
        <v>35.861660000000001</v>
      </c>
      <c r="AB1288">
        <v>104.195397</v>
      </c>
    </row>
    <row r="1289" spans="1:28" hidden="1">
      <c r="A1289">
        <v>1272</v>
      </c>
      <c r="B1289">
        <v>2400</v>
      </c>
      <c r="C1289" t="s">
        <v>75</v>
      </c>
      <c r="D1289" t="s">
        <v>2704</v>
      </c>
      <c r="E1289">
        <v>68</v>
      </c>
      <c r="G1289" t="s">
        <v>395</v>
      </c>
      <c r="H1289" t="s">
        <v>395</v>
      </c>
      <c r="I1289" t="s">
        <v>75</v>
      </c>
      <c r="J1289" t="s">
        <v>75</v>
      </c>
      <c r="K1289" t="s">
        <v>395</v>
      </c>
      <c r="M1289" t="b">
        <v>0</v>
      </c>
      <c r="N1289" t="s">
        <v>32</v>
      </c>
      <c r="O1289" t="s">
        <v>33</v>
      </c>
      <c r="Q1289">
        <v>114.41</v>
      </c>
      <c r="R1289">
        <v>0.6</v>
      </c>
      <c r="S1289" t="s">
        <v>451</v>
      </c>
      <c r="T1289">
        <v>84.8</v>
      </c>
      <c r="V1289">
        <v>100.6</v>
      </c>
      <c r="W1289">
        <v>83.1</v>
      </c>
      <c r="X1289">
        <v>13.1</v>
      </c>
      <c r="Y1289">
        <v>21</v>
      </c>
      <c r="Z1289">
        <v>5703569</v>
      </c>
      <c r="AA1289">
        <v>1.3520829999999999</v>
      </c>
      <c r="AB1289">
        <v>103.819836</v>
      </c>
    </row>
    <row r="1290" spans="1:28" hidden="1">
      <c r="A1290">
        <v>1272</v>
      </c>
      <c r="B1290">
        <v>2400</v>
      </c>
      <c r="C1290" t="s">
        <v>217</v>
      </c>
      <c r="D1290" t="s">
        <v>2705</v>
      </c>
      <c r="E1290">
        <v>77</v>
      </c>
      <c r="G1290" t="s">
        <v>38</v>
      </c>
      <c r="H1290" t="s">
        <v>2706</v>
      </c>
      <c r="I1290" t="s">
        <v>2707</v>
      </c>
      <c r="J1290" t="s">
        <v>217</v>
      </c>
      <c r="K1290" t="s">
        <v>38</v>
      </c>
      <c r="M1290" t="b">
        <v>0</v>
      </c>
      <c r="N1290" t="s">
        <v>32</v>
      </c>
      <c r="O1290" t="s">
        <v>88</v>
      </c>
      <c r="Q1290">
        <v>117.24</v>
      </c>
      <c r="R1290">
        <v>7.5</v>
      </c>
      <c r="S1290" t="s">
        <v>44</v>
      </c>
      <c r="T1290">
        <v>88.2</v>
      </c>
      <c r="V1290">
        <v>101.8</v>
      </c>
      <c r="W1290">
        <v>78.5</v>
      </c>
      <c r="X1290">
        <v>9.6</v>
      </c>
      <c r="Y1290">
        <v>36.6</v>
      </c>
      <c r="Z1290">
        <v>328239523</v>
      </c>
      <c r="AA1290">
        <v>37.090240000000001</v>
      </c>
      <c r="AB1290">
        <v>-95.712890999999999</v>
      </c>
    </row>
    <row r="1291" spans="1:28" hidden="1">
      <c r="A1291">
        <v>1272</v>
      </c>
      <c r="B1291">
        <v>2400</v>
      </c>
      <c r="C1291" t="s">
        <v>63</v>
      </c>
      <c r="D1291" t="s">
        <v>2708</v>
      </c>
      <c r="E1291">
        <v>57</v>
      </c>
      <c r="G1291" t="s">
        <v>77</v>
      </c>
      <c r="H1291" t="s">
        <v>2709</v>
      </c>
      <c r="I1291" t="s">
        <v>129</v>
      </c>
      <c r="J1291" t="s">
        <v>63</v>
      </c>
      <c r="K1291" t="s">
        <v>77</v>
      </c>
      <c r="M1291" t="b">
        <v>1</v>
      </c>
      <c r="N1291" t="s">
        <v>419</v>
      </c>
      <c r="O1291" t="s">
        <v>33</v>
      </c>
      <c r="Q1291">
        <v>180.44</v>
      </c>
      <c r="R1291">
        <v>7.7</v>
      </c>
      <c r="S1291" t="s">
        <v>81</v>
      </c>
      <c r="T1291">
        <v>28.1</v>
      </c>
      <c r="V1291">
        <v>113</v>
      </c>
      <c r="W1291">
        <v>69.400000000000006</v>
      </c>
      <c r="X1291">
        <v>11.2</v>
      </c>
      <c r="Y1291">
        <v>49.7</v>
      </c>
      <c r="Z1291">
        <v>1366417754</v>
      </c>
      <c r="AA1291">
        <v>20.593684</v>
      </c>
      <c r="AB1291">
        <v>78.962879999999998</v>
      </c>
    </row>
    <row r="1292" spans="1:28" hidden="1">
      <c r="A1292">
        <v>1272</v>
      </c>
      <c r="B1292">
        <v>2400</v>
      </c>
      <c r="C1292" t="s">
        <v>54</v>
      </c>
      <c r="D1292" t="s">
        <v>2710</v>
      </c>
      <c r="E1292">
        <v>48</v>
      </c>
      <c r="G1292" t="s">
        <v>38</v>
      </c>
      <c r="H1292" t="s">
        <v>2711</v>
      </c>
      <c r="I1292" t="s">
        <v>2712</v>
      </c>
      <c r="J1292" t="s">
        <v>54</v>
      </c>
      <c r="K1292" t="s">
        <v>38</v>
      </c>
      <c r="M1292" t="b">
        <v>1</v>
      </c>
      <c r="N1292" t="s">
        <v>42</v>
      </c>
      <c r="O1292" t="s">
        <v>33</v>
      </c>
      <c r="Q1292">
        <v>117.24</v>
      </c>
      <c r="R1292">
        <v>7.5</v>
      </c>
      <c r="S1292" t="s">
        <v>44</v>
      </c>
      <c r="T1292">
        <v>88.2</v>
      </c>
      <c r="V1292">
        <v>101.8</v>
      </c>
      <c r="W1292">
        <v>78.5</v>
      </c>
      <c r="X1292">
        <v>9.6</v>
      </c>
      <c r="Y1292">
        <v>36.6</v>
      </c>
      <c r="Z1292">
        <v>328239523</v>
      </c>
      <c r="AA1292">
        <v>37.090240000000001</v>
      </c>
      <c r="AB1292">
        <v>-95.712890999999999</v>
      </c>
    </row>
    <row r="1293" spans="1:28" hidden="1">
      <c r="A1293">
        <v>1272</v>
      </c>
      <c r="B1293">
        <v>2400</v>
      </c>
      <c r="C1293" t="s">
        <v>217</v>
      </c>
      <c r="D1293" t="s">
        <v>2713</v>
      </c>
      <c r="E1293">
        <v>65</v>
      </c>
      <c r="G1293" t="s">
        <v>38</v>
      </c>
      <c r="H1293" t="s">
        <v>1133</v>
      </c>
      <c r="I1293" t="s">
        <v>2643</v>
      </c>
      <c r="J1293" t="s">
        <v>217</v>
      </c>
      <c r="K1293" t="s">
        <v>38</v>
      </c>
      <c r="M1293" t="b">
        <v>1</v>
      </c>
      <c r="N1293" t="s">
        <v>42</v>
      </c>
      <c r="O1293" t="s">
        <v>33</v>
      </c>
      <c r="Q1293">
        <v>117.24</v>
      </c>
      <c r="R1293">
        <v>7.5</v>
      </c>
      <c r="S1293" t="s">
        <v>44</v>
      </c>
      <c r="T1293">
        <v>88.2</v>
      </c>
      <c r="V1293">
        <v>101.8</v>
      </c>
      <c r="W1293">
        <v>78.5</v>
      </c>
      <c r="X1293">
        <v>9.6</v>
      </c>
      <c r="Y1293">
        <v>36.6</v>
      </c>
      <c r="Z1293">
        <v>328239523</v>
      </c>
      <c r="AA1293">
        <v>37.090240000000001</v>
      </c>
      <c r="AB1293">
        <v>-95.712890999999999</v>
      </c>
    </row>
    <row r="1294" spans="1:28" hidden="1">
      <c r="A1294">
        <v>1272</v>
      </c>
      <c r="B1294">
        <v>2400</v>
      </c>
      <c r="C1294" t="s">
        <v>101</v>
      </c>
      <c r="D1294" t="s">
        <v>2714</v>
      </c>
      <c r="G1294" t="s">
        <v>103</v>
      </c>
      <c r="H1294" t="s">
        <v>2715</v>
      </c>
      <c r="I1294" t="s">
        <v>408</v>
      </c>
      <c r="J1294" t="s">
        <v>101</v>
      </c>
      <c r="K1294" t="s">
        <v>103</v>
      </c>
      <c r="M1294" t="b">
        <v>1</v>
      </c>
      <c r="N1294" t="s">
        <v>42</v>
      </c>
      <c r="O1294" t="s">
        <v>33</v>
      </c>
      <c r="Q1294">
        <v>125.08</v>
      </c>
      <c r="R1294">
        <v>2.9</v>
      </c>
      <c r="S1294" t="s">
        <v>106</v>
      </c>
      <c r="T1294">
        <v>50.6</v>
      </c>
      <c r="V1294">
        <v>100.2</v>
      </c>
      <c r="W1294">
        <v>77</v>
      </c>
      <c r="X1294">
        <v>9.4</v>
      </c>
      <c r="Y1294">
        <v>59.2</v>
      </c>
      <c r="Z1294">
        <v>1397715000</v>
      </c>
      <c r="AA1294">
        <v>35.861660000000001</v>
      </c>
      <c r="AB1294">
        <v>104.195397</v>
      </c>
    </row>
    <row r="1295" spans="1:28" hidden="1">
      <c r="A1295">
        <v>1272</v>
      </c>
      <c r="B1295">
        <v>2400</v>
      </c>
      <c r="C1295" t="s">
        <v>236</v>
      </c>
      <c r="D1295" t="s">
        <v>2716</v>
      </c>
      <c r="E1295">
        <v>58</v>
      </c>
      <c r="G1295" t="s">
        <v>156</v>
      </c>
      <c r="H1295" t="s">
        <v>1989</v>
      </c>
      <c r="I1295" t="s">
        <v>453</v>
      </c>
      <c r="J1295" t="s">
        <v>236</v>
      </c>
      <c r="K1295" t="s">
        <v>38</v>
      </c>
      <c r="M1295" t="b">
        <v>1</v>
      </c>
      <c r="N1295" t="s">
        <v>42</v>
      </c>
      <c r="O1295" t="s">
        <v>33</v>
      </c>
      <c r="Q1295">
        <v>99.55</v>
      </c>
      <c r="R1295">
        <v>0.4</v>
      </c>
      <c r="S1295" t="s">
        <v>159</v>
      </c>
      <c r="T1295">
        <v>59.6</v>
      </c>
      <c r="V1295">
        <v>105.2</v>
      </c>
      <c r="W1295">
        <v>83.6</v>
      </c>
      <c r="X1295">
        <v>10.1</v>
      </c>
      <c r="Y1295">
        <v>28.8</v>
      </c>
      <c r="Z1295">
        <v>8574832</v>
      </c>
      <c r="AA1295">
        <v>46.818187999999999</v>
      </c>
      <c r="AB1295">
        <v>8.2275120000000008</v>
      </c>
    </row>
    <row r="1296" spans="1:28" hidden="1">
      <c r="A1296">
        <v>1272</v>
      </c>
      <c r="B1296">
        <v>2400</v>
      </c>
      <c r="C1296" t="s">
        <v>54</v>
      </c>
      <c r="D1296" t="s">
        <v>2717</v>
      </c>
      <c r="E1296">
        <v>63</v>
      </c>
      <c r="G1296" t="s">
        <v>38</v>
      </c>
      <c r="H1296" t="s">
        <v>2718</v>
      </c>
      <c r="I1296" t="s">
        <v>1193</v>
      </c>
      <c r="J1296" t="s">
        <v>54</v>
      </c>
      <c r="K1296" t="s">
        <v>38</v>
      </c>
      <c r="M1296" t="b">
        <v>0</v>
      </c>
      <c r="N1296" t="s">
        <v>42</v>
      </c>
      <c r="O1296" t="s">
        <v>33</v>
      </c>
      <c r="Q1296">
        <v>117.24</v>
      </c>
      <c r="R1296">
        <v>7.5</v>
      </c>
      <c r="S1296" t="s">
        <v>44</v>
      </c>
      <c r="T1296">
        <v>88.2</v>
      </c>
      <c r="V1296">
        <v>101.8</v>
      </c>
      <c r="W1296">
        <v>78.5</v>
      </c>
      <c r="X1296">
        <v>9.6</v>
      </c>
      <c r="Y1296">
        <v>36.6</v>
      </c>
      <c r="Z1296">
        <v>328239523</v>
      </c>
      <c r="AA1296">
        <v>37.090240000000001</v>
      </c>
      <c r="AB1296">
        <v>-95.712890999999999</v>
      </c>
    </row>
    <row r="1297" spans="1:28" hidden="1">
      <c r="A1297">
        <v>1272</v>
      </c>
      <c r="B1297">
        <v>2400</v>
      </c>
      <c r="C1297" t="s">
        <v>221</v>
      </c>
      <c r="D1297" t="s">
        <v>2719</v>
      </c>
      <c r="E1297">
        <v>61</v>
      </c>
      <c r="G1297" t="s">
        <v>103</v>
      </c>
      <c r="H1297" t="s">
        <v>104</v>
      </c>
      <c r="I1297" t="s">
        <v>223</v>
      </c>
      <c r="J1297" t="s">
        <v>221</v>
      </c>
      <c r="K1297" t="s">
        <v>103</v>
      </c>
      <c r="M1297" t="b">
        <v>1</v>
      </c>
      <c r="N1297" t="s">
        <v>32</v>
      </c>
      <c r="O1297" t="s">
        <v>33</v>
      </c>
      <c r="Q1297">
        <v>125.08</v>
      </c>
      <c r="R1297">
        <v>2.9</v>
      </c>
      <c r="S1297" t="s">
        <v>106</v>
      </c>
      <c r="T1297">
        <v>50.6</v>
      </c>
      <c r="V1297">
        <v>100.2</v>
      </c>
      <c r="W1297">
        <v>77</v>
      </c>
      <c r="X1297">
        <v>9.4</v>
      </c>
      <c r="Y1297">
        <v>59.2</v>
      </c>
      <c r="Z1297">
        <v>1397715000</v>
      </c>
      <c r="AA1297">
        <v>35.861660000000001</v>
      </c>
      <c r="AB1297">
        <v>104.195397</v>
      </c>
    </row>
    <row r="1298" spans="1:28" hidden="1">
      <c r="A1298">
        <v>1272</v>
      </c>
      <c r="B1298">
        <v>2400</v>
      </c>
      <c r="C1298" t="s">
        <v>217</v>
      </c>
      <c r="D1298" t="s">
        <v>2720</v>
      </c>
      <c r="E1298">
        <v>61</v>
      </c>
      <c r="G1298" t="s">
        <v>103</v>
      </c>
      <c r="H1298" t="s">
        <v>104</v>
      </c>
      <c r="I1298" t="s">
        <v>2721</v>
      </c>
      <c r="J1298" t="s">
        <v>217</v>
      </c>
      <c r="K1298" t="s">
        <v>103</v>
      </c>
      <c r="M1298" t="b">
        <v>1</v>
      </c>
      <c r="N1298" t="s">
        <v>32</v>
      </c>
      <c r="O1298" t="s">
        <v>33</v>
      </c>
      <c r="Q1298">
        <v>125.08</v>
      </c>
      <c r="R1298">
        <v>2.9</v>
      </c>
      <c r="S1298" t="s">
        <v>106</v>
      </c>
      <c r="T1298">
        <v>50.6</v>
      </c>
      <c r="V1298">
        <v>100.2</v>
      </c>
      <c r="W1298">
        <v>77</v>
      </c>
      <c r="X1298">
        <v>9.4</v>
      </c>
      <c r="Y1298">
        <v>59.2</v>
      </c>
      <c r="Z1298">
        <v>1397715000</v>
      </c>
      <c r="AA1298">
        <v>35.861660000000001</v>
      </c>
      <c r="AB1298">
        <v>104.195397</v>
      </c>
    </row>
    <row r="1299" spans="1:28" hidden="1">
      <c r="A1299">
        <v>1272</v>
      </c>
      <c r="B1299">
        <v>2400</v>
      </c>
      <c r="C1299" t="s">
        <v>75</v>
      </c>
      <c r="D1299" t="s">
        <v>2722</v>
      </c>
      <c r="E1299">
        <v>68</v>
      </c>
      <c r="G1299" t="s">
        <v>77</v>
      </c>
      <c r="H1299" t="s">
        <v>78</v>
      </c>
      <c r="I1299" t="s">
        <v>75</v>
      </c>
      <c r="J1299" t="s">
        <v>75</v>
      </c>
      <c r="K1299" t="s">
        <v>77</v>
      </c>
      <c r="M1299" t="b">
        <v>0</v>
      </c>
      <c r="N1299" t="s">
        <v>419</v>
      </c>
      <c r="O1299" t="s">
        <v>33</v>
      </c>
      <c r="Q1299">
        <v>180.44</v>
      </c>
      <c r="R1299">
        <v>7.7</v>
      </c>
      <c r="S1299" t="s">
        <v>81</v>
      </c>
      <c r="T1299">
        <v>28.1</v>
      </c>
      <c r="V1299">
        <v>113</v>
      </c>
      <c r="W1299">
        <v>69.400000000000006</v>
      </c>
      <c r="X1299">
        <v>11.2</v>
      </c>
      <c r="Y1299">
        <v>49.7</v>
      </c>
      <c r="Z1299">
        <v>1366417754</v>
      </c>
      <c r="AA1299">
        <v>20.593684</v>
      </c>
      <c r="AB1299">
        <v>78.962879999999998</v>
      </c>
    </row>
    <row r="1300" spans="1:28" hidden="1">
      <c r="A1300">
        <v>1272</v>
      </c>
      <c r="B1300">
        <v>2400</v>
      </c>
      <c r="C1300" t="s">
        <v>54</v>
      </c>
      <c r="D1300" t="s">
        <v>2723</v>
      </c>
      <c r="E1300">
        <v>63</v>
      </c>
      <c r="G1300" t="s">
        <v>156</v>
      </c>
      <c r="H1300" t="s">
        <v>413</v>
      </c>
      <c r="I1300" t="s">
        <v>1466</v>
      </c>
      <c r="J1300" t="s">
        <v>54</v>
      </c>
      <c r="K1300" t="s">
        <v>156</v>
      </c>
      <c r="M1300" t="b">
        <v>1</v>
      </c>
      <c r="N1300" t="s">
        <v>42</v>
      </c>
      <c r="O1300" t="s">
        <v>33</v>
      </c>
      <c r="Q1300">
        <v>99.55</v>
      </c>
      <c r="R1300">
        <v>0.4</v>
      </c>
      <c r="S1300" t="s">
        <v>159</v>
      </c>
      <c r="T1300">
        <v>59.6</v>
      </c>
      <c r="V1300">
        <v>105.2</v>
      </c>
      <c r="W1300">
        <v>83.6</v>
      </c>
      <c r="X1300">
        <v>10.1</v>
      </c>
      <c r="Y1300">
        <v>28.8</v>
      </c>
      <c r="Z1300">
        <v>8574832</v>
      </c>
      <c r="AA1300">
        <v>46.818187999999999</v>
      </c>
      <c r="AB1300">
        <v>8.2275120000000008</v>
      </c>
    </row>
    <row r="1301" spans="1:28" hidden="1">
      <c r="A1301">
        <v>1272</v>
      </c>
      <c r="B1301">
        <v>2400</v>
      </c>
      <c r="C1301" t="s">
        <v>45</v>
      </c>
      <c r="D1301" t="s">
        <v>2724</v>
      </c>
      <c r="E1301">
        <v>55</v>
      </c>
      <c r="G1301" t="s">
        <v>438</v>
      </c>
      <c r="H1301" t="s">
        <v>1099</v>
      </c>
      <c r="I1301" t="s">
        <v>1209</v>
      </c>
      <c r="J1301" t="s">
        <v>45</v>
      </c>
      <c r="K1301" t="s">
        <v>438</v>
      </c>
      <c r="M1301" t="b">
        <v>1</v>
      </c>
      <c r="N1301" t="s">
        <v>42</v>
      </c>
      <c r="O1301" t="s">
        <v>33</v>
      </c>
      <c r="Q1301">
        <v>115.91</v>
      </c>
      <c r="R1301">
        <v>2.6</v>
      </c>
      <c r="S1301" t="s">
        <v>1101</v>
      </c>
      <c r="T1301">
        <v>85</v>
      </c>
      <c r="V1301">
        <v>104.2</v>
      </c>
      <c r="W1301">
        <v>81.8</v>
      </c>
      <c r="X1301">
        <v>23</v>
      </c>
      <c r="Y1301">
        <v>41.2</v>
      </c>
      <c r="Z1301">
        <v>17332850</v>
      </c>
      <c r="AA1301">
        <v>52.132632999999998</v>
      </c>
      <c r="AB1301">
        <v>5.2912660000000002</v>
      </c>
    </row>
    <row r="1302" spans="1:28" hidden="1">
      <c r="A1302">
        <v>1272</v>
      </c>
      <c r="B1302">
        <v>2400</v>
      </c>
      <c r="C1302" t="s">
        <v>75</v>
      </c>
      <c r="D1302" t="s">
        <v>2725</v>
      </c>
      <c r="E1302">
        <v>67</v>
      </c>
      <c r="G1302" t="s">
        <v>726</v>
      </c>
      <c r="H1302" t="s">
        <v>727</v>
      </c>
      <c r="I1302" t="s">
        <v>75</v>
      </c>
      <c r="J1302" t="s">
        <v>75</v>
      </c>
      <c r="K1302" t="s">
        <v>726</v>
      </c>
      <c r="M1302" t="b">
        <v>0</v>
      </c>
      <c r="N1302" t="s">
        <v>42</v>
      </c>
      <c r="O1302" t="s">
        <v>33</v>
      </c>
      <c r="Q1302">
        <v>129.61000000000001</v>
      </c>
      <c r="R1302">
        <v>2.5</v>
      </c>
      <c r="S1302" t="s">
        <v>728</v>
      </c>
      <c r="T1302">
        <v>35.5</v>
      </c>
      <c r="V1302">
        <v>107.5</v>
      </c>
      <c r="W1302">
        <v>71.099999999999994</v>
      </c>
      <c r="X1302">
        <v>14</v>
      </c>
      <c r="Y1302">
        <v>43.1</v>
      </c>
      <c r="Z1302">
        <v>108116615</v>
      </c>
      <c r="AA1302">
        <v>12.879721</v>
      </c>
      <c r="AB1302">
        <v>121.774017</v>
      </c>
    </row>
    <row r="1303" spans="1:28" hidden="1">
      <c r="A1303">
        <v>1272</v>
      </c>
      <c r="B1303">
        <v>2400</v>
      </c>
      <c r="C1303" t="s">
        <v>75</v>
      </c>
      <c r="D1303" t="s">
        <v>2726</v>
      </c>
      <c r="E1303">
        <v>66</v>
      </c>
      <c r="G1303" t="s">
        <v>726</v>
      </c>
      <c r="H1303" t="s">
        <v>727</v>
      </c>
      <c r="I1303" t="s">
        <v>75</v>
      </c>
      <c r="J1303" t="s">
        <v>75</v>
      </c>
      <c r="K1303" t="s">
        <v>726</v>
      </c>
      <c r="M1303" t="b">
        <v>0</v>
      </c>
      <c r="N1303" t="s">
        <v>42</v>
      </c>
      <c r="O1303" t="s">
        <v>33</v>
      </c>
      <c r="Q1303">
        <v>129.61000000000001</v>
      </c>
      <c r="R1303">
        <v>2.5</v>
      </c>
      <c r="S1303" t="s">
        <v>728</v>
      </c>
      <c r="T1303">
        <v>35.5</v>
      </c>
      <c r="V1303">
        <v>107.5</v>
      </c>
      <c r="W1303">
        <v>71.099999999999994</v>
      </c>
      <c r="X1303">
        <v>14</v>
      </c>
      <c r="Y1303">
        <v>43.1</v>
      </c>
      <c r="Z1303">
        <v>108116615</v>
      </c>
      <c r="AA1303">
        <v>12.879721</v>
      </c>
      <c r="AB1303">
        <v>121.774017</v>
      </c>
    </row>
    <row r="1304" spans="1:28" hidden="1">
      <c r="A1304">
        <v>1272</v>
      </c>
      <c r="B1304">
        <v>2400</v>
      </c>
      <c r="C1304" t="s">
        <v>75</v>
      </c>
      <c r="D1304" t="s">
        <v>2727</v>
      </c>
      <c r="E1304">
        <v>88</v>
      </c>
      <c r="G1304" t="s">
        <v>726</v>
      </c>
      <c r="H1304" t="s">
        <v>727</v>
      </c>
      <c r="I1304" t="s">
        <v>75</v>
      </c>
      <c r="J1304" t="s">
        <v>75</v>
      </c>
      <c r="K1304" t="s">
        <v>726</v>
      </c>
      <c r="M1304" t="b">
        <v>1</v>
      </c>
      <c r="N1304" t="s">
        <v>32</v>
      </c>
      <c r="O1304" t="s">
        <v>33</v>
      </c>
      <c r="Q1304">
        <v>129.61000000000001</v>
      </c>
      <c r="R1304">
        <v>2.5</v>
      </c>
      <c r="S1304" t="s">
        <v>728</v>
      </c>
      <c r="T1304">
        <v>35.5</v>
      </c>
      <c r="V1304">
        <v>107.5</v>
      </c>
      <c r="W1304">
        <v>71.099999999999994</v>
      </c>
      <c r="X1304">
        <v>14</v>
      </c>
      <c r="Y1304">
        <v>43.1</v>
      </c>
      <c r="Z1304">
        <v>108116615</v>
      </c>
      <c r="AA1304">
        <v>12.879721</v>
      </c>
      <c r="AB1304">
        <v>121.774017</v>
      </c>
    </row>
    <row r="1305" spans="1:28" hidden="1">
      <c r="A1305">
        <v>1272</v>
      </c>
      <c r="B1305">
        <v>2400</v>
      </c>
      <c r="C1305" t="s">
        <v>45</v>
      </c>
      <c r="D1305" t="s">
        <v>2728</v>
      </c>
      <c r="E1305">
        <v>72</v>
      </c>
      <c r="G1305" t="s">
        <v>810</v>
      </c>
      <c r="H1305" t="s">
        <v>2729</v>
      </c>
      <c r="I1305" t="s">
        <v>312</v>
      </c>
      <c r="J1305" t="s">
        <v>45</v>
      </c>
      <c r="K1305" t="s">
        <v>810</v>
      </c>
      <c r="M1305" t="b">
        <v>1</v>
      </c>
      <c r="N1305" t="s">
        <v>42</v>
      </c>
      <c r="O1305" t="s">
        <v>33</v>
      </c>
    </row>
    <row r="1306" spans="1:28" hidden="1">
      <c r="A1306">
        <v>1272</v>
      </c>
      <c r="B1306">
        <v>2400</v>
      </c>
      <c r="C1306" t="s">
        <v>63</v>
      </c>
      <c r="D1306" t="s">
        <v>2730</v>
      </c>
      <c r="E1306">
        <v>84</v>
      </c>
      <c r="G1306" t="s">
        <v>38</v>
      </c>
      <c r="H1306" t="s">
        <v>739</v>
      </c>
      <c r="I1306" t="s">
        <v>665</v>
      </c>
      <c r="J1306" t="s">
        <v>63</v>
      </c>
      <c r="K1306" t="s">
        <v>38</v>
      </c>
      <c r="M1306" t="b">
        <v>0</v>
      </c>
      <c r="N1306" t="s">
        <v>32</v>
      </c>
      <c r="O1306" t="s">
        <v>33</v>
      </c>
      <c r="Q1306">
        <v>117.24</v>
      </c>
      <c r="R1306">
        <v>7.5</v>
      </c>
      <c r="S1306" t="s">
        <v>44</v>
      </c>
      <c r="T1306">
        <v>88.2</v>
      </c>
      <c r="V1306">
        <v>101.8</v>
      </c>
      <c r="W1306">
        <v>78.5</v>
      </c>
      <c r="X1306">
        <v>9.6</v>
      </c>
      <c r="Y1306">
        <v>36.6</v>
      </c>
      <c r="Z1306">
        <v>328239523</v>
      </c>
      <c r="AA1306">
        <v>37.090240000000001</v>
      </c>
      <c r="AB1306">
        <v>-95.712890999999999</v>
      </c>
    </row>
    <row r="1307" spans="1:28" hidden="1">
      <c r="A1307">
        <v>1272</v>
      </c>
      <c r="B1307">
        <v>2400</v>
      </c>
      <c r="C1307" t="s">
        <v>221</v>
      </c>
      <c r="D1307" t="s">
        <v>2731</v>
      </c>
      <c r="E1307">
        <v>84</v>
      </c>
      <c r="G1307" t="s">
        <v>38</v>
      </c>
      <c r="H1307" t="s">
        <v>65</v>
      </c>
      <c r="I1307" t="s">
        <v>223</v>
      </c>
      <c r="J1307" t="s">
        <v>221</v>
      </c>
      <c r="K1307" t="s">
        <v>38</v>
      </c>
      <c r="M1307" t="b">
        <v>1</v>
      </c>
      <c r="N1307" t="s">
        <v>32</v>
      </c>
      <c r="O1307" t="s">
        <v>33</v>
      </c>
      <c r="Q1307">
        <v>117.24</v>
      </c>
      <c r="R1307">
        <v>7.5</v>
      </c>
      <c r="S1307" t="s">
        <v>44</v>
      </c>
      <c r="T1307">
        <v>88.2</v>
      </c>
      <c r="V1307">
        <v>101.8</v>
      </c>
      <c r="W1307">
        <v>78.5</v>
      </c>
      <c r="X1307">
        <v>9.6</v>
      </c>
      <c r="Y1307">
        <v>36.6</v>
      </c>
      <c r="Z1307">
        <v>328239523</v>
      </c>
      <c r="AA1307">
        <v>37.090240000000001</v>
      </c>
      <c r="AB1307">
        <v>-95.712890999999999</v>
      </c>
    </row>
    <row r="1308" spans="1:28" hidden="1">
      <c r="A1308">
        <v>1272</v>
      </c>
      <c r="B1308">
        <v>2400</v>
      </c>
      <c r="C1308" t="s">
        <v>54</v>
      </c>
      <c r="D1308" t="s">
        <v>2732</v>
      </c>
      <c r="E1308">
        <v>61</v>
      </c>
      <c r="G1308" t="s">
        <v>156</v>
      </c>
      <c r="H1308" t="s">
        <v>1989</v>
      </c>
      <c r="I1308" t="s">
        <v>613</v>
      </c>
      <c r="J1308" t="s">
        <v>54</v>
      </c>
      <c r="K1308" t="s">
        <v>156</v>
      </c>
      <c r="M1308" t="b">
        <v>1</v>
      </c>
      <c r="N1308" t="s">
        <v>42</v>
      </c>
      <c r="O1308" t="s">
        <v>33</v>
      </c>
      <c r="Q1308">
        <v>99.55</v>
      </c>
      <c r="R1308">
        <v>0.4</v>
      </c>
      <c r="S1308" t="s">
        <v>159</v>
      </c>
      <c r="T1308">
        <v>59.6</v>
      </c>
      <c r="V1308">
        <v>105.2</v>
      </c>
      <c r="W1308">
        <v>83.6</v>
      </c>
      <c r="X1308">
        <v>10.1</v>
      </c>
      <c r="Y1308">
        <v>28.8</v>
      </c>
      <c r="Z1308">
        <v>8574832</v>
      </c>
      <c r="AA1308">
        <v>46.818187999999999</v>
      </c>
      <c r="AB1308">
        <v>8.2275120000000008</v>
      </c>
    </row>
    <row r="1309" spans="1:28">
      <c r="A1309">
        <v>1272</v>
      </c>
      <c r="B1309">
        <v>2400</v>
      </c>
      <c r="C1309" t="s">
        <v>45</v>
      </c>
      <c r="D1309" t="s">
        <v>2733</v>
      </c>
      <c r="E1309">
        <v>54</v>
      </c>
      <c r="F1309" t="str">
        <f>IF(E1309&gt;=90,"90-100",IF(E1309&gt;=80,"80-90",IF(E1309&gt;=70,"70-80",IF(E1309&gt;=60,"60-70",IF(E1309&gt;=50,"50-60",IF(E1309&gt;=40,"40-50",IF(E1309&gt;=30,"30-40","20-30")))))))</f>
        <v>50-60</v>
      </c>
      <c r="G1309" t="s">
        <v>38</v>
      </c>
      <c r="H1309" t="s">
        <v>1662</v>
      </c>
      <c r="I1309" t="s">
        <v>2072</v>
      </c>
      <c r="J1309" t="s">
        <v>45</v>
      </c>
      <c r="K1309" t="s">
        <v>38</v>
      </c>
      <c r="L1309" t="s">
        <v>2073</v>
      </c>
      <c r="M1309" t="b">
        <v>1</v>
      </c>
      <c r="N1309" t="s">
        <v>42</v>
      </c>
      <c r="O1309" t="s">
        <v>4867</v>
      </c>
      <c r="P1309" t="s">
        <v>110</v>
      </c>
      <c r="Q1309">
        <v>117.24</v>
      </c>
      <c r="R1309">
        <v>7.5</v>
      </c>
      <c r="S1309" t="s">
        <v>44</v>
      </c>
      <c r="T1309">
        <v>88.2</v>
      </c>
      <c r="U1309" t="str">
        <f>IF(T1309&gt;=100,"above 100",IF(T1309&gt;=80,"80-100",IF(T1309&gt;=60,"60-80",IF(T1309&gt;=40,"40-60",IF(T1309&gt;=20,"20-60","0-20")))))</f>
        <v>80-100</v>
      </c>
      <c r="V1309">
        <v>101.8</v>
      </c>
      <c r="W1309">
        <v>78.5</v>
      </c>
      <c r="X1309">
        <v>9.6</v>
      </c>
      <c r="Y1309">
        <v>36.6</v>
      </c>
      <c r="Z1309">
        <v>328239523</v>
      </c>
      <c r="AA1309">
        <v>37.090240000000001</v>
      </c>
      <c r="AB1309">
        <v>-95.712890999999999</v>
      </c>
    </row>
    <row r="1310" spans="1:28" hidden="1">
      <c r="A1310">
        <v>1272</v>
      </c>
      <c r="B1310">
        <v>2400</v>
      </c>
      <c r="C1310" t="s">
        <v>217</v>
      </c>
      <c r="D1310" t="s">
        <v>2734</v>
      </c>
      <c r="E1310">
        <v>53</v>
      </c>
      <c r="G1310" t="s">
        <v>103</v>
      </c>
      <c r="H1310" t="s">
        <v>1831</v>
      </c>
      <c r="I1310" t="s">
        <v>2735</v>
      </c>
      <c r="J1310" t="s">
        <v>217</v>
      </c>
      <c r="K1310" t="s">
        <v>103</v>
      </c>
      <c r="M1310" t="b">
        <v>1</v>
      </c>
      <c r="N1310" t="s">
        <v>42</v>
      </c>
      <c r="O1310" t="s">
        <v>33</v>
      </c>
      <c r="Q1310">
        <v>125.08</v>
      </c>
      <c r="R1310">
        <v>2.9</v>
      </c>
      <c r="S1310" t="s">
        <v>106</v>
      </c>
      <c r="T1310">
        <v>50.6</v>
      </c>
      <c r="V1310">
        <v>100.2</v>
      </c>
      <c r="W1310">
        <v>77</v>
      </c>
      <c r="X1310">
        <v>9.4</v>
      </c>
      <c r="Y1310">
        <v>59.2</v>
      </c>
      <c r="Z1310">
        <v>1397715000</v>
      </c>
      <c r="AA1310">
        <v>35.861660000000001</v>
      </c>
      <c r="AB1310">
        <v>104.195397</v>
      </c>
    </row>
    <row r="1311" spans="1:28" hidden="1">
      <c r="A1311">
        <v>1272</v>
      </c>
      <c r="B1311">
        <v>2400</v>
      </c>
      <c r="C1311" t="s">
        <v>217</v>
      </c>
      <c r="D1311" t="s">
        <v>2736</v>
      </c>
      <c r="E1311">
        <v>54</v>
      </c>
      <c r="G1311" t="s">
        <v>103</v>
      </c>
      <c r="H1311" t="s">
        <v>1748</v>
      </c>
      <c r="I1311" t="s">
        <v>287</v>
      </c>
      <c r="J1311" t="s">
        <v>217</v>
      </c>
      <c r="K1311" t="s">
        <v>103</v>
      </c>
      <c r="M1311" t="b">
        <v>1</v>
      </c>
      <c r="N1311" t="s">
        <v>42</v>
      </c>
      <c r="O1311" t="s">
        <v>33</v>
      </c>
      <c r="Q1311">
        <v>125.08</v>
      </c>
      <c r="R1311">
        <v>2.9</v>
      </c>
      <c r="S1311" t="s">
        <v>106</v>
      </c>
      <c r="T1311">
        <v>50.6</v>
      </c>
      <c r="V1311">
        <v>100.2</v>
      </c>
      <c r="W1311">
        <v>77</v>
      </c>
      <c r="X1311">
        <v>9.4</v>
      </c>
      <c r="Y1311">
        <v>59.2</v>
      </c>
      <c r="Z1311">
        <v>1397715000</v>
      </c>
      <c r="AA1311">
        <v>35.861660000000001</v>
      </c>
      <c r="AB1311">
        <v>104.195397</v>
      </c>
    </row>
    <row r="1312" spans="1:28">
      <c r="A1312">
        <v>1272</v>
      </c>
      <c r="B1312">
        <v>2400</v>
      </c>
      <c r="C1312" t="s">
        <v>221</v>
      </c>
      <c r="D1312" t="s">
        <v>2737</v>
      </c>
      <c r="E1312">
        <v>85</v>
      </c>
      <c r="F1312" t="str">
        <f>IF(E1312&gt;=90,"90-100",IF(E1312&gt;=80,"80-90",IF(E1312&gt;=70,"70-80",IF(E1312&gt;=60,"60-70",IF(E1312&gt;=50,"50-60",IF(E1312&gt;=40,"40-50",IF(E1312&gt;=30,"30-40","20-30")))))))</f>
        <v>80-90</v>
      </c>
      <c r="G1312" t="s">
        <v>38</v>
      </c>
      <c r="H1312" t="s">
        <v>65</v>
      </c>
      <c r="I1312" t="s">
        <v>2738</v>
      </c>
      <c r="J1312" t="s">
        <v>221</v>
      </c>
      <c r="K1312" t="s">
        <v>38</v>
      </c>
      <c r="L1312" t="s">
        <v>2739</v>
      </c>
      <c r="M1312" t="b">
        <v>1</v>
      </c>
      <c r="N1312" t="s">
        <v>42</v>
      </c>
      <c r="O1312" t="s">
        <v>4867</v>
      </c>
      <c r="P1312" t="s">
        <v>34</v>
      </c>
      <c r="Q1312">
        <v>117.24</v>
      </c>
      <c r="R1312">
        <v>7.5</v>
      </c>
      <c r="S1312" t="s">
        <v>44</v>
      </c>
      <c r="T1312">
        <v>88.2</v>
      </c>
      <c r="U1312" t="str">
        <f t="shared" ref="U1312:U1313" si="39">IF(T1312&gt;=100,"above 100",IF(T1312&gt;=80,"80-100",IF(T1312&gt;=60,"60-80",IF(T1312&gt;=40,"40-60",IF(T1312&gt;=20,"20-60","0-20")))))</f>
        <v>80-100</v>
      </c>
      <c r="V1312">
        <v>101.8</v>
      </c>
      <c r="W1312">
        <v>78.5</v>
      </c>
      <c r="X1312">
        <v>9.6</v>
      </c>
      <c r="Y1312">
        <v>36.6</v>
      </c>
      <c r="Z1312">
        <v>328239523</v>
      </c>
      <c r="AA1312">
        <v>37.090240000000001</v>
      </c>
      <c r="AB1312">
        <v>-95.712890999999999</v>
      </c>
    </row>
    <row r="1313" spans="1:28">
      <c r="A1313">
        <v>1312</v>
      </c>
      <c r="B1313">
        <v>2300</v>
      </c>
      <c r="C1313" t="s">
        <v>54</v>
      </c>
      <c r="D1313" t="s">
        <v>2740</v>
      </c>
      <c r="E1313">
        <v>63</v>
      </c>
      <c r="F1313" t="s">
        <v>4848</v>
      </c>
      <c r="G1313" t="s">
        <v>203</v>
      </c>
      <c r="H1313" t="s">
        <v>204</v>
      </c>
      <c r="I1313" t="s">
        <v>185</v>
      </c>
      <c r="J1313" t="s">
        <v>54</v>
      </c>
      <c r="K1313" t="s">
        <v>945</v>
      </c>
      <c r="L1313" t="s">
        <v>2741</v>
      </c>
      <c r="M1313" t="b">
        <v>1</v>
      </c>
      <c r="N1313" t="s">
        <v>42</v>
      </c>
      <c r="O1313" t="s">
        <v>33</v>
      </c>
      <c r="Q1313">
        <v>119.62</v>
      </c>
      <c r="R1313">
        <v>1.7</v>
      </c>
      <c r="S1313" t="s">
        <v>206</v>
      </c>
      <c r="T1313">
        <v>60</v>
      </c>
      <c r="U1313" t="str">
        <f t="shared" si="39"/>
        <v>60-80</v>
      </c>
      <c r="V1313">
        <v>101.2</v>
      </c>
      <c r="W1313">
        <v>81.3</v>
      </c>
      <c r="X1313">
        <v>25.5</v>
      </c>
      <c r="Y1313">
        <v>30.6</v>
      </c>
      <c r="Z1313">
        <v>66834405</v>
      </c>
      <c r="AA1313">
        <v>55.378050999999999</v>
      </c>
      <c r="AB1313">
        <v>-3.4359730000000002</v>
      </c>
    </row>
    <row r="1314" spans="1:28" hidden="1">
      <c r="A1314">
        <v>1312</v>
      </c>
      <c r="B1314">
        <v>2300</v>
      </c>
      <c r="C1314" t="s">
        <v>250</v>
      </c>
      <c r="D1314" t="s">
        <v>2742</v>
      </c>
      <c r="E1314">
        <v>66</v>
      </c>
      <c r="G1314" t="s">
        <v>38</v>
      </c>
      <c r="H1314" t="s">
        <v>123</v>
      </c>
      <c r="I1314" t="s">
        <v>1337</v>
      </c>
      <c r="J1314" t="s">
        <v>250</v>
      </c>
      <c r="K1314" t="s">
        <v>38</v>
      </c>
      <c r="M1314" t="b">
        <v>0</v>
      </c>
      <c r="N1314" t="s">
        <v>32</v>
      </c>
      <c r="O1314" t="s">
        <v>33</v>
      </c>
      <c r="Q1314">
        <v>117.24</v>
      </c>
      <c r="R1314">
        <v>7.5</v>
      </c>
      <c r="S1314" t="s">
        <v>44</v>
      </c>
      <c r="T1314">
        <v>88.2</v>
      </c>
      <c r="V1314">
        <v>101.8</v>
      </c>
      <c r="W1314">
        <v>78.5</v>
      </c>
      <c r="X1314">
        <v>9.6</v>
      </c>
      <c r="Y1314">
        <v>36.6</v>
      </c>
      <c r="Z1314">
        <v>328239523</v>
      </c>
      <c r="AA1314">
        <v>37.090240000000001</v>
      </c>
      <c r="AB1314">
        <v>-95.712890999999999</v>
      </c>
    </row>
    <row r="1315" spans="1:28" hidden="1">
      <c r="A1315">
        <v>1312</v>
      </c>
      <c r="B1315">
        <v>2300</v>
      </c>
      <c r="C1315" t="s">
        <v>45</v>
      </c>
      <c r="D1315" t="s">
        <v>2743</v>
      </c>
      <c r="E1315">
        <v>43</v>
      </c>
      <c r="G1315" t="s">
        <v>38</v>
      </c>
      <c r="H1315" t="s">
        <v>652</v>
      </c>
      <c r="I1315" t="s">
        <v>2744</v>
      </c>
      <c r="J1315" t="s">
        <v>45</v>
      </c>
      <c r="K1315" t="s">
        <v>38</v>
      </c>
      <c r="M1315" t="b">
        <v>1</v>
      </c>
      <c r="N1315" t="s">
        <v>32</v>
      </c>
      <c r="O1315" t="s">
        <v>33</v>
      </c>
      <c r="Q1315">
        <v>117.24</v>
      </c>
      <c r="R1315">
        <v>7.5</v>
      </c>
      <c r="S1315" t="s">
        <v>44</v>
      </c>
      <c r="T1315">
        <v>88.2</v>
      </c>
      <c r="V1315">
        <v>101.8</v>
      </c>
      <c r="W1315">
        <v>78.5</v>
      </c>
      <c r="X1315">
        <v>9.6</v>
      </c>
      <c r="Y1315">
        <v>36.6</v>
      </c>
      <c r="Z1315">
        <v>328239523</v>
      </c>
      <c r="AA1315">
        <v>37.090240000000001</v>
      </c>
      <c r="AB1315">
        <v>-95.712890999999999</v>
      </c>
    </row>
    <row r="1316" spans="1:28" hidden="1">
      <c r="A1316">
        <v>1312</v>
      </c>
      <c r="B1316">
        <v>2300</v>
      </c>
      <c r="C1316" t="s">
        <v>45</v>
      </c>
      <c r="D1316" t="s">
        <v>2745</v>
      </c>
      <c r="E1316">
        <v>41</v>
      </c>
      <c r="G1316" t="s">
        <v>38</v>
      </c>
      <c r="H1316" t="s">
        <v>652</v>
      </c>
      <c r="I1316" t="s">
        <v>2744</v>
      </c>
      <c r="J1316" t="s">
        <v>45</v>
      </c>
      <c r="K1316" t="s">
        <v>38</v>
      </c>
      <c r="M1316" t="b">
        <v>1</v>
      </c>
      <c r="N1316" t="s">
        <v>32</v>
      </c>
      <c r="O1316" t="s">
        <v>33</v>
      </c>
      <c r="Q1316">
        <v>117.24</v>
      </c>
      <c r="R1316">
        <v>7.5</v>
      </c>
      <c r="S1316" t="s">
        <v>44</v>
      </c>
      <c r="T1316">
        <v>88.2</v>
      </c>
      <c r="V1316">
        <v>101.8</v>
      </c>
      <c r="W1316">
        <v>78.5</v>
      </c>
      <c r="X1316">
        <v>9.6</v>
      </c>
      <c r="Y1316">
        <v>36.6</v>
      </c>
      <c r="Z1316">
        <v>328239523</v>
      </c>
      <c r="AA1316">
        <v>37.090240000000001</v>
      </c>
      <c r="AB1316">
        <v>-95.712890999999999</v>
      </c>
    </row>
    <row r="1317" spans="1:28" hidden="1">
      <c r="A1317">
        <v>1312</v>
      </c>
      <c r="B1317">
        <v>2300</v>
      </c>
      <c r="C1317" t="s">
        <v>26</v>
      </c>
      <c r="D1317" t="s">
        <v>2746</v>
      </c>
      <c r="E1317">
        <v>73</v>
      </c>
      <c r="G1317" t="s">
        <v>38</v>
      </c>
      <c r="H1317" t="s">
        <v>2747</v>
      </c>
      <c r="I1317" t="s">
        <v>2748</v>
      </c>
      <c r="J1317" t="s">
        <v>26</v>
      </c>
      <c r="K1317" t="s">
        <v>38</v>
      </c>
      <c r="M1317" t="b">
        <v>1</v>
      </c>
      <c r="N1317" t="s">
        <v>419</v>
      </c>
      <c r="O1317" t="s">
        <v>33</v>
      </c>
      <c r="Q1317">
        <v>117.24</v>
      </c>
      <c r="R1317">
        <v>7.5</v>
      </c>
      <c r="S1317" t="s">
        <v>44</v>
      </c>
      <c r="T1317">
        <v>88.2</v>
      </c>
      <c r="V1317">
        <v>101.8</v>
      </c>
      <c r="W1317">
        <v>78.5</v>
      </c>
      <c r="X1317">
        <v>9.6</v>
      </c>
      <c r="Y1317">
        <v>36.6</v>
      </c>
      <c r="Z1317">
        <v>328239523</v>
      </c>
      <c r="AA1317">
        <v>37.090240000000001</v>
      </c>
      <c r="AB1317">
        <v>-95.712890999999999</v>
      </c>
    </row>
    <row r="1318" spans="1:28" hidden="1">
      <c r="A1318">
        <v>1312</v>
      </c>
      <c r="B1318">
        <v>2300</v>
      </c>
      <c r="C1318" t="s">
        <v>45</v>
      </c>
      <c r="D1318" t="s">
        <v>2749</v>
      </c>
      <c r="E1318">
        <v>91</v>
      </c>
      <c r="G1318" t="s">
        <v>810</v>
      </c>
      <c r="H1318" t="s">
        <v>2729</v>
      </c>
      <c r="I1318" t="s">
        <v>312</v>
      </c>
      <c r="J1318" t="s">
        <v>45</v>
      </c>
      <c r="K1318" t="s">
        <v>810</v>
      </c>
      <c r="M1318" t="b">
        <v>1</v>
      </c>
      <c r="N1318" t="s">
        <v>42</v>
      </c>
      <c r="O1318" t="s">
        <v>33</v>
      </c>
    </row>
    <row r="1319" spans="1:28" hidden="1">
      <c r="A1319">
        <v>1312</v>
      </c>
      <c r="B1319">
        <v>2300</v>
      </c>
      <c r="C1319" t="s">
        <v>221</v>
      </c>
      <c r="D1319" t="s">
        <v>2750</v>
      </c>
      <c r="E1319">
        <v>78</v>
      </c>
      <c r="G1319" t="s">
        <v>810</v>
      </c>
      <c r="H1319" t="s">
        <v>811</v>
      </c>
      <c r="I1319" t="s">
        <v>223</v>
      </c>
      <c r="J1319" t="s">
        <v>221</v>
      </c>
      <c r="K1319" t="s">
        <v>810</v>
      </c>
      <c r="M1319" t="b">
        <v>1</v>
      </c>
      <c r="N1319" t="s">
        <v>42</v>
      </c>
      <c r="O1319" t="s">
        <v>33</v>
      </c>
    </row>
    <row r="1320" spans="1:28" hidden="1">
      <c r="A1320">
        <v>1312</v>
      </c>
      <c r="B1320">
        <v>2300</v>
      </c>
      <c r="C1320" t="s">
        <v>54</v>
      </c>
      <c r="D1320" t="s">
        <v>2751</v>
      </c>
      <c r="E1320">
        <v>73</v>
      </c>
      <c r="I1320" t="s">
        <v>231</v>
      </c>
      <c r="J1320" t="s">
        <v>54</v>
      </c>
      <c r="K1320" t="s">
        <v>810</v>
      </c>
      <c r="M1320" t="b">
        <v>1</v>
      </c>
      <c r="N1320" t="s">
        <v>192</v>
      </c>
      <c r="O1320" t="s">
        <v>33</v>
      </c>
    </row>
    <row r="1321" spans="1:28" hidden="1">
      <c r="A1321">
        <v>1312</v>
      </c>
      <c r="B1321">
        <v>2300</v>
      </c>
      <c r="C1321" t="s">
        <v>217</v>
      </c>
      <c r="D1321" t="s">
        <v>2752</v>
      </c>
      <c r="E1321">
        <v>53</v>
      </c>
      <c r="G1321" t="s">
        <v>172</v>
      </c>
      <c r="H1321" t="s">
        <v>172</v>
      </c>
      <c r="I1321" t="s">
        <v>1990</v>
      </c>
      <c r="J1321" t="s">
        <v>217</v>
      </c>
      <c r="K1321" t="s">
        <v>172</v>
      </c>
      <c r="M1321" t="b">
        <v>1</v>
      </c>
      <c r="N1321" t="s">
        <v>419</v>
      </c>
      <c r="O1321" t="s">
        <v>88</v>
      </c>
    </row>
    <row r="1322" spans="1:28" hidden="1">
      <c r="A1322">
        <v>1312</v>
      </c>
      <c r="B1322">
        <v>2300</v>
      </c>
      <c r="C1322" t="s">
        <v>45</v>
      </c>
      <c r="D1322" t="s">
        <v>2753</v>
      </c>
      <c r="E1322">
        <v>68</v>
      </c>
      <c r="G1322" t="s">
        <v>77</v>
      </c>
      <c r="H1322" t="s">
        <v>667</v>
      </c>
      <c r="I1322" t="s">
        <v>668</v>
      </c>
      <c r="J1322" t="s">
        <v>45</v>
      </c>
      <c r="K1322" t="s">
        <v>77</v>
      </c>
      <c r="M1322" t="b">
        <v>1</v>
      </c>
      <c r="N1322" t="s">
        <v>42</v>
      </c>
      <c r="O1322" t="s">
        <v>33</v>
      </c>
      <c r="Q1322">
        <v>180.44</v>
      </c>
      <c r="R1322">
        <v>7.7</v>
      </c>
      <c r="S1322" t="s">
        <v>81</v>
      </c>
      <c r="T1322">
        <v>28.1</v>
      </c>
      <c r="V1322">
        <v>113</v>
      </c>
      <c r="W1322">
        <v>69.400000000000006</v>
      </c>
      <c r="X1322">
        <v>11.2</v>
      </c>
      <c r="Y1322">
        <v>49.7</v>
      </c>
      <c r="Z1322">
        <v>1366417754</v>
      </c>
      <c r="AA1322">
        <v>20.593684</v>
      </c>
      <c r="AB1322">
        <v>78.962879999999998</v>
      </c>
    </row>
    <row r="1323" spans="1:28" hidden="1">
      <c r="A1323">
        <v>1312</v>
      </c>
      <c r="B1323">
        <v>2300</v>
      </c>
      <c r="C1323" t="s">
        <v>75</v>
      </c>
      <c r="D1323" t="s">
        <v>2754</v>
      </c>
      <c r="E1323">
        <v>62</v>
      </c>
      <c r="G1323" t="s">
        <v>38</v>
      </c>
      <c r="H1323" t="s">
        <v>2755</v>
      </c>
      <c r="I1323" t="s">
        <v>2756</v>
      </c>
      <c r="J1323" t="s">
        <v>75</v>
      </c>
      <c r="K1323" t="s">
        <v>38</v>
      </c>
      <c r="M1323" t="b">
        <v>1</v>
      </c>
      <c r="N1323" t="s">
        <v>32</v>
      </c>
      <c r="O1323" t="s">
        <v>33</v>
      </c>
      <c r="Q1323">
        <v>117.24</v>
      </c>
      <c r="R1323">
        <v>7.5</v>
      </c>
      <c r="S1323" t="s">
        <v>44</v>
      </c>
      <c r="T1323">
        <v>88.2</v>
      </c>
      <c r="V1323">
        <v>101.8</v>
      </c>
      <c r="W1323">
        <v>78.5</v>
      </c>
      <c r="X1323">
        <v>9.6</v>
      </c>
      <c r="Y1323">
        <v>36.6</v>
      </c>
      <c r="Z1323">
        <v>328239523</v>
      </c>
      <c r="AA1323">
        <v>37.090240000000001</v>
      </c>
      <c r="AB1323">
        <v>-95.712890999999999</v>
      </c>
    </row>
    <row r="1324" spans="1:28" hidden="1">
      <c r="A1324">
        <v>1312</v>
      </c>
      <c r="B1324">
        <v>2300</v>
      </c>
      <c r="C1324" t="s">
        <v>75</v>
      </c>
      <c r="D1324" t="s">
        <v>2757</v>
      </c>
      <c r="E1324">
        <v>66</v>
      </c>
      <c r="G1324" t="s">
        <v>38</v>
      </c>
      <c r="H1324" t="s">
        <v>2755</v>
      </c>
      <c r="I1324" t="s">
        <v>2756</v>
      </c>
      <c r="J1324" t="s">
        <v>75</v>
      </c>
      <c r="K1324" t="s">
        <v>38</v>
      </c>
      <c r="M1324" t="b">
        <v>1</v>
      </c>
      <c r="N1324" t="s">
        <v>32</v>
      </c>
      <c r="O1324" t="s">
        <v>33</v>
      </c>
      <c r="Q1324">
        <v>117.24</v>
      </c>
      <c r="R1324">
        <v>7.5</v>
      </c>
      <c r="S1324" t="s">
        <v>44</v>
      </c>
      <c r="T1324">
        <v>88.2</v>
      </c>
      <c r="V1324">
        <v>101.8</v>
      </c>
      <c r="W1324">
        <v>78.5</v>
      </c>
      <c r="X1324">
        <v>9.6</v>
      </c>
      <c r="Y1324">
        <v>36.6</v>
      </c>
      <c r="Z1324">
        <v>328239523</v>
      </c>
      <c r="AA1324">
        <v>37.090240000000001</v>
      </c>
      <c r="AB1324">
        <v>-95.712890999999999</v>
      </c>
    </row>
    <row r="1325" spans="1:28">
      <c r="A1325">
        <v>1312</v>
      </c>
      <c r="B1325">
        <v>2300</v>
      </c>
      <c r="C1325" t="s">
        <v>45</v>
      </c>
      <c r="D1325" t="s">
        <v>2758</v>
      </c>
      <c r="E1325">
        <v>40</v>
      </c>
      <c r="F1325" t="str">
        <f>IF(E1325&gt;=90,"90-100",IF(E1325&gt;=80,"80-90",IF(E1325&gt;=70,"70-80",IF(E1325&gt;=60,"60-70",IF(E1325&gt;=50,"50-60",IF(E1325&gt;=40,"40-50",IF(E1325&gt;=30,"30-40","20-30")))))))</f>
        <v>40-50</v>
      </c>
      <c r="G1325" t="s">
        <v>397</v>
      </c>
      <c r="H1325" t="s">
        <v>398</v>
      </c>
      <c r="I1325" t="s">
        <v>2307</v>
      </c>
      <c r="J1325" t="s">
        <v>45</v>
      </c>
      <c r="K1325" t="s">
        <v>397</v>
      </c>
      <c r="L1325" t="s">
        <v>2307</v>
      </c>
      <c r="M1325" t="b">
        <v>1</v>
      </c>
      <c r="N1325" t="s">
        <v>42</v>
      </c>
      <c r="O1325" t="s">
        <v>4867</v>
      </c>
      <c r="P1325" t="s">
        <v>43</v>
      </c>
      <c r="Q1325">
        <v>110.51</v>
      </c>
      <c r="R1325">
        <v>1.8</v>
      </c>
      <c r="S1325" t="s">
        <v>401</v>
      </c>
      <c r="T1325">
        <v>67</v>
      </c>
      <c r="U1325" t="str">
        <f t="shared" ref="U1325:U1326" si="40">IF(T1325&gt;=100,"above 100",IF(T1325&gt;=80,"80-100",IF(T1325&gt;=60,"60-80",IF(T1325&gt;=40,"40-60",IF(T1325&gt;=20,"20-60","0-20")))))</f>
        <v>60-80</v>
      </c>
      <c r="V1325">
        <v>126.6</v>
      </c>
      <c r="W1325">
        <v>82.5</v>
      </c>
      <c r="X1325">
        <v>27.9</v>
      </c>
      <c r="Y1325">
        <v>49.1</v>
      </c>
      <c r="Z1325">
        <v>10285453</v>
      </c>
      <c r="AA1325">
        <v>60.128160999999999</v>
      </c>
      <c r="AB1325">
        <v>18.643501000000001</v>
      </c>
    </row>
    <row r="1326" spans="1:28">
      <c r="A1326">
        <v>1312</v>
      </c>
      <c r="B1326">
        <v>2300</v>
      </c>
      <c r="C1326" t="s">
        <v>26</v>
      </c>
      <c r="D1326" t="s">
        <v>2759</v>
      </c>
      <c r="E1326">
        <v>61</v>
      </c>
      <c r="F1326" t="str">
        <f>IF(E1326&gt;=90,"90-100",IF(E1326&gt;=80,"80-90",IF(E1326&gt;=70,"70-80",IF(E1326&gt;=60,"60-70",IF(E1326&gt;=50,"50-60",IF(E1326&gt;=40,"40-50",IF(E1326&gt;=30,"30-40","20-30")))))))</f>
        <v>60-70</v>
      </c>
      <c r="G1326" t="s">
        <v>38</v>
      </c>
      <c r="H1326" t="s">
        <v>652</v>
      </c>
      <c r="I1326" t="s">
        <v>2688</v>
      </c>
      <c r="J1326" t="s">
        <v>26</v>
      </c>
      <c r="K1326" t="s">
        <v>38</v>
      </c>
      <c r="L1326" t="s">
        <v>2760</v>
      </c>
      <c r="M1326" t="b">
        <v>0</v>
      </c>
      <c r="N1326" t="s">
        <v>42</v>
      </c>
      <c r="O1326" t="s">
        <v>4867</v>
      </c>
      <c r="P1326" t="s">
        <v>1036</v>
      </c>
      <c r="Q1326">
        <v>117.24</v>
      </c>
      <c r="R1326">
        <v>7.5</v>
      </c>
      <c r="S1326" t="s">
        <v>44</v>
      </c>
      <c r="T1326">
        <v>88.2</v>
      </c>
      <c r="U1326" t="str">
        <f t="shared" si="40"/>
        <v>80-100</v>
      </c>
      <c r="V1326">
        <v>101.8</v>
      </c>
      <c r="W1326">
        <v>78.5</v>
      </c>
      <c r="X1326">
        <v>9.6</v>
      </c>
      <c r="Y1326">
        <v>36.6</v>
      </c>
      <c r="Z1326">
        <v>328239523</v>
      </c>
      <c r="AA1326">
        <v>37.090240000000001</v>
      </c>
      <c r="AB1326">
        <v>-95.712890999999999</v>
      </c>
    </row>
    <row r="1327" spans="1:28" hidden="1">
      <c r="A1327">
        <v>1312</v>
      </c>
      <c r="B1327">
        <v>2300</v>
      </c>
      <c r="C1327" t="s">
        <v>26</v>
      </c>
      <c r="D1327" t="s">
        <v>2761</v>
      </c>
      <c r="E1327">
        <v>61</v>
      </c>
      <c r="G1327" t="s">
        <v>148</v>
      </c>
      <c r="H1327" t="s">
        <v>2186</v>
      </c>
      <c r="I1327" t="s">
        <v>150</v>
      </c>
      <c r="J1327" t="s">
        <v>26</v>
      </c>
      <c r="K1327" t="s">
        <v>148</v>
      </c>
      <c r="M1327" t="b">
        <v>0</v>
      </c>
      <c r="N1327" t="s">
        <v>32</v>
      </c>
      <c r="O1327" t="s">
        <v>33</v>
      </c>
      <c r="Q1327">
        <v>112.85</v>
      </c>
      <c r="R1327">
        <v>1.4</v>
      </c>
      <c r="S1327" t="s">
        <v>151</v>
      </c>
      <c r="T1327">
        <v>70.2</v>
      </c>
      <c r="V1327">
        <v>104</v>
      </c>
      <c r="W1327">
        <v>80.900000000000006</v>
      </c>
      <c r="X1327">
        <v>11.5</v>
      </c>
      <c r="Y1327">
        <v>48.8</v>
      </c>
      <c r="Z1327">
        <v>83132799</v>
      </c>
      <c r="AA1327">
        <v>51.165691000000002</v>
      </c>
      <c r="AB1327">
        <v>10.451525999999999</v>
      </c>
    </row>
    <row r="1328" spans="1:28" hidden="1">
      <c r="A1328">
        <v>1312</v>
      </c>
      <c r="B1328">
        <v>2300</v>
      </c>
      <c r="C1328" t="s">
        <v>469</v>
      </c>
      <c r="D1328" t="s">
        <v>2762</v>
      </c>
      <c r="E1328">
        <v>55</v>
      </c>
      <c r="G1328" t="s">
        <v>1267</v>
      </c>
      <c r="H1328" t="s">
        <v>2763</v>
      </c>
      <c r="I1328" t="s">
        <v>1528</v>
      </c>
      <c r="J1328" t="s">
        <v>469</v>
      </c>
      <c r="K1328" t="s">
        <v>1267</v>
      </c>
      <c r="M1328" t="b">
        <v>1</v>
      </c>
      <c r="N1328" t="s">
        <v>419</v>
      </c>
      <c r="O1328" t="s">
        <v>33</v>
      </c>
      <c r="Q1328">
        <v>234.44</v>
      </c>
      <c r="R1328">
        <v>15.2</v>
      </c>
      <c r="S1328" t="s">
        <v>1270</v>
      </c>
      <c r="T1328">
        <v>23.9</v>
      </c>
      <c r="V1328">
        <v>93.2</v>
      </c>
      <c r="W1328">
        <v>77.400000000000006</v>
      </c>
      <c r="X1328">
        <v>17.899999999999999</v>
      </c>
      <c r="Y1328">
        <v>42.3</v>
      </c>
      <c r="Z1328">
        <v>83429615</v>
      </c>
      <c r="AA1328">
        <v>38.963745000000003</v>
      </c>
      <c r="AB1328">
        <v>35.243321999999999</v>
      </c>
    </row>
    <row r="1329" spans="1:28" hidden="1">
      <c r="A1329">
        <v>1312</v>
      </c>
      <c r="B1329">
        <v>2300</v>
      </c>
      <c r="C1329" t="s">
        <v>54</v>
      </c>
      <c r="D1329" t="s">
        <v>2764</v>
      </c>
      <c r="E1329">
        <v>45</v>
      </c>
      <c r="G1329" t="s">
        <v>38</v>
      </c>
      <c r="H1329" t="s">
        <v>307</v>
      </c>
      <c r="I1329" t="s">
        <v>613</v>
      </c>
      <c r="J1329" t="s">
        <v>54</v>
      </c>
      <c r="K1329" t="s">
        <v>38</v>
      </c>
      <c r="M1329" t="b">
        <v>0</v>
      </c>
      <c r="N1329" t="s">
        <v>32</v>
      </c>
      <c r="O1329" t="s">
        <v>33</v>
      </c>
      <c r="Q1329">
        <v>117.24</v>
      </c>
      <c r="R1329">
        <v>7.5</v>
      </c>
      <c r="S1329" t="s">
        <v>44</v>
      </c>
      <c r="T1329">
        <v>88.2</v>
      </c>
      <c r="V1329">
        <v>101.8</v>
      </c>
      <c r="W1329">
        <v>78.5</v>
      </c>
      <c r="X1329">
        <v>9.6</v>
      </c>
      <c r="Y1329">
        <v>36.6</v>
      </c>
      <c r="Z1329">
        <v>328239523</v>
      </c>
      <c r="AA1329">
        <v>37.090240000000001</v>
      </c>
      <c r="AB1329">
        <v>-95.712890999999999</v>
      </c>
    </row>
    <row r="1330" spans="1:28" hidden="1">
      <c r="A1330">
        <v>1312</v>
      </c>
      <c r="B1330">
        <v>2300</v>
      </c>
      <c r="C1330" t="s">
        <v>45</v>
      </c>
      <c r="D1330" t="s">
        <v>2765</v>
      </c>
      <c r="E1330">
        <v>49</v>
      </c>
      <c r="G1330" t="s">
        <v>103</v>
      </c>
      <c r="H1330" t="s">
        <v>1500</v>
      </c>
      <c r="I1330" t="s">
        <v>217</v>
      </c>
      <c r="J1330" t="s">
        <v>45</v>
      </c>
      <c r="K1330" t="s">
        <v>103</v>
      </c>
      <c r="M1330" t="b">
        <v>1</v>
      </c>
      <c r="N1330" t="s">
        <v>32</v>
      </c>
      <c r="O1330" t="s">
        <v>33</v>
      </c>
      <c r="Q1330">
        <v>125.08</v>
      </c>
      <c r="R1330">
        <v>2.9</v>
      </c>
      <c r="S1330" t="s">
        <v>106</v>
      </c>
      <c r="T1330">
        <v>50.6</v>
      </c>
      <c r="V1330">
        <v>100.2</v>
      </c>
      <c r="W1330">
        <v>77</v>
      </c>
      <c r="X1330">
        <v>9.4</v>
      </c>
      <c r="Y1330">
        <v>59.2</v>
      </c>
      <c r="Z1330">
        <v>1397715000</v>
      </c>
      <c r="AA1330">
        <v>35.861660000000001</v>
      </c>
      <c r="AB1330">
        <v>104.195397</v>
      </c>
    </row>
    <row r="1331" spans="1:28">
      <c r="A1331">
        <v>1312</v>
      </c>
      <c r="B1331">
        <v>2300</v>
      </c>
      <c r="C1331" t="s">
        <v>54</v>
      </c>
      <c r="D1331" t="s">
        <v>2766</v>
      </c>
      <c r="E1331">
        <v>67</v>
      </c>
      <c r="F1331" t="str">
        <f>IF(E1331&gt;=90,"90-100",IF(E1331&gt;=80,"80-90",IF(E1331&gt;=70,"70-80",IF(E1331&gt;=60,"60-70",IF(E1331&gt;=50,"50-60",IF(E1331&gt;=40,"40-50",IF(E1331&gt;=30,"30-40","20-30")))))))</f>
        <v>60-70</v>
      </c>
      <c r="G1331" t="s">
        <v>38</v>
      </c>
      <c r="H1331" t="s">
        <v>635</v>
      </c>
      <c r="I1331" t="s">
        <v>613</v>
      </c>
      <c r="J1331" t="s">
        <v>54</v>
      </c>
      <c r="K1331" t="s">
        <v>38</v>
      </c>
      <c r="L1331" t="s">
        <v>2767</v>
      </c>
      <c r="M1331" t="b">
        <v>1</v>
      </c>
      <c r="N1331" t="s">
        <v>32</v>
      </c>
      <c r="O1331" t="s">
        <v>4867</v>
      </c>
      <c r="P1331" t="s">
        <v>1036</v>
      </c>
      <c r="Q1331">
        <v>117.24</v>
      </c>
      <c r="R1331">
        <v>7.5</v>
      </c>
      <c r="S1331" t="s">
        <v>44</v>
      </c>
      <c r="T1331">
        <v>88.2</v>
      </c>
      <c r="U1331" t="str">
        <f t="shared" ref="U1331:U1332" si="41">IF(T1331&gt;=100,"above 100",IF(T1331&gt;=80,"80-100",IF(T1331&gt;=60,"60-80",IF(T1331&gt;=40,"40-60",IF(T1331&gt;=20,"20-60","0-20")))))</f>
        <v>80-100</v>
      </c>
      <c r="V1331">
        <v>101.8</v>
      </c>
      <c r="W1331">
        <v>78.5</v>
      </c>
      <c r="X1331">
        <v>9.6</v>
      </c>
      <c r="Y1331">
        <v>36.6</v>
      </c>
      <c r="Z1331">
        <v>328239523</v>
      </c>
      <c r="AA1331">
        <v>37.090240000000001</v>
      </c>
      <c r="AB1331">
        <v>-95.712890999999999</v>
      </c>
    </row>
    <row r="1332" spans="1:28">
      <c r="A1332">
        <v>1312</v>
      </c>
      <c r="B1332">
        <v>2300</v>
      </c>
      <c r="C1332" t="s">
        <v>45</v>
      </c>
      <c r="D1332" t="s">
        <v>2768</v>
      </c>
      <c r="E1332">
        <v>44</v>
      </c>
      <c r="F1332" t="s">
        <v>4850</v>
      </c>
      <c r="G1332" t="s">
        <v>611</v>
      </c>
      <c r="H1332" t="s">
        <v>612</v>
      </c>
      <c r="I1332" t="s">
        <v>2769</v>
      </c>
      <c r="J1332" t="s">
        <v>45</v>
      </c>
      <c r="K1332" t="s">
        <v>38</v>
      </c>
      <c r="L1332" t="s">
        <v>2770</v>
      </c>
      <c r="M1332" t="b">
        <v>1</v>
      </c>
      <c r="N1332" t="s">
        <v>42</v>
      </c>
      <c r="O1332" t="s">
        <v>33</v>
      </c>
      <c r="Q1332">
        <v>115.16</v>
      </c>
      <c r="R1332">
        <v>0.4</v>
      </c>
      <c r="S1332" t="s">
        <v>615</v>
      </c>
      <c r="T1332">
        <v>94.3</v>
      </c>
      <c r="U1332" t="str">
        <f t="shared" si="41"/>
        <v>80-100</v>
      </c>
      <c r="V1332">
        <v>98.1</v>
      </c>
      <c r="W1332">
        <v>82.6</v>
      </c>
      <c r="X1332">
        <v>15.6</v>
      </c>
      <c r="Y1332">
        <v>33.200000000000003</v>
      </c>
      <c r="Z1332">
        <v>51709098</v>
      </c>
      <c r="AA1332">
        <v>35.907756999999997</v>
      </c>
      <c r="AB1332">
        <v>127.76692199999999</v>
      </c>
    </row>
    <row r="1333" spans="1:28" hidden="1">
      <c r="A1333">
        <v>1312</v>
      </c>
      <c r="B1333">
        <v>2300</v>
      </c>
      <c r="C1333" t="s">
        <v>101</v>
      </c>
      <c r="D1333" t="s">
        <v>2771</v>
      </c>
      <c r="G1333" t="s">
        <v>103</v>
      </c>
      <c r="H1333" t="s">
        <v>279</v>
      </c>
      <c r="I1333" t="s">
        <v>408</v>
      </c>
      <c r="J1333" t="s">
        <v>101</v>
      </c>
      <c r="K1333" t="s">
        <v>103</v>
      </c>
      <c r="M1333" t="b">
        <v>1</v>
      </c>
      <c r="N1333" t="s">
        <v>42</v>
      </c>
      <c r="O1333" t="s">
        <v>33</v>
      </c>
      <c r="Q1333">
        <v>125.08</v>
      </c>
      <c r="R1333">
        <v>2.9</v>
      </c>
      <c r="S1333" t="s">
        <v>106</v>
      </c>
      <c r="T1333">
        <v>50.6</v>
      </c>
      <c r="V1333">
        <v>100.2</v>
      </c>
      <c r="W1333">
        <v>77</v>
      </c>
      <c r="X1333">
        <v>9.4</v>
      </c>
      <c r="Y1333">
        <v>59.2</v>
      </c>
      <c r="Z1333">
        <v>1397715000</v>
      </c>
      <c r="AA1333">
        <v>35.861660000000001</v>
      </c>
      <c r="AB1333">
        <v>104.195397</v>
      </c>
    </row>
    <row r="1334" spans="1:28" hidden="1">
      <c r="A1334">
        <v>1312</v>
      </c>
      <c r="B1334">
        <v>2300</v>
      </c>
      <c r="C1334" t="s">
        <v>288</v>
      </c>
      <c r="D1334" t="s">
        <v>2772</v>
      </c>
      <c r="E1334">
        <v>58</v>
      </c>
      <c r="G1334" t="s">
        <v>172</v>
      </c>
      <c r="H1334" t="s">
        <v>172</v>
      </c>
      <c r="I1334" t="s">
        <v>418</v>
      </c>
      <c r="J1334" t="s">
        <v>288</v>
      </c>
      <c r="K1334" t="s">
        <v>103</v>
      </c>
      <c r="M1334" t="b">
        <v>1</v>
      </c>
      <c r="N1334" t="s">
        <v>42</v>
      </c>
      <c r="O1334" t="s">
        <v>33</v>
      </c>
    </row>
    <row r="1335" spans="1:28" hidden="1">
      <c r="A1335">
        <v>1312</v>
      </c>
      <c r="B1335">
        <v>2300</v>
      </c>
      <c r="C1335" t="s">
        <v>54</v>
      </c>
      <c r="D1335" t="s">
        <v>2773</v>
      </c>
      <c r="E1335">
        <v>70</v>
      </c>
      <c r="G1335" t="s">
        <v>2774</v>
      </c>
      <c r="H1335" t="s">
        <v>2775</v>
      </c>
      <c r="I1335" t="s">
        <v>1466</v>
      </c>
      <c r="J1335" t="s">
        <v>54</v>
      </c>
      <c r="K1335" t="s">
        <v>2774</v>
      </c>
      <c r="M1335" t="b">
        <v>1</v>
      </c>
      <c r="N1335" t="s">
        <v>42</v>
      </c>
      <c r="O1335" t="s">
        <v>33</v>
      </c>
    </row>
    <row r="1336" spans="1:28" hidden="1">
      <c r="A1336">
        <v>1312</v>
      </c>
      <c r="B1336">
        <v>2300</v>
      </c>
      <c r="C1336" t="s">
        <v>26</v>
      </c>
      <c r="D1336" t="s">
        <v>2776</v>
      </c>
      <c r="E1336">
        <v>20</v>
      </c>
      <c r="I1336" t="s">
        <v>755</v>
      </c>
      <c r="J1336" t="s">
        <v>26</v>
      </c>
      <c r="K1336" t="s">
        <v>148</v>
      </c>
      <c r="M1336" t="b">
        <v>0</v>
      </c>
      <c r="N1336" t="s">
        <v>42</v>
      </c>
      <c r="O1336" t="s">
        <v>33</v>
      </c>
    </row>
    <row r="1337" spans="1:28" hidden="1">
      <c r="A1337">
        <v>1312</v>
      </c>
      <c r="B1337">
        <v>2300</v>
      </c>
      <c r="C1337" t="s">
        <v>101</v>
      </c>
      <c r="D1337" t="s">
        <v>2777</v>
      </c>
      <c r="G1337" t="s">
        <v>103</v>
      </c>
      <c r="H1337" t="s">
        <v>521</v>
      </c>
      <c r="I1337" t="s">
        <v>861</v>
      </c>
      <c r="J1337" t="s">
        <v>101</v>
      </c>
      <c r="K1337" t="s">
        <v>103</v>
      </c>
      <c r="M1337" t="b">
        <v>1</v>
      </c>
      <c r="N1337" t="s">
        <v>32</v>
      </c>
      <c r="O1337" t="s">
        <v>88</v>
      </c>
      <c r="Q1337">
        <v>125.08</v>
      </c>
      <c r="R1337">
        <v>2.9</v>
      </c>
      <c r="S1337" t="s">
        <v>106</v>
      </c>
      <c r="T1337">
        <v>50.6</v>
      </c>
      <c r="V1337">
        <v>100.2</v>
      </c>
      <c r="W1337">
        <v>77</v>
      </c>
      <c r="X1337">
        <v>9.4</v>
      </c>
      <c r="Y1337">
        <v>59.2</v>
      </c>
      <c r="Z1337">
        <v>1397715000</v>
      </c>
      <c r="AA1337">
        <v>35.861660000000001</v>
      </c>
      <c r="AB1337">
        <v>104.195397</v>
      </c>
    </row>
    <row r="1338" spans="1:28" hidden="1">
      <c r="A1338">
        <v>1312</v>
      </c>
      <c r="B1338">
        <v>2300</v>
      </c>
      <c r="C1338" t="s">
        <v>54</v>
      </c>
      <c r="D1338" t="s">
        <v>2778</v>
      </c>
      <c r="E1338">
        <v>45</v>
      </c>
      <c r="G1338" t="s">
        <v>103</v>
      </c>
      <c r="H1338" t="s">
        <v>176</v>
      </c>
      <c r="I1338" t="s">
        <v>1466</v>
      </c>
      <c r="J1338" t="s">
        <v>54</v>
      </c>
      <c r="K1338" t="s">
        <v>103</v>
      </c>
      <c r="M1338" t="b">
        <v>1</v>
      </c>
      <c r="N1338" t="s">
        <v>32</v>
      </c>
      <c r="O1338" t="s">
        <v>33</v>
      </c>
      <c r="Q1338">
        <v>125.08</v>
      </c>
      <c r="R1338">
        <v>2.9</v>
      </c>
      <c r="S1338" t="s">
        <v>106</v>
      </c>
      <c r="T1338">
        <v>50.6</v>
      </c>
      <c r="V1338">
        <v>100.2</v>
      </c>
      <c r="W1338">
        <v>77</v>
      </c>
      <c r="X1338">
        <v>9.4</v>
      </c>
      <c r="Y1338">
        <v>59.2</v>
      </c>
      <c r="Z1338">
        <v>1397715000</v>
      </c>
      <c r="AA1338">
        <v>35.861660000000001</v>
      </c>
      <c r="AB1338">
        <v>104.195397</v>
      </c>
    </row>
    <row r="1339" spans="1:28" hidden="1">
      <c r="A1339">
        <v>1312</v>
      </c>
      <c r="B1339">
        <v>2300</v>
      </c>
      <c r="C1339" t="s">
        <v>179</v>
      </c>
      <c r="D1339" t="s">
        <v>2779</v>
      </c>
      <c r="E1339">
        <v>71</v>
      </c>
      <c r="G1339" t="s">
        <v>512</v>
      </c>
      <c r="H1339" t="s">
        <v>590</v>
      </c>
      <c r="I1339" t="s">
        <v>182</v>
      </c>
      <c r="J1339" t="s">
        <v>179</v>
      </c>
      <c r="K1339" t="s">
        <v>512</v>
      </c>
      <c r="M1339" t="b">
        <v>0</v>
      </c>
      <c r="N1339" t="s">
        <v>32</v>
      </c>
      <c r="O1339" t="s">
        <v>33</v>
      </c>
      <c r="Q1339">
        <v>121.46</v>
      </c>
      <c r="R1339">
        <v>0.7</v>
      </c>
      <c r="S1339" t="s">
        <v>592</v>
      </c>
      <c r="T1339">
        <v>45.1</v>
      </c>
      <c r="V1339">
        <v>105.3</v>
      </c>
      <c r="W1339">
        <v>76</v>
      </c>
      <c r="X1339">
        <v>12</v>
      </c>
      <c r="Y1339">
        <v>38.700000000000003</v>
      </c>
      <c r="Z1339">
        <v>32447385</v>
      </c>
      <c r="AA1339">
        <v>4.2104840000000001</v>
      </c>
      <c r="AB1339">
        <v>101.97576599999999</v>
      </c>
    </row>
    <row r="1340" spans="1:28" hidden="1">
      <c r="A1340">
        <v>1312</v>
      </c>
      <c r="B1340">
        <v>2300</v>
      </c>
      <c r="C1340" t="s">
        <v>101</v>
      </c>
      <c r="D1340" t="s">
        <v>2780</v>
      </c>
      <c r="E1340">
        <v>88</v>
      </c>
      <c r="G1340" t="s">
        <v>77</v>
      </c>
      <c r="H1340" t="s">
        <v>78</v>
      </c>
      <c r="I1340" t="s">
        <v>1260</v>
      </c>
      <c r="J1340" t="s">
        <v>101</v>
      </c>
      <c r="K1340" t="s">
        <v>77</v>
      </c>
      <c r="M1340" t="b">
        <v>0</v>
      </c>
      <c r="N1340" t="s">
        <v>42</v>
      </c>
      <c r="O1340" t="s">
        <v>33</v>
      </c>
      <c r="Q1340">
        <v>180.44</v>
      </c>
      <c r="R1340">
        <v>7.7</v>
      </c>
      <c r="S1340" t="s">
        <v>81</v>
      </c>
      <c r="T1340">
        <v>28.1</v>
      </c>
      <c r="V1340">
        <v>113</v>
      </c>
      <c r="W1340">
        <v>69.400000000000006</v>
      </c>
      <c r="X1340">
        <v>11.2</v>
      </c>
      <c r="Y1340">
        <v>49.7</v>
      </c>
      <c r="Z1340">
        <v>1366417754</v>
      </c>
      <c r="AA1340">
        <v>20.593684</v>
      </c>
      <c r="AB1340">
        <v>78.962879999999998</v>
      </c>
    </row>
    <row r="1341" spans="1:28" hidden="1">
      <c r="A1341">
        <v>1312</v>
      </c>
      <c r="B1341">
        <v>2300</v>
      </c>
      <c r="C1341" t="s">
        <v>101</v>
      </c>
      <c r="D1341" t="s">
        <v>2781</v>
      </c>
      <c r="E1341">
        <v>82</v>
      </c>
      <c r="G1341" t="s">
        <v>38</v>
      </c>
      <c r="H1341" t="s">
        <v>2782</v>
      </c>
      <c r="I1341" t="s">
        <v>2783</v>
      </c>
      <c r="J1341" t="s">
        <v>101</v>
      </c>
      <c r="K1341" t="s">
        <v>38</v>
      </c>
      <c r="M1341" t="b">
        <v>1</v>
      </c>
      <c r="N1341" t="s">
        <v>419</v>
      </c>
      <c r="O1341" t="s">
        <v>33</v>
      </c>
      <c r="P1341" t="s">
        <v>415</v>
      </c>
      <c r="Q1341">
        <v>117.24</v>
      </c>
      <c r="R1341">
        <v>7.5</v>
      </c>
      <c r="S1341" t="s">
        <v>44</v>
      </c>
      <c r="T1341">
        <v>88.2</v>
      </c>
      <c r="V1341">
        <v>101.8</v>
      </c>
      <c r="W1341">
        <v>78.5</v>
      </c>
      <c r="X1341">
        <v>9.6</v>
      </c>
      <c r="Y1341">
        <v>36.6</v>
      </c>
      <c r="Z1341">
        <v>328239523</v>
      </c>
      <c r="AA1341">
        <v>37.090240000000001</v>
      </c>
      <c r="AB1341">
        <v>-95.712890999999999</v>
      </c>
    </row>
    <row r="1342" spans="1:28" hidden="1">
      <c r="A1342">
        <v>1312</v>
      </c>
      <c r="B1342">
        <v>2300</v>
      </c>
      <c r="C1342" t="s">
        <v>26</v>
      </c>
      <c r="D1342" t="s">
        <v>2784</v>
      </c>
      <c r="E1342">
        <v>65</v>
      </c>
      <c r="G1342" t="s">
        <v>103</v>
      </c>
      <c r="H1342" t="s">
        <v>2256</v>
      </c>
      <c r="I1342" t="s">
        <v>150</v>
      </c>
      <c r="J1342" t="s">
        <v>26</v>
      </c>
      <c r="K1342" t="s">
        <v>103</v>
      </c>
      <c r="M1342" t="b">
        <v>1</v>
      </c>
      <c r="N1342" t="s">
        <v>42</v>
      </c>
      <c r="O1342" t="s">
        <v>33</v>
      </c>
      <c r="Q1342">
        <v>125.08</v>
      </c>
      <c r="R1342">
        <v>2.9</v>
      </c>
      <c r="S1342" t="s">
        <v>106</v>
      </c>
      <c r="T1342">
        <v>50.6</v>
      </c>
      <c r="V1342">
        <v>100.2</v>
      </c>
      <c r="W1342">
        <v>77</v>
      </c>
      <c r="X1342">
        <v>9.4</v>
      </c>
      <c r="Y1342">
        <v>59.2</v>
      </c>
      <c r="Z1342">
        <v>1397715000</v>
      </c>
      <c r="AA1342">
        <v>35.861660000000001</v>
      </c>
      <c r="AB1342">
        <v>104.195397</v>
      </c>
    </row>
    <row r="1343" spans="1:28" hidden="1">
      <c r="A1343">
        <v>1312</v>
      </c>
      <c r="B1343">
        <v>2300</v>
      </c>
      <c r="C1343" t="s">
        <v>101</v>
      </c>
      <c r="D1343" t="s">
        <v>2785</v>
      </c>
      <c r="E1343">
        <v>55</v>
      </c>
      <c r="G1343" t="s">
        <v>263</v>
      </c>
      <c r="H1343" t="s">
        <v>274</v>
      </c>
      <c r="I1343" t="s">
        <v>2786</v>
      </c>
      <c r="J1343" t="s">
        <v>101</v>
      </c>
      <c r="K1343" t="s">
        <v>263</v>
      </c>
      <c r="M1343" t="b">
        <v>1</v>
      </c>
      <c r="N1343" t="s">
        <v>32</v>
      </c>
      <c r="O1343" t="s">
        <v>33</v>
      </c>
      <c r="Q1343">
        <v>180.75</v>
      </c>
      <c r="R1343">
        <v>4.5</v>
      </c>
      <c r="S1343" t="s">
        <v>276</v>
      </c>
      <c r="T1343">
        <v>81.900000000000006</v>
      </c>
      <c r="V1343">
        <v>102.6</v>
      </c>
      <c r="W1343">
        <v>72.7</v>
      </c>
      <c r="X1343">
        <v>11.4</v>
      </c>
      <c r="Y1343">
        <v>46.2</v>
      </c>
      <c r="Z1343">
        <v>144373535</v>
      </c>
      <c r="AA1343">
        <v>61.524009999999997</v>
      </c>
      <c r="AB1343">
        <v>105.31875599999999</v>
      </c>
    </row>
    <row r="1344" spans="1:28" hidden="1">
      <c r="A1344">
        <v>1312</v>
      </c>
      <c r="B1344">
        <v>2300</v>
      </c>
      <c r="C1344" t="s">
        <v>101</v>
      </c>
      <c r="D1344" t="s">
        <v>2787</v>
      </c>
      <c r="E1344">
        <v>99</v>
      </c>
      <c r="G1344" t="s">
        <v>38</v>
      </c>
      <c r="H1344" t="s">
        <v>2788</v>
      </c>
      <c r="I1344" t="s">
        <v>2789</v>
      </c>
      <c r="J1344" t="s">
        <v>101</v>
      </c>
      <c r="K1344" t="s">
        <v>38</v>
      </c>
      <c r="M1344" t="b">
        <v>1</v>
      </c>
      <c r="N1344" t="s">
        <v>419</v>
      </c>
      <c r="O1344" t="s">
        <v>33</v>
      </c>
      <c r="Q1344">
        <v>117.24</v>
      </c>
      <c r="R1344">
        <v>7.5</v>
      </c>
      <c r="S1344" t="s">
        <v>44</v>
      </c>
      <c r="T1344">
        <v>88.2</v>
      </c>
      <c r="V1344">
        <v>101.8</v>
      </c>
      <c r="W1344">
        <v>78.5</v>
      </c>
      <c r="X1344">
        <v>9.6</v>
      </c>
      <c r="Y1344">
        <v>36.6</v>
      </c>
      <c r="Z1344">
        <v>328239523</v>
      </c>
      <c r="AA1344">
        <v>37.090240000000001</v>
      </c>
      <c r="AB1344">
        <v>-95.712890999999999</v>
      </c>
    </row>
    <row r="1345" spans="1:28" hidden="1">
      <c r="A1345">
        <v>1312</v>
      </c>
      <c r="B1345">
        <v>2300</v>
      </c>
      <c r="C1345" t="s">
        <v>26</v>
      </c>
      <c r="D1345" t="s">
        <v>2790</v>
      </c>
      <c r="E1345">
        <v>75</v>
      </c>
      <c r="G1345" t="s">
        <v>38</v>
      </c>
      <c r="H1345" t="s">
        <v>65</v>
      </c>
      <c r="I1345" t="s">
        <v>2374</v>
      </c>
      <c r="J1345" t="s">
        <v>26</v>
      </c>
      <c r="K1345" t="s">
        <v>339</v>
      </c>
      <c r="M1345" t="b">
        <v>1</v>
      </c>
      <c r="N1345" t="s">
        <v>32</v>
      </c>
      <c r="O1345" t="s">
        <v>33</v>
      </c>
      <c r="Q1345">
        <v>117.24</v>
      </c>
      <c r="R1345">
        <v>7.5</v>
      </c>
      <c r="S1345" t="s">
        <v>44</v>
      </c>
      <c r="T1345">
        <v>88.2</v>
      </c>
      <c r="V1345">
        <v>101.8</v>
      </c>
      <c r="W1345">
        <v>78.5</v>
      </c>
      <c r="X1345">
        <v>9.6</v>
      </c>
      <c r="Y1345">
        <v>36.6</v>
      </c>
      <c r="Z1345">
        <v>328239523</v>
      </c>
      <c r="AA1345">
        <v>37.090240000000001</v>
      </c>
      <c r="AB1345">
        <v>-95.712890999999999</v>
      </c>
    </row>
    <row r="1346" spans="1:28" hidden="1">
      <c r="A1346">
        <v>1312</v>
      </c>
      <c r="B1346">
        <v>2300</v>
      </c>
      <c r="C1346" t="s">
        <v>54</v>
      </c>
      <c r="D1346" t="s">
        <v>2791</v>
      </c>
      <c r="E1346">
        <v>69</v>
      </c>
      <c r="G1346" t="s">
        <v>384</v>
      </c>
      <c r="H1346" t="s">
        <v>2792</v>
      </c>
      <c r="I1346" t="s">
        <v>231</v>
      </c>
      <c r="J1346" t="s">
        <v>54</v>
      </c>
      <c r="K1346" t="s">
        <v>384</v>
      </c>
      <c r="M1346" t="b">
        <v>1</v>
      </c>
      <c r="N1346" t="s">
        <v>42</v>
      </c>
      <c r="O1346" t="s">
        <v>33</v>
      </c>
      <c r="Q1346">
        <v>167.4</v>
      </c>
      <c r="R1346">
        <v>3.7</v>
      </c>
      <c r="S1346" t="s">
        <v>563</v>
      </c>
      <c r="T1346">
        <v>51.3</v>
      </c>
      <c r="V1346">
        <v>115.4</v>
      </c>
      <c r="W1346">
        <v>75.7</v>
      </c>
      <c r="X1346">
        <v>14.2</v>
      </c>
      <c r="Y1346">
        <v>65.099999999999994</v>
      </c>
      <c r="Z1346">
        <v>212559417</v>
      </c>
      <c r="AA1346">
        <v>-14.235004</v>
      </c>
      <c r="AB1346">
        <v>-51.925280000000001</v>
      </c>
    </row>
    <row r="1347" spans="1:28" hidden="1">
      <c r="A1347">
        <v>1312</v>
      </c>
      <c r="B1347">
        <v>2300</v>
      </c>
      <c r="C1347" t="s">
        <v>101</v>
      </c>
      <c r="D1347" t="s">
        <v>2793</v>
      </c>
      <c r="G1347" t="s">
        <v>156</v>
      </c>
      <c r="H1347" t="s">
        <v>2539</v>
      </c>
      <c r="I1347" t="s">
        <v>2453</v>
      </c>
      <c r="J1347" t="s">
        <v>101</v>
      </c>
      <c r="K1347" t="s">
        <v>164</v>
      </c>
      <c r="M1347" t="b">
        <v>0</v>
      </c>
      <c r="N1347" t="s">
        <v>212</v>
      </c>
      <c r="O1347" t="s">
        <v>33</v>
      </c>
      <c r="Q1347">
        <v>99.55</v>
      </c>
      <c r="R1347">
        <v>0.4</v>
      </c>
      <c r="S1347" t="s">
        <v>159</v>
      </c>
      <c r="T1347">
        <v>59.6</v>
      </c>
      <c r="V1347">
        <v>105.2</v>
      </c>
      <c r="W1347">
        <v>83.6</v>
      </c>
      <c r="X1347">
        <v>10.1</v>
      </c>
      <c r="Y1347">
        <v>28.8</v>
      </c>
      <c r="Z1347">
        <v>8574832</v>
      </c>
      <c r="AA1347">
        <v>46.818187999999999</v>
      </c>
      <c r="AB1347">
        <v>8.2275120000000008</v>
      </c>
    </row>
    <row r="1348" spans="1:28" hidden="1">
      <c r="A1348">
        <v>1312</v>
      </c>
      <c r="B1348">
        <v>2300</v>
      </c>
      <c r="C1348" t="s">
        <v>101</v>
      </c>
      <c r="D1348" t="s">
        <v>2794</v>
      </c>
      <c r="G1348" t="s">
        <v>156</v>
      </c>
      <c r="H1348" t="s">
        <v>2539</v>
      </c>
      <c r="I1348" t="s">
        <v>2453</v>
      </c>
      <c r="J1348" t="s">
        <v>101</v>
      </c>
      <c r="K1348" t="s">
        <v>164</v>
      </c>
      <c r="M1348" t="b">
        <v>0</v>
      </c>
      <c r="N1348" t="s">
        <v>212</v>
      </c>
      <c r="O1348" t="s">
        <v>33</v>
      </c>
      <c r="Q1348">
        <v>99.55</v>
      </c>
      <c r="R1348">
        <v>0.4</v>
      </c>
      <c r="S1348" t="s">
        <v>159</v>
      </c>
      <c r="T1348">
        <v>59.6</v>
      </c>
      <c r="V1348">
        <v>105.2</v>
      </c>
      <c r="W1348">
        <v>83.6</v>
      </c>
      <c r="X1348">
        <v>10.1</v>
      </c>
      <c r="Y1348">
        <v>28.8</v>
      </c>
      <c r="Z1348">
        <v>8574832</v>
      </c>
      <c r="AA1348">
        <v>46.818187999999999</v>
      </c>
      <c r="AB1348">
        <v>8.2275120000000008</v>
      </c>
    </row>
    <row r="1349" spans="1:28" hidden="1">
      <c r="A1349">
        <v>1312</v>
      </c>
      <c r="B1349">
        <v>2300</v>
      </c>
      <c r="C1349" t="s">
        <v>26</v>
      </c>
      <c r="D1349" t="s">
        <v>2795</v>
      </c>
      <c r="E1349">
        <v>69</v>
      </c>
      <c r="G1349" t="s">
        <v>164</v>
      </c>
      <c r="H1349" t="s">
        <v>538</v>
      </c>
      <c r="I1349" t="s">
        <v>153</v>
      </c>
      <c r="J1349" t="s">
        <v>26</v>
      </c>
      <c r="K1349" t="s">
        <v>164</v>
      </c>
      <c r="M1349" t="b">
        <v>0</v>
      </c>
      <c r="N1349" t="s">
        <v>32</v>
      </c>
      <c r="O1349" t="s">
        <v>33</v>
      </c>
      <c r="Q1349">
        <v>110.62</v>
      </c>
      <c r="R1349">
        <v>0.6</v>
      </c>
      <c r="S1349" t="s">
        <v>539</v>
      </c>
      <c r="T1349">
        <v>61.9</v>
      </c>
      <c r="V1349">
        <v>101.9</v>
      </c>
      <c r="W1349">
        <v>82.9</v>
      </c>
      <c r="X1349">
        <v>24.3</v>
      </c>
      <c r="Y1349">
        <v>59.1</v>
      </c>
      <c r="Z1349">
        <v>60297396</v>
      </c>
      <c r="AA1349">
        <v>41.871940000000002</v>
      </c>
      <c r="AB1349">
        <v>12.56738</v>
      </c>
    </row>
    <row r="1350" spans="1:28" hidden="1">
      <c r="A1350">
        <v>1312</v>
      </c>
      <c r="B1350">
        <v>2300</v>
      </c>
      <c r="C1350" t="s">
        <v>26</v>
      </c>
      <c r="D1350" t="s">
        <v>2796</v>
      </c>
      <c r="E1350">
        <v>77</v>
      </c>
      <c r="G1350" t="s">
        <v>164</v>
      </c>
      <c r="H1350" t="s">
        <v>538</v>
      </c>
      <c r="I1350" t="s">
        <v>153</v>
      </c>
      <c r="J1350" t="s">
        <v>26</v>
      </c>
      <c r="K1350" t="s">
        <v>164</v>
      </c>
      <c r="M1350" t="b">
        <v>0</v>
      </c>
      <c r="N1350" t="s">
        <v>32</v>
      </c>
      <c r="O1350" t="s">
        <v>88</v>
      </c>
      <c r="Q1350">
        <v>110.62</v>
      </c>
      <c r="R1350">
        <v>0.6</v>
      </c>
      <c r="S1350" t="s">
        <v>539</v>
      </c>
      <c r="T1350">
        <v>61.9</v>
      </c>
      <c r="V1350">
        <v>101.9</v>
      </c>
      <c r="W1350">
        <v>82.9</v>
      </c>
      <c r="X1350">
        <v>24.3</v>
      </c>
      <c r="Y1350">
        <v>59.1</v>
      </c>
      <c r="Z1350">
        <v>60297396</v>
      </c>
      <c r="AA1350">
        <v>41.871940000000002</v>
      </c>
      <c r="AB1350">
        <v>12.56738</v>
      </c>
    </row>
    <row r="1351" spans="1:28" hidden="1">
      <c r="A1351">
        <v>1312</v>
      </c>
      <c r="B1351">
        <v>2300</v>
      </c>
      <c r="C1351" t="s">
        <v>75</v>
      </c>
      <c r="D1351" t="s">
        <v>2797</v>
      </c>
      <c r="E1351">
        <v>56</v>
      </c>
      <c r="G1351" t="s">
        <v>1267</v>
      </c>
      <c r="H1351" t="s">
        <v>1268</v>
      </c>
      <c r="I1351" t="s">
        <v>75</v>
      </c>
      <c r="J1351" t="s">
        <v>75</v>
      </c>
      <c r="K1351" t="s">
        <v>1267</v>
      </c>
      <c r="M1351" t="b">
        <v>0</v>
      </c>
      <c r="N1351" t="s">
        <v>32</v>
      </c>
      <c r="O1351" t="s">
        <v>88</v>
      </c>
      <c r="Q1351">
        <v>234.44</v>
      </c>
      <c r="R1351">
        <v>15.2</v>
      </c>
      <c r="S1351" t="s">
        <v>1270</v>
      </c>
      <c r="T1351">
        <v>23.9</v>
      </c>
      <c r="V1351">
        <v>93.2</v>
      </c>
      <c r="W1351">
        <v>77.400000000000006</v>
      </c>
      <c r="X1351">
        <v>17.899999999999999</v>
      </c>
      <c r="Y1351">
        <v>42.3</v>
      </c>
      <c r="Z1351">
        <v>83429615</v>
      </c>
      <c r="AA1351">
        <v>38.963745000000003</v>
      </c>
      <c r="AB1351">
        <v>35.243321999999999</v>
      </c>
    </row>
    <row r="1352" spans="1:28" hidden="1">
      <c r="A1352">
        <v>1312</v>
      </c>
      <c r="B1352">
        <v>2300</v>
      </c>
      <c r="C1352" t="s">
        <v>101</v>
      </c>
      <c r="D1352" t="s">
        <v>2798</v>
      </c>
      <c r="E1352">
        <v>72</v>
      </c>
      <c r="G1352" t="s">
        <v>38</v>
      </c>
      <c r="H1352" t="s">
        <v>1491</v>
      </c>
      <c r="I1352" t="s">
        <v>1875</v>
      </c>
      <c r="J1352" t="s">
        <v>101</v>
      </c>
      <c r="K1352" t="s">
        <v>38</v>
      </c>
      <c r="M1352" t="b">
        <v>0</v>
      </c>
      <c r="N1352" t="s">
        <v>212</v>
      </c>
      <c r="O1352" t="s">
        <v>33</v>
      </c>
      <c r="Q1352">
        <v>117.24</v>
      </c>
      <c r="R1352">
        <v>7.5</v>
      </c>
      <c r="S1352" t="s">
        <v>44</v>
      </c>
      <c r="T1352">
        <v>88.2</v>
      </c>
      <c r="V1352">
        <v>101.8</v>
      </c>
      <c r="W1352">
        <v>78.5</v>
      </c>
      <c r="X1352">
        <v>9.6</v>
      </c>
      <c r="Y1352">
        <v>36.6</v>
      </c>
      <c r="Z1352">
        <v>328239523</v>
      </c>
      <c r="AA1352">
        <v>37.090240000000001</v>
      </c>
      <c r="AB1352">
        <v>-95.712890999999999</v>
      </c>
    </row>
    <row r="1353" spans="1:28" hidden="1">
      <c r="A1353">
        <v>1312</v>
      </c>
      <c r="B1353">
        <v>2300</v>
      </c>
      <c r="C1353" t="s">
        <v>54</v>
      </c>
      <c r="D1353" t="s">
        <v>2799</v>
      </c>
      <c r="E1353">
        <v>75</v>
      </c>
      <c r="G1353" t="s">
        <v>156</v>
      </c>
      <c r="H1353" t="s">
        <v>2800</v>
      </c>
      <c r="I1353" t="s">
        <v>231</v>
      </c>
      <c r="J1353" t="s">
        <v>54</v>
      </c>
      <c r="K1353" t="s">
        <v>156</v>
      </c>
      <c r="M1353" t="b">
        <v>0</v>
      </c>
      <c r="N1353" t="s">
        <v>419</v>
      </c>
      <c r="O1353" t="s">
        <v>33</v>
      </c>
      <c r="Q1353">
        <v>99.55</v>
      </c>
      <c r="R1353">
        <v>0.4</v>
      </c>
      <c r="S1353" t="s">
        <v>159</v>
      </c>
      <c r="T1353">
        <v>59.6</v>
      </c>
      <c r="V1353">
        <v>105.2</v>
      </c>
      <c r="W1353">
        <v>83.6</v>
      </c>
      <c r="X1353">
        <v>10.1</v>
      </c>
      <c r="Y1353">
        <v>28.8</v>
      </c>
      <c r="Z1353">
        <v>8574832</v>
      </c>
      <c r="AA1353">
        <v>46.818187999999999</v>
      </c>
      <c r="AB1353">
        <v>8.2275120000000008</v>
      </c>
    </row>
    <row r="1354" spans="1:28" hidden="1">
      <c r="A1354">
        <v>1312</v>
      </c>
      <c r="B1354">
        <v>2300</v>
      </c>
      <c r="C1354" t="s">
        <v>288</v>
      </c>
      <c r="D1354" t="s">
        <v>2801</v>
      </c>
      <c r="E1354">
        <v>78</v>
      </c>
      <c r="G1354" t="s">
        <v>156</v>
      </c>
      <c r="H1354" t="s">
        <v>2539</v>
      </c>
      <c r="I1354" t="s">
        <v>440</v>
      </c>
      <c r="J1354" t="s">
        <v>288</v>
      </c>
      <c r="K1354" t="s">
        <v>156</v>
      </c>
      <c r="M1354" t="b">
        <v>0</v>
      </c>
      <c r="N1354" t="s">
        <v>42</v>
      </c>
      <c r="O1354" t="s">
        <v>33</v>
      </c>
      <c r="Q1354">
        <v>99.55</v>
      </c>
      <c r="R1354">
        <v>0.4</v>
      </c>
      <c r="S1354" t="s">
        <v>159</v>
      </c>
      <c r="T1354">
        <v>59.6</v>
      </c>
      <c r="V1354">
        <v>105.2</v>
      </c>
      <c r="W1354">
        <v>83.6</v>
      </c>
      <c r="X1354">
        <v>10.1</v>
      </c>
      <c r="Y1354">
        <v>28.8</v>
      </c>
      <c r="Z1354">
        <v>8574832</v>
      </c>
      <c r="AA1354">
        <v>46.818187999999999</v>
      </c>
      <c r="AB1354">
        <v>8.2275120000000008</v>
      </c>
    </row>
    <row r="1355" spans="1:28" hidden="1">
      <c r="A1355">
        <v>1312</v>
      </c>
      <c r="B1355">
        <v>2300</v>
      </c>
      <c r="C1355" t="s">
        <v>221</v>
      </c>
      <c r="D1355" t="s">
        <v>2802</v>
      </c>
      <c r="E1355">
        <v>47</v>
      </c>
      <c r="G1355" t="s">
        <v>38</v>
      </c>
      <c r="H1355" t="s">
        <v>1491</v>
      </c>
      <c r="I1355" t="s">
        <v>2803</v>
      </c>
      <c r="J1355" t="s">
        <v>221</v>
      </c>
      <c r="K1355" t="s">
        <v>38</v>
      </c>
      <c r="M1355" t="b">
        <v>0</v>
      </c>
      <c r="N1355" t="s">
        <v>192</v>
      </c>
      <c r="O1355" t="s">
        <v>33</v>
      </c>
      <c r="Q1355">
        <v>117.24</v>
      </c>
      <c r="R1355">
        <v>7.5</v>
      </c>
      <c r="S1355" t="s">
        <v>44</v>
      </c>
      <c r="T1355">
        <v>88.2</v>
      </c>
      <c r="V1355">
        <v>101.8</v>
      </c>
      <c r="W1355">
        <v>78.5</v>
      </c>
      <c r="X1355">
        <v>9.6</v>
      </c>
      <c r="Y1355">
        <v>36.6</v>
      </c>
      <c r="Z1355">
        <v>328239523</v>
      </c>
      <c r="AA1355">
        <v>37.090240000000001</v>
      </c>
      <c r="AB1355">
        <v>-95.712890999999999</v>
      </c>
    </row>
    <row r="1356" spans="1:28" hidden="1">
      <c r="A1356">
        <v>1312</v>
      </c>
      <c r="B1356">
        <v>2300</v>
      </c>
      <c r="C1356" t="s">
        <v>26</v>
      </c>
      <c r="D1356" t="s">
        <v>2804</v>
      </c>
      <c r="E1356">
        <v>89</v>
      </c>
      <c r="G1356" t="s">
        <v>172</v>
      </c>
      <c r="H1356" t="s">
        <v>172</v>
      </c>
      <c r="I1356" t="s">
        <v>200</v>
      </c>
      <c r="J1356" t="s">
        <v>26</v>
      </c>
      <c r="K1356" t="s">
        <v>172</v>
      </c>
      <c r="M1356" t="b">
        <v>1</v>
      </c>
      <c r="N1356" t="s">
        <v>42</v>
      </c>
      <c r="O1356" t="s">
        <v>33</v>
      </c>
    </row>
    <row r="1357" spans="1:28" hidden="1">
      <c r="A1357">
        <v>1312</v>
      </c>
      <c r="B1357">
        <v>2300</v>
      </c>
      <c r="C1357" t="s">
        <v>45</v>
      </c>
      <c r="D1357" t="s">
        <v>2805</v>
      </c>
      <c r="E1357">
        <v>69</v>
      </c>
      <c r="G1357" t="s">
        <v>103</v>
      </c>
      <c r="H1357" t="s">
        <v>837</v>
      </c>
      <c r="I1357" t="s">
        <v>2806</v>
      </c>
      <c r="J1357" t="s">
        <v>45</v>
      </c>
      <c r="K1357" t="s">
        <v>103</v>
      </c>
      <c r="M1357" t="b">
        <v>1</v>
      </c>
      <c r="N1357" t="s">
        <v>32</v>
      </c>
      <c r="O1357" t="s">
        <v>33</v>
      </c>
      <c r="Q1357">
        <v>125.08</v>
      </c>
      <c r="R1357">
        <v>2.9</v>
      </c>
      <c r="S1357" t="s">
        <v>106</v>
      </c>
      <c r="T1357">
        <v>50.6</v>
      </c>
      <c r="V1357">
        <v>100.2</v>
      </c>
      <c r="W1357">
        <v>77</v>
      </c>
      <c r="X1357">
        <v>9.4</v>
      </c>
      <c r="Y1357">
        <v>59.2</v>
      </c>
      <c r="Z1357">
        <v>1397715000</v>
      </c>
      <c r="AA1357">
        <v>35.861660000000001</v>
      </c>
      <c r="AB1357">
        <v>104.195397</v>
      </c>
    </row>
    <row r="1358" spans="1:28" hidden="1">
      <c r="A1358">
        <v>1312</v>
      </c>
      <c r="B1358">
        <v>2300</v>
      </c>
      <c r="C1358" t="s">
        <v>54</v>
      </c>
      <c r="D1358" t="s">
        <v>2807</v>
      </c>
      <c r="E1358">
        <v>70</v>
      </c>
      <c r="G1358" t="s">
        <v>810</v>
      </c>
      <c r="H1358" t="s">
        <v>811</v>
      </c>
      <c r="I1358" t="s">
        <v>1152</v>
      </c>
      <c r="J1358" t="s">
        <v>54</v>
      </c>
      <c r="K1358" t="s">
        <v>810</v>
      </c>
      <c r="M1358" t="b">
        <v>0</v>
      </c>
      <c r="N1358" t="s">
        <v>42</v>
      </c>
      <c r="O1358" t="s">
        <v>33</v>
      </c>
    </row>
    <row r="1359" spans="1:28">
      <c r="A1359">
        <v>1312</v>
      </c>
      <c r="B1359">
        <v>2300</v>
      </c>
      <c r="C1359" t="s">
        <v>45</v>
      </c>
      <c r="D1359" t="s">
        <v>2808</v>
      </c>
      <c r="E1359">
        <v>62</v>
      </c>
      <c r="F1359" t="str">
        <f>IF(E1359&gt;=90,"90-100",IF(E1359&gt;=80,"80-90",IF(E1359&gt;=70,"70-80",IF(E1359&gt;=60,"60-70",IF(E1359&gt;=50,"50-60",IF(E1359&gt;=40,"40-50",IF(E1359&gt;=30,"30-40","20-30")))))))</f>
        <v>60-70</v>
      </c>
      <c r="G1359" t="s">
        <v>38</v>
      </c>
      <c r="H1359" t="s">
        <v>2809</v>
      </c>
      <c r="I1359" t="s">
        <v>2810</v>
      </c>
      <c r="J1359" t="s">
        <v>45</v>
      </c>
      <c r="K1359" t="s">
        <v>38</v>
      </c>
      <c r="L1359" t="s">
        <v>2811</v>
      </c>
      <c r="M1359" t="b">
        <v>1</v>
      </c>
      <c r="N1359" t="s">
        <v>32</v>
      </c>
      <c r="O1359" t="s">
        <v>4866</v>
      </c>
      <c r="P1359" t="s">
        <v>43</v>
      </c>
      <c r="Q1359">
        <v>117.24</v>
      </c>
      <c r="R1359">
        <v>7.5</v>
      </c>
      <c r="S1359" t="s">
        <v>44</v>
      </c>
      <c r="T1359">
        <v>88.2</v>
      </c>
      <c r="U1359" t="str">
        <f>IF(T1359&gt;=100,"above 100",IF(T1359&gt;=80,"80-100",IF(T1359&gt;=60,"60-80",IF(T1359&gt;=40,"40-60",IF(T1359&gt;=20,"20-60","0-20")))))</f>
        <v>80-100</v>
      </c>
      <c r="V1359">
        <v>101.8</v>
      </c>
      <c r="W1359">
        <v>78.5</v>
      </c>
      <c r="X1359">
        <v>9.6</v>
      </c>
      <c r="Y1359">
        <v>36.6</v>
      </c>
      <c r="Z1359">
        <v>328239523</v>
      </c>
      <c r="AA1359">
        <v>37.090240000000001</v>
      </c>
      <c r="AB1359">
        <v>-95.712890999999999</v>
      </c>
    </row>
    <row r="1360" spans="1:28" hidden="1">
      <c r="A1360">
        <v>1312</v>
      </c>
      <c r="B1360">
        <v>2300</v>
      </c>
      <c r="C1360" t="s">
        <v>54</v>
      </c>
      <c r="D1360" t="s">
        <v>2812</v>
      </c>
      <c r="E1360">
        <v>56</v>
      </c>
      <c r="G1360" t="s">
        <v>203</v>
      </c>
      <c r="H1360" t="s">
        <v>204</v>
      </c>
      <c r="I1360" t="s">
        <v>900</v>
      </c>
      <c r="J1360" t="s">
        <v>54</v>
      </c>
      <c r="K1360" t="s">
        <v>156</v>
      </c>
      <c r="M1360" t="b">
        <v>0</v>
      </c>
      <c r="N1360" t="s">
        <v>32</v>
      </c>
      <c r="O1360" t="s">
        <v>33</v>
      </c>
      <c r="Q1360">
        <v>119.62</v>
      </c>
      <c r="R1360">
        <v>1.7</v>
      </c>
      <c r="S1360" t="s">
        <v>206</v>
      </c>
      <c r="T1360">
        <v>60</v>
      </c>
      <c r="V1360">
        <v>101.2</v>
      </c>
      <c r="W1360">
        <v>81.3</v>
      </c>
      <c r="X1360">
        <v>25.5</v>
      </c>
      <c r="Y1360">
        <v>30.6</v>
      </c>
      <c r="Z1360">
        <v>66834405</v>
      </c>
      <c r="AA1360">
        <v>55.378050999999999</v>
      </c>
      <c r="AB1360">
        <v>-3.4359730000000002</v>
      </c>
    </row>
    <row r="1361" spans="1:28" hidden="1">
      <c r="A1361">
        <v>1312</v>
      </c>
      <c r="B1361">
        <v>2300</v>
      </c>
      <c r="C1361" t="s">
        <v>221</v>
      </c>
      <c r="D1361" t="s">
        <v>2813</v>
      </c>
      <c r="E1361">
        <v>77</v>
      </c>
      <c r="G1361" t="s">
        <v>238</v>
      </c>
      <c r="H1361" t="s">
        <v>492</v>
      </c>
      <c r="I1361" t="s">
        <v>223</v>
      </c>
      <c r="J1361" t="s">
        <v>221</v>
      </c>
      <c r="K1361" t="s">
        <v>238</v>
      </c>
      <c r="M1361" t="b">
        <v>1</v>
      </c>
      <c r="N1361" t="s">
        <v>32</v>
      </c>
      <c r="O1361" t="s">
        <v>33</v>
      </c>
      <c r="Q1361">
        <v>119.8</v>
      </c>
      <c r="R1361">
        <v>1.6</v>
      </c>
      <c r="S1361" t="s">
        <v>243</v>
      </c>
      <c r="T1361">
        <v>113.1</v>
      </c>
      <c r="V1361">
        <v>100.3</v>
      </c>
      <c r="W1361">
        <v>82.7</v>
      </c>
      <c r="X1361">
        <v>23</v>
      </c>
      <c r="Y1361">
        <v>47.4</v>
      </c>
      <c r="Z1361">
        <v>25766605</v>
      </c>
      <c r="AA1361">
        <v>-25.274398000000001</v>
      </c>
      <c r="AB1361">
        <v>133.775136</v>
      </c>
    </row>
    <row r="1362" spans="1:28" hidden="1">
      <c r="A1362">
        <v>1312</v>
      </c>
      <c r="B1362">
        <v>2300</v>
      </c>
      <c r="C1362" t="s">
        <v>217</v>
      </c>
      <c r="D1362" t="s">
        <v>2814</v>
      </c>
      <c r="E1362">
        <v>74</v>
      </c>
      <c r="G1362" t="s">
        <v>103</v>
      </c>
      <c r="H1362" t="s">
        <v>2815</v>
      </c>
      <c r="I1362" t="s">
        <v>2316</v>
      </c>
      <c r="J1362" t="s">
        <v>217</v>
      </c>
      <c r="K1362" t="s">
        <v>103</v>
      </c>
      <c r="M1362" t="b">
        <v>1</v>
      </c>
      <c r="N1362" t="s">
        <v>42</v>
      </c>
      <c r="O1362" t="s">
        <v>33</v>
      </c>
      <c r="Q1362">
        <v>125.08</v>
      </c>
      <c r="R1362">
        <v>2.9</v>
      </c>
      <c r="S1362" t="s">
        <v>106</v>
      </c>
      <c r="T1362">
        <v>50.6</v>
      </c>
      <c r="V1362">
        <v>100.2</v>
      </c>
      <c r="W1362">
        <v>77</v>
      </c>
      <c r="X1362">
        <v>9.4</v>
      </c>
      <c r="Y1362">
        <v>59.2</v>
      </c>
      <c r="Z1362">
        <v>1397715000</v>
      </c>
      <c r="AA1362">
        <v>35.861660000000001</v>
      </c>
      <c r="AB1362">
        <v>104.195397</v>
      </c>
    </row>
    <row r="1363" spans="1:28" hidden="1">
      <c r="A1363">
        <v>1312</v>
      </c>
      <c r="B1363">
        <v>2300</v>
      </c>
      <c r="C1363" t="s">
        <v>221</v>
      </c>
      <c r="D1363" t="s">
        <v>2816</v>
      </c>
      <c r="E1363">
        <v>61</v>
      </c>
      <c r="G1363" t="s">
        <v>103</v>
      </c>
      <c r="H1363" t="s">
        <v>215</v>
      </c>
      <c r="I1363" t="s">
        <v>223</v>
      </c>
      <c r="J1363" t="s">
        <v>221</v>
      </c>
      <c r="K1363" t="s">
        <v>103</v>
      </c>
      <c r="M1363" t="b">
        <v>1</v>
      </c>
      <c r="N1363" t="s">
        <v>42</v>
      </c>
      <c r="O1363" t="s">
        <v>33</v>
      </c>
      <c r="Q1363">
        <v>125.08</v>
      </c>
      <c r="R1363">
        <v>2.9</v>
      </c>
      <c r="S1363" t="s">
        <v>106</v>
      </c>
      <c r="T1363">
        <v>50.6</v>
      </c>
      <c r="V1363">
        <v>100.2</v>
      </c>
      <c r="W1363">
        <v>77</v>
      </c>
      <c r="X1363">
        <v>9.4</v>
      </c>
      <c r="Y1363">
        <v>59.2</v>
      </c>
      <c r="Z1363">
        <v>1397715000</v>
      </c>
      <c r="AA1363">
        <v>35.861660000000001</v>
      </c>
      <c r="AB1363">
        <v>104.195397</v>
      </c>
    </row>
    <row r="1364" spans="1:28" hidden="1">
      <c r="A1364">
        <v>1312</v>
      </c>
      <c r="B1364">
        <v>2300</v>
      </c>
      <c r="C1364" t="s">
        <v>101</v>
      </c>
      <c r="D1364" t="s">
        <v>2817</v>
      </c>
      <c r="E1364">
        <v>79</v>
      </c>
      <c r="G1364" t="s">
        <v>148</v>
      </c>
      <c r="H1364" t="s">
        <v>2818</v>
      </c>
      <c r="I1364" t="s">
        <v>2819</v>
      </c>
      <c r="J1364" t="s">
        <v>101</v>
      </c>
      <c r="K1364" t="s">
        <v>148</v>
      </c>
      <c r="M1364" t="b">
        <v>1</v>
      </c>
      <c r="N1364" t="s">
        <v>42</v>
      </c>
      <c r="O1364" t="s">
        <v>33</v>
      </c>
      <c r="Q1364">
        <v>112.85</v>
      </c>
      <c r="R1364">
        <v>1.4</v>
      </c>
      <c r="S1364" t="s">
        <v>151</v>
      </c>
      <c r="T1364">
        <v>70.2</v>
      </c>
      <c r="V1364">
        <v>104</v>
      </c>
      <c r="W1364">
        <v>80.900000000000006</v>
      </c>
      <c r="X1364">
        <v>11.5</v>
      </c>
      <c r="Y1364">
        <v>48.8</v>
      </c>
      <c r="Z1364">
        <v>83132799</v>
      </c>
      <c r="AA1364">
        <v>51.165691000000002</v>
      </c>
      <c r="AB1364">
        <v>10.451525999999999</v>
      </c>
    </row>
    <row r="1365" spans="1:28" hidden="1">
      <c r="A1365">
        <v>1312</v>
      </c>
      <c r="B1365">
        <v>2300</v>
      </c>
      <c r="C1365" t="s">
        <v>26</v>
      </c>
      <c r="D1365" t="s">
        <v>2820</v>
      </c>
      <c r="E1365">
        <v>56</v>
      </c>
      <c r="G1365" t="s">
        <v>103</v>
      </c>
      <c r="H1365" t="s">
        <v>1887</v>
      </c>
      <c r="I1365" t="s">
        <v>2821</v>
      </c>
      <c r="J1365" t="s">
        <v>26</v>
      </c>
      <c r="K1365" t="s">
        <v>103</v>
      </c>
      <c r="M1365" t="b">
        <v>1</v>
      </c>
      <c r="N1365" t="s">
        <v>32</v>
      </c>
      <c r="O1365" t="s">
        <v>33</v>
      </c>
      <c r="Q1365">
        <v>125.08</v>
      </c>
      <c r="R1365">
        <v>2.9</v>
      </c>
      <c r="S1365" t="s">
        <v>106</v>
      </c>
      <c r="T1365">
        <v>50.6</v>
      </c>
      <c r="V1365">
        <v>100.2</v>
      </c>
      <c r="W1365">
        <v>77</v>
      </c>
      <c r="X1365">
        <v>9.4</v>
      </c>
      <c r="Y1365">
        <v>59.2</v>
      </c>
      <c r="Z1365">
        <v>1397715000</v>
      </c>
      <c r="AA1365">
        <v>35.861660000000001</v>
      </c>
      <c r="AB1365">
        <v>104.195397</v>
      </c>
    </row>
    <row r="1366" spans="1:28" hidden="1">
      <c r="A1366">
        <v>1312</v>
      </c>
      <c r="B1366">
        <v>2300</v>
      </c>
      <c r="C1366" t="s">
        <v>217</v>
      </c>
      <c r="D1366" t="s">
        <v>2822</v>
      </c>
      <c r="E1366">
        <v>57</v>
      </c>
      <c r="G1366" t="s">
        <v>103</v>
      </c>
      <c r="H1366" t="s">
        <v>104</v>
      </c>
      <c r="I1366" t="s">
        <v>2823</v>
      </c>
      <c r="J1366" t="s">
        <v>217</v>
      </c>
      <c r="K1366" t="s">
        <v>103</v>
      </c>
      <c r="M1366" t="b">
        <v>1</v>
      </c>
      <c r="N1366" t="s">
        <v>32</v>
      </c>
      <c r="O1366" t="s">
        <v>33</v>
      </c>
      <c r="Q1366">
        <v>125.08</v>
      </c>
      <c r="R1366">
        <v>2.9</v>
      </c>
      <c r="S1366" t="s">
        <v>106</v>
      </c>
      <c r="T1366">
        <v>50.6</v>
      </c>
      <c r="V1366">
        <v>100.2</v>
      </c>
      <c r="W1366">
        <v>77</v>
      </c>
      <c r="X1366">
        <v>9.4</v>
      </c>
      <c r="Y1366">
        <v>59.2</v>
      </c>
      <c r="Z1366">
        <v>1397715000</v>
      </c>
      <c r="AA1366">
        <v>35.861660000000001</v>
      </c>
      <c r="AB1366">
        <v>104.195397</v>
      </c>
    </row>
    <row r="1367" spans="1:28" hidden="1">
      <c r="A1367">
        <v>1312</v>
      </c>
      <c r="B1367">
        <v>2300</v>
      </c>
      <c r="C1367" t="s">
        <v>288</v>
      </c>
      <c r="D1367" t="s">
        <v>2824</v>
      </c>
      <c r="E1367">
        <v>65</v>
      </c>
      <c r="G1367" t="s">
        <v>2825</v>
      </c>
      <c r="H1367" t="s">
        <v>2826</v>
      </c>
      <c r="I1367" t="s">
        <v>2827</v>
      </c>
      <c r="J1367" t="s">
        <v>288</v>
      </c>
      <c r="K1367" t="s">
        <v>2825</v>
      </c>
      <c r="M1367" t="b">
        <v>0</v>
      </c>
      <c r="N1367" t="s">
        <v>419</v>
      </c>
      <c r="O1367" t="s">
        <v>33</v>
      </c>
      <c r="S1367" t="s">
        <v>2828</v>
      </c>
      <c r="T1367">
        <v>35.6</v>
      </c>
      <c r="V1367">
        <v>104.7</v>
      </c>
      <c r="W1367">
        <v>83</v>
      </c>
      <c r="Y1367">
        <v>21.6</v>
      </c>
      <c r="Z1367">
        <v>38019</v>
      </c>
      <c r="AA1367">
        <v>47.141039200000002</v>
      </c>
      <c r="AB1367">
        <v>9.5209349999999997</v>
      </c>
    </row>
    <row r="1368" spans="1:28" hidden="1">
      <c r="A1368">
        <v>1312</v>
      </c>
      <c r="B1368">
        <v>2300</v>
      </c>
      <c r="C1368" t="s">
        <v>217</v>
      </c>
      <c r="D1368" t="s">
        <v>2829</v>
      </c>
      <c r="E1368">
        <v>87</v>
      </c>
      <c r="G1368" t="s">
        <v>103</v>
      </c>
      <c r="H1368" t="s">
        <v>633</v>
      </c>
      <c r="I1368" t="s">
        <v>2830</v>
      </c>
      <c r="J1368" t="s">
        <v>217</v>
      </c>
      <c r="K1368" t="s">
        <v>103</v>
      </c>
      <c r="M1368" t="b">
        <v>1</v>
      </c>
      <c r="N1368" t="s">
        <v>32</v>
      </c>
      <c r="O1368" t="s">
        <v>33</v>
      </c>
      <c r="Q1368">
        <v>125.08</v>
      </c>
      <c r="R1368">
        <v>2.9</v>
      </c>
      <c r="S1368" t="s">
        <v>106</v>
      </c>
      <c r="T1368">
        <v>50.6</v>
      </c>
      <c r="V1368">
        <v>100.2</v>
      </c>
      <c r="W1368">
        <v>77</v>
      </c>
      <c r="X1368">
        <v>9.4</v>
      </c>
      <c r="Y1368">
        <v>59.2</v>
      </c>
      <c r="Z1368">
        <v>1397715000</v>
      </c>
      <c r="AA1368">
        <v>35.861660000000001</v>
      </c>
      <c r="AB1368">
        <v>104.195397</v>
      </c>
    </row>
    <row r="1369" spans="1:28">
      <c r="A1369">
        <v>1368</v>
      </c>
      <c r="B1369">
        <v>2200</v>
      </c>
      <c r="C1369" t="s">
        <v>221</v>
      </c>
      <c r="D1369" t="s">
        <v>2831</v>
      </c>
      <c r="E1369">
        <v>86</v>
      </c>
      <c r="F1369" t="str">
        <f>IF(E1369&gt;=90,"90-100",IF(E1369&gt;=80,"80-90",IF(E1369&gt;=70,"70-80",IF(E1369&gt;=60,"60-70",IF(E1369&gt;=50,"50-60",IF(E1369&gt;=40,"40-50",IF(E1369&gt;=30,"30-40","20-30")))))))</f>
        <v>80-90</v>
      </c>
      <c r="G1369" t="s">
        <v>38</v>
      </c>
      <c r="H1369" t="s">
        <v>372</v>
      </c>
      <c r="I1369" t="s">
        <v>900</v>
      </c>
      <c r="J1369" t="s">
        <v>221</v>
      </c>
      <c r="K1369" t="s">
        <v>38</v>
      </c>
      <c r="L1369" t="s">
        <v>2832</v>
      </c>
      <c r="M1369" t="b">
        <v>1</v>
      </c>
      <c r="N1369" t="s">
        <v>42</v>
      </c>
      <c r="O1369" t="s">
        <v>4867</v>
      </c>
      <c r="P1369" t="s">
        <v>468</v>
      </c>
      <c r="Q1369">
        <v>117.24</v>
      </c>
      <c r="R1369">
        <v>7.5</v>
      </c>
      <c r="S1369" t="s">
        <v>44</v>
      </c>
      <c r="T1369">
        <v>88.2</v>
      </c>
      <c r="U1369" t="str">
        <f>IF(T1369&gt;=100,"above 100",IF(T1369&gt;=80,"80-100",IF(T1369&gt;=60,"60-80",IF(T1369&gt;=40,"40-60",IF(T1369&gt;=20,"20-60","0-20")))))</f>
        <v>80-100</v>
      </c>
      <c r="V1369">
        <v>101.8</v>
      </c>
      <c r="W1369">
        <v>78.5</v>
      </c>
      <c r="X1369">
        <v>9.6</v>
      </c>
      <c r="Y1369">
        <v>36.6</v>
      </c>
      <c r="Z1369">
        <v>328239523</v>
      </c>
      <c r="AA1369">
        <v>37.090240000000001</v>
      </c>
      <c r="AB1369">
        <v>-95.712890999999999</v>
      </c>
    </row>
    <row r="1370" spans="1:28" hidden="1">
      <c r="A1370">
        <v>1368</v>
      </c>
      <c r="B1370">
        <v>2200</v>
      </c>
      <c r="C1370" t="s">
        <v>54</v>
      </c>
      <c r="D1370" t="s">
        <v>2833</v>
      </c>
      <c r="E1370">
        <v>40</v>
      </c>
      <c r="G1370" t="s">
        <v>38</v>
      </c>
      <c r="H1370" t="s">
        <v>652</v>
      </c>
      <c r="I1370" t="s">
        <v>2712</v>
      </c>
      <c r="J1370" t="s">
        <v>54</v>
      </c>
      <c r="K1370" t="s">
        <v>38</v>
      </c>
      <c r="M1370" t="b">
        <v>1</v>
      </c>
      <c r="N1370" t="s">
        <v>42</v>
      </c>
      <c r="O1370" t="s">
        <v>33</v>
      </c>
      <c r="Q1370">
        <v>117.24</v>
      </c>
      <c r="R1370">
        <v>7.5</v>
      </c>
      <c r="S1370" t="s">
        <v>44</v>
      </c>
      <c r="T1370">
        <v>88.2</v>
      </c>
      <c r="V1370">
        <v>101.8</v>
      </c>
      <c r="W1370">
        <v>78.5</v>
      </c>
      <c r="X1370">
        <v>9.6</v>
      </c>
      <c r="Y1370">
        <v>36.6</v>
      </c>
      <c r="Z1370">
        <v>328239523</v>
      </c>
      <c r="AA1370">
        <v>37.090240000000001</v>
      </c>
      <c r="AB1370">
        <v>-95.712890999999999</v>
      </c>
    </row>
    <row r="1371" spans="1:28" hidden="1">
      <c r="A1371">
        <v>1368</v>
      </c>
      <c r="B1371">
        <v>2200</v>
      </c>
      <c r="C1371" t="s">
        <v>250</v>
      </c>
      <c r="D1371" t="s">
        <v>2834</v>
      </c>
      <c r="E1371">
        <v>52</v>
      </c>
      <c r="G1371" t="s">
        <v>263</v>
      </c>
      <c r="H1371" t="s">
        <v>274</v>
      </c>
      <c r="I1371" t="s">
        <v>2835</v>
      </c>
      <c r="J1371" t="s">
        <v>250</v>
      </c>
      <c r="K1371" t="s">
        <v>263</v>
      </c>
      <c r="M1371" t="b">
        <v>1</v>
      </c>
      <c r="N1371" t="s">
        <v>853</v>
      </c>
      <c r="O1371" t="s">
        <v>33</v>
      </c>
      <c r="Q1371">
        <v>180.75</v>
      </c>
      <c r="R1371">
        <v>4.5</v>
      </c>
      <c r="S1371" t="s">
        <v>276</v>
      </c>
      <c r="T1371">
        <v>81.900000000000006</v>
      </c>
      <c r="V1371">
        <v>102.6</v>
      </c>
      <c r="W1371">
        <v>72.7</v>
      </c>
      <c r="X1371">
        <v>11.4</v>
      </c>
      <c r="Y1371">
        <v>46.2</v>
      </c>
      <c r="Z1371">
        <v>144373535</v>
      </c>
      <c r="AA1371">
        <v>61.524009999999997</v>
      </c>
      <c r="AB1371">
        <v>105.31875599999999</v>
      </c>
    </row>
    <row r="1372" spans="1:28" hidden="1">
      <c r="A1372">
        <v>1368</v>
      </c>
      <c r="B1372">
        <v>2200</v>
      </c>
      <c r="C1372" t="s">
        <v>75</v>
      </c>
      <c r="D1372" t="s">
        <v>2836</v>
      </c>
      <c r="E1372">
        <v>73</v>
      </c>
      <c r="G1372" t="s">
        <v>1267</v>
      </c>
      <c r="H1372" t="s">
        <v>2763</v>
      </c>
      <c r="I1372" t="s">
        <v>75</v>
      </c>
      <c r="J1372" t="s">
        <v>75</v>
      </c>
      <c r="K1372" t="s">
        <v>1267</v>
      </c>
      <c r="M1372" t="b">
        <v>1</v>
      </c>
      <c r="N1372" t="s">
        <v>32</v>
      </c>
      <c r="O1372" t="s">
        <v>33</v>
      </c>
      <c r="Q1372">
        <v>234.44</v>
      </c>
      <c r="R1372">
        <v>15.2</v>
      </c>
      <c r="S1372" t="s">
        <v>1270</v>
      </c>
      <c r="T1372">
        <v>23.9</v>
      </c>
      <c r="V1372">
        <v>93.2</v>
      </c>
      <c r="W1372">
        <v>77.400000000000006</v>
      </c>
      <c r="X1372">
        <v>17.899999999999999</v>
      </c>
      <c r="Y1372">
        <v>42.3</v>
      </c>
      <c r="Z1372">
        <v>83429615</v>
      </c>
      <c r="AA1372">
        <v>38.963745000000003</v>
      </c>
      <c r="AB1372">
        <v>35.243321999999999</v>
      </c>
    </row>
    <row r="1373" spans="1:28">
      <c r="A1373">
        <v>1368</v>
      </c>
      <c r="B1373">
        <v>2200</v>
      </c>
      <c r="C1373" t="s">
        <v>45</v>
      </c>
      <c r="D1373" t="s">
        <v>2837</v>
      </c>
      <c r="E1373">
        <v>57</v>
      </c>
      <c r="F1373" t="str">
        <f>IF(E1373&gt;=90,"90-100",IF(E1373&gt;=80,"80-90",IF(E1373&gt;=70,"70-80",IF(E1373&gt;=60,"60-70",IF(E1373&gt;=50,"50-60",IF(E1373&gt;=40,"40-50",IF(E1373&gt;=30,"30-40","20-30")))))))</f>
        <v>50-60</v>
      </c>
      <c r="G1373" t="s">
        <v>38</v>
      </c>
      <c r="H1373" t="s">
        <v>652</v>
      </c>
      <c r="I1373" t="s">
        <v>577</v>
      </c>
      <c r="J1373" t="s">
        <v>45</v>
      </c>
      <c r="K1373" t="s">
        <v>38</v>
      </c>
      <c r="L1373" t="s">
        <v>578</v>
      </c>
      <c r="M1373" t="b">
        <v>1</v>
      </c>
      <c r="N1373" t="s">
        <v>42</v>
      </c>
      <c r="O1373" t="s">
        <v>4867</v>
      </c>
      <c r="P1373" t="s">
        <v>468</v>
      </c>
      <c r="Q1373">
        <v>117.24</v>
      </c>
      <c r="R1373">
        <v>7.5</v>
      </c>
      <c r="S1373" t="s">
        <v>44</v>
      </c>
      <c r="T1373">
        <v>88.2</v>
      </c>
      <c r="U1373" t="str">
        <f>IF(T1373&gt;=100,"above 100",IF(T1373&gt;=80,"80-100",IF(T1373&gt;=60,"60-80",IF(T1373&gt;=40,"40-60",IF(T1373&gt;=20,"20-60","0-20")))))</f>
        <v>80-100</v>
      </c>
      <c r="V1373">
        <v>101.8</v>
      </c>
      <c r="W1373">
        <v>78.5</v>
      </c>
      <c r="X1373">
        <v>9.6</v>
      </c>
      <c r="Y1373">
        <v>36.6</v>
      </c>
      <c r="Z1373">
        <v>328239523</v>
      </c>
      <c r="AA1373">
        <v>37.090240000000001</v>
      </c>
      <c r="AB1373">
        <v>-95.712890999999999</v>
      </c>
    </row>
    <row r="1374" spans="1:28" hidden="1">
      <c r="A1374">
        <v>1368</v>
      </c>
      <c r="B1374">
        <v>2200</v>
      </c>
      <c r="C1374" t="s">
        <v>26</v>
      </c>
      <c r="D1374" t="s">
        <v>2838</v>
      </c>
      <c r="E1374">
        <v>63</v>
      </c>
      <c r="G1374" t="s">
        <v>1138</v>
      </c>
      <c r="H1374" t="s">
        <v>2839</v>
      </c>
      <c r="I1374" t="s">
        <v>2840</v>
      </c>
      <c r="J1374" t="s">
        <v>26</v>
      </c>
      <c r="K1374" t="s">
        <v>238</v>
      </c>
      <c r="M1374" t="b">
        <v>1</v>
      </c>
      <c r="N1374" t="s">
        <v>419</v>
      </c>
      <c r="O1374" t="s">
        <v>33</v>
      </c>
    </row>
    <row r="1375" spans="1:28" hidden="1">
      <c r="A1375">
        <v>1368</v>
      </c>
      <c r="B1375">
        <v>2200</v>
      </c>
      <c r="C1375" t="s">
        <v>54</v>
      </c>
      <c r="D1375" t="s">
        <v>2841</v>
      </c>
      <c r="E1375">
        <v>85</v>
      </c>
      <c r="G1375" t="s">
        <v>38</v>
      </c>
      <c r="H1375" t="s">
        <v>2842</v>
      </c>
      <c r="I1375" t="s">
        <v>782</v>
      </c>
      <c r="J1375" t="s">
        <v>54</v>
      </c>
      <c r="K1375" t="s">
        <v>38</v>
      </c>
      <c r="M1375" t="b">
        <v>0</v>
      </c>
      <c r="N1375" t="s">
        <v>42</v>
      </c>
      <c r="O1375" t="s">
        <v>33</v>
      </c>
      <c r="Q1375">
        <v>117.24</v>
      </c>
      <c r="R1375">
        <v>7.5</v>
      </c>
      <c r="S1375" t="s">
        <v>44</v>
      </c>
      <c r="T1375">
        <v>88.2</v>
      </c>
      <c r="V1375">
        <v>101.8</v>
      </c>
      <c r="W1375">
        <v>78.5</v>
      </c>
      <c r="X1375">
        <v>9.6</v>
      </c>
      <c r="Y1375">
        <v>36.6</v>
      </c>
      <c r="Z1375">
        <v>328239523</v>
      </c>
      <c r="AA1375">
        <v>37.090240000000001</v>
      </c>
      <c r="AB1375">
        <v>-95.712890999999999</v>
      </c>
    </row>
    <row r="1376" spans="1:28" hidden="1">
      <c r="A1376">
        <v>1368</v>
      </c>
      <c r="B1376">
        <v>2200</v>
      </c>
      <c r="C1376" t="s">
        <v>54</v>
      </c>
      <c r="D1376" t="s">
        <v>2843</v>
      </c>
      <c r="E1376">
        <v>55</v>
      </c>
      <c r="G1376" t="s">
        <v>103</v>
      </c>
      <c r="H1376" t="s">
        <v>215</v>
      </c>
      <c r="I1376" t="s">
        <v>231</v>
      </c>
      <c r="J1376" t="s">
        <v>54</v>
      </c>
      <c r="K1376" t="s">
        <v>103</v>
      </c>
      <c r="M1376" t="b">
        <v>0</v>
      </c>
      <c r="N1376" t="s">
        <v>42</v>
      </c>
      <c r="O1376" t="s">
        <v>88</v>
      </c>
      <c r="Q1376">
        <v>125.08</v>
      </c>
      <c r="R1376">
        <v>2.9</v>
      </c>
      <c r="S1376" t="s">
        <v>106</v>
      </c>
      <c r="T1376">
        <v>50.6</v>
      </c>
      <c r="V1376">
        <v>100.2</v>
      </c>
      <c r="W1376">
        <v>77</v>
      </c>
      <c r="X1376">
        <v>9.4</v>
      </c>
      <c r="Y1376">
        <v>59.2</v>
      </c>
      <c r="Z1376">
        <v>1397715000</v>
      </c>
      <c r="AA1376">
        <v>35.861660000000001</v>
      </c>
      <c r="AB1376">
        <v>104.195397</v>
      </c>
    </row>
    <row r="1377" spans="1:28" hidden="1">
      <c r="A1377">
        <v>1368</v>
      </c>
      <c r="B1377">
        <v>2200</v>
      </c>
      <c r="C1377" t="s">
        <v>288</v>
      </c>
      <c r="D1377" t="s">
        <v>2844</v>
      </c>
      <c r="E1377">
        <v>71</v>
      </c>
      <c r="G1377" t="s">
        <v>103</v>
      </c>
      <c r="H1377" t="s">
        <v>2845</v>
      </c>
      <c r="I1377" t="s">
        <v>418</v>
      </c>
      <c r="J1377" t="s">
        <v>288</v>
      </c>
      <c r="K1377" t="s">
        <v>103</v>
      </c>
      <c r="M1377" t="b">
        <v>1</v>
      </c>
      <c r="N1377" t="s">
        <v>32</v>
      </c>
      <c r="O1377" t="s">
        <v>33</v>
      </c>
      <c r="Q1377">
        <v>125.08</v>
      </c>
      <c r="R1377">
        <v>2.9</v>
      </c>
      <c r="S1377" t="s">
        <v>106</v>
      </c>
      <c r="T1377">
        <v>50.6</v>
      </c>
      <c r="V1377">
        <v>100.2</v>
      </c>
      <c r="W1377">
        <v>77</v>
      </c>
      <c r="X1377">
        <v>9.4</v>
      </c>
      <c r="Y1377">
        <v>59.2</v>
      </c>
      <c r="Z1377">
        <v>1397715000</v>
      </c>
      <c r="AA1377">
        <v>35.861660000000001</v>
      </c>
      <c r="AB1377">
        <v>104.195397</v>
      </c>
    </row>
    <row r="1378" spans="1:28" hidden="1">
      <c r="A1378">
        <v>1368</v>
      </c>
      <c r="B1378">
        <v>2200</v>
      </c>
      <c r="C1378" t="s">
        <v>54</v>
      </c>
      <c r="D1378" t="s">
        <v>2846</v>
      </c>
      <c r="E1378">
        <v>72</v>
      </c>
      <c r="G1378" t="s">
        <v>945</v>
      </c>
      <c r="H1378" t="s">
        <v>2451</v>
      </c>
      <c r="I1378" t="s">
        <v>1152</v>
      </c>
      <c r="J1378" t="s">
        <v>54</v>
      </c>
      <c r="K1378" t="s">
        <v>945</v>
      </c>
      <c r="M1378" t="b">
        <v>1</v>
      </c>
      <c r="N1378" t="s">
        <v>32</v>
      </c>
      <c r="O1378" t="s">
        <v>33</v>
      </c>
    </row>
    <row r="1379" spans="1:28" hidden="1">
      <c r="A1379">
        <v>1368</v>
      </c>
      <c r="B1379">
        <v>2200</v>
      </c>
      <c r="C1379" t="s">
        <v>288</v>
      </c>
      <c r="D1379" t="s">
        <v>2847</v>
      </c>
      <c r="E1379">
        <v>52</v>
      </c>
      <c r="G1379" t="s">
        <v>103</v>
      </c>
      <c r="H1379" t="s">
        <v>623</v>
      </c>
      <c r="I1379" t="s">
        <v>418</v>
      </c>
      <c r="J1379" t="s">
        <v>288</v>
      </c>
      <c r="K1379" t="s">
        <v>103</v>
      </c>
      <c r="M1379" t="b">
        <v>1</v>
      </c>
      <c r="N1379" t="s">
        <v>42</v>
      </c>
      <c r="O1379" t="s">
        <v>33</v>
      </c>
      <c r="Q1379">
        <v>125.08</v>
      </c>
      <c r="R1379">
        <v>2.9</v>
      </c>
      <c r="S1379" t="s">
        <v>106</v>
      </c>
      <c r="T1379">
        <v>50.6</v>
      </c>
      <c r="V1379">
        <v>100.2</v>
      </c>
      <c r="W1379">
        <v>77</v>
      </c>
      <c r="X1379">
        <v>9.4</v>
      </c>
      <c r="Y1379">
        <v>59.2</v>
      </c>
      <c r="Z1379">
        <v>1397715000</v>
      </c>
      <c r="AA1379">
        <v>35.861660000000001</v>
      </c>
      <c r="AB1379">
        <v>104.195397</v>
      </c>
    </row>
    <row r="1380" spans="1:28" hidden="1">
      <c r="A1380">
        <v>1368</v>
      </c>
      <c r="B1380">
        <v>2200</v>
      </c>
      <c r="C1380" t="s">
        <v>26</v>
      </c>
      <c r="D1380" t="s">
        <v>2848</v>
      </c>
      <c r="E1380">
        <v>61</v>
      </c>
      <c r="G1380" t="s">
        <v>38</v>
      </c>
      <c r="H1380" t="s">
        <v>635</v>
      </c>
      <c r="I1380" t="s">
        <v>2062</v>
      </c>
      <c r="J1380" t="s">
        <v>26</v>
      </c>
      <c r="K1380" t="s">
        <v>38</v>
      </c>
      <c r="M1380" t="b">
        <v>1</v>
      </c>
      <c r="N1380" t="s">
        <v>192</v>
      </c>
      <c r="O1380" t="s">
        <v>33</v>
      </c>
      <c r="Q1380">
        <v>117.24</v>
      </c>
      <c r="R1380">
        <v>7.5</v>
      </c>
      <c r="S1380" t="s">
        <v>44</v>
      </c>
      <c r="T1380">
        <v>88.2</v>
      </c>
      <c r="V1380">
        <v>101.8</v>
      </c>
      <c r="W1380">
        <v>78.5</v>
      </c>
      <c r="X1380">
        <v>9.6</v>
      </c>
      <c r="Y1380">
        <v>36.6</v>
      </c>
      <c r="Z1380">
        <v>328239523</v>
      </c>
      <c r="AA1380">
        <v>37.090240000000001</v>
      </c>
      <c r="AB1380">
        <v>-95.712890999999999</v>
      </c>
    </row>
    <row r="1381" spans="1:28" hidden="1">
      <c r="A1381">
        <v>1368</v>
      </c>
      <c r="B1381">
        <v>2200</v>
      </c>
      <c r="C1381" t="s">
        <v>101</v>
      </c>
      <c r="D1381" t="s">
        <v>2849</v>
      </c>
      <c r="E1381">
        <v>69</v>
      </c>
      <c r="G1381" t="s">
        <v>103</v>
      </c>
      <c r="H1381" t="s">
        <v>2850</v>
      </c>
      <c r="I1381" t="s">
        <v>2851</v>
      </c>
      <c r="J1381" t="s">
        <v>101</v>
      </c>
      <c r="K1381" t="s">
        <v>103</v>
      </c>
      <c r="M1381" t="b">
        <v>1</v>
      </c>
      <c r="N1381" t="s">
        <v>32</v>
      </c>
      <c r="O1381" t="s">
        <v>33</v>
      </c>
      <c r="Q1381">
        <v>125.08</v>
      </c>
      <c r="R1381">
        <v>2.9</v>
      </c>
      <c r="S1381" t="s">
        <v>106</v>
      </c>
      <c r="T1381">
        <v>50.6</v>
      </c>
      <c r="V1381">
        <v>100.2</v>
      </c>
      <c r="W1381">
        <v>77</v>
      </c>
      <c r="X1381">
        <v>9.4</v>
      </c>
      <c r="Y1381">
        <v>59.2</v>
      </c>
      <c r="Z1381">
        <v>1397715000</v>
      </c>
      <c r="AA1381">
        <v>35.861660000000001</v>
      </c>
      <c r="AB1381">
        <v>104.195397</v>
      </c>
    </row>
    <row r="1382" spans="1:28">
      <c r="A1382">
        <v>1368</v>
      </c>
      <c r="B1382">
        <v>2200</v>
      </c>
      <c r="C1382" t="s">
        <v>54</v>
      </c>
      <c r="D1382" t="s">
        <v>2852</v>
      </c>
      <c r="E1382">
        <v>61</v>
      </c>
      <c r="F1382" t="str">
        <f>IF(E1382&gt;=90,"90-100",IF(E1382&gt;=80,"80-90",IF(E1382&gt;=70,"70-80",IF(E1382&gt;=60,"60-70",IF(E1382&gt;=50,"50-60",IF(E1382&gt;=40,"40-50",IF(E1382&gt;=30,"30-40","20-30")))))))</f>
        <v>60-70</v>
      </c>
      <c r="G1382" t="s">
        <v>38</v>
      </c>
      <c r="H1382" t="s">
        <v>65</v>
      </c>
      <c r="I1382" t="s">
        <v>185</v>
      </c>
      <c r="J1382" t="s">
        <v>54</v>
      </c>
      <c r="K1382" t="s">
        <v>38</v>
      </c>
      <c r="L1382" t="s">
        <v>2853</v>
      </c>
      <c r="M1382" t="b">
        <v>1</v>
      </c>
      <c r="N1382" t="s">
        <v>42</v>
      </c>
      <c r="O1382" t="s">
        <v>4867</v>
      </c>
      <c r="P1382" t="s">
        <v>424</v>
      </c>
      <c r="Q1382">
        <v>117.24</v>
      </c>
      <c r="R1382">
        <v>7.5</v>
      </c>
      <c r="S1382" t="s">
        <v>44</v>
      </c>
      <c r="T1382">
        <v>88.2</v>
      </c>
      <c r="U1382" t="str">
        <f t="shared" ref="U1382:U1383" si="42">IF(T1382&gt;=100,"above 100",IF(T1382&gt;=80,"80-100",IF(T1382&gt;=60,"60-80",IF(T1382&gt;=40,"40-60",IF(T1382&gt;=20,"20-60","0-20")))))</f>
        <v>80-100</v>
      </c>
      <c r="V1382">
        <v>101.8</v>
      </c>
      <c r="W1382">
        <v>78.5</v>
      </c>
      <c r="X1382">
        <v>9.6</v>
      </c>
      <c r="Y1382">
        <v>36.6</v>
      </c>
      <c r="Z1382">
        <v>328239523</v>
      </c>
      <c r="AA1382">
        <v>37.090240000000001</v>
      </c>
      <c r="AB1382">
        <v>-95.712890999999999</v>
      </c>
    </row>
    <row r="1383" spans="1:28">
      <c r="A1383">
        <v>1368</v>
      </c>
      <c r="B1383">
        <v>2200</v>
      </c>
      <c r="C1383" t="s">
        <v>54</v>
      </c>
      <c r="D1383" t="s">
        <v>2854</v>
      </c>
      <c r="E1383">
        <v>64</v>
      </c>
      <c r="F1383" t="str">
        <f>IF(E1383&gt;=90,"90-100",IF(E1383&gt;=80,"80-90",IF(E1383&gt;=70,"70-80",IF(E1383&gt;=60,"60-70",IF(E1383&gt;=50,"50-60",IF(E1383&gt;=40,"40-50",IF(E1383&gt;=30,"30-40","20-30")))))))</f>
        <v>60-70</v>
      </c>
      <c r="G1383" t="s">
        <v>38</v>
      </c>
      <c r="H1383" t="s">
        <v>635</v>
      </c>
      <c r="I1383" t="s">
        <v>231</v>
      </c>
      <c r="J1383" t="s">
        <v>54</v>
      </c>
      <c r="K1383" t="s">
        <v>38</v>
      </c>
      <c r="L1383" t="s">
        <v>2855</v>
      </c>
      <c r="M1383" t="b">
        <v>1</v>
      </c>
      <c r="N1383" t="s">
        <v>419</v>
      </c>
      <c r="O1383" t="s">
        <v>4867</v>
      </c>
      <c r="P1383" t="s">
        <v>43</v>
      </c>
      <c r="Q1383">
        <v>117.24</v>
      </c>
      <c r="R1383">
        <v>7.5</v>
      </c>
      <c r="S1383" t="s">
        <v>44</v>
      </c>
      <c r="T1383">
        <v>88.2</v>
      </c>
      <c r="U1383" t="str">
        <f t="shared" si="42"/>
        <v>80-100</v>
      </c>
      <c r="V1383">
        <v>101.8</v>
      </c>
      <c r="W1383">
        <v>78.5</v>
      </c>
      <c r="X1383">
        <v>9.6</v>
      </c>
      <c r="Y1383">
        <v>36.6</v>
      </c>
      <c r="Z1383">
        <v>328239523</v>
      </c>
      <c r="AA1383">
        <v>37.090240000000001</v>
      </c>
      <c r="AB1383">
        <v>-95.712890999999999</v>
      </c>
    </row>
    <row r="1384" spans="1:28" hidden="1">
      <c r="A1384">
        <v>1368</v>
      </c>
      <c r="B1384">
        <v>2200</v>
      </c>
      <c r="C1384" t="s">
        <v>288</v>
      </c>
      <c r="D1384" t="s">
        <v>2856</v>
      </c>
      <c r="E1384">
        <v>67</v>
      </c>
      <c r="G1384" t="s">
        <v>103</v>
      </c>
      <c r="H1384" t="s">
        <v>1880</v>
      </c>
      <c r="I1384" t="s">
        <v>418</v>
      </c>
      <c r="J1384" t="s">
        <v>288</v>
      </c>
      <c r="K1384" t="s">
        <v>38</v>
      </c>
      <c r="M1384" t="b">
        <v>1</v>
      </c>
      <c r="N1384" t="s">
        <v>42</v>
      </c>
      <c r="O1384" t="s">
        <v>33</v>
      </c>
      <c r="Q1384">
        <v>125.08</v>
      </c>
      <c r="R1384">
        <v>2.9</v>
      </c>
      <c r="S1384" t="s">
        <v>106</v>
      </c>
      <c r="T1384">
        <v>50.6</v>
      </c>
      <c r="V1384">
        <v>100.2</v>
      </c>
      <c r="W1384">
        <v>77</v>
      </c>
      <c r="X1384">
        <v>9.4</v>
      </c>
      <c r="Y1384">
        <v>59.2</v>
      </c>
      <c r="Z1384">
        <v>1397715000</v>
      </c>
      <c r="AA1384">
        <v>35.861660000000001</v>
      </c>
      <c r="AB1384">
        <v>104.195397</v>
      </c>
    </row>
    <row r="1385" spans="1:28" hidden="1">
      <c r="A1385">
        <v>1368</v>
      </c>
      <c r="B1385">
        <v>2200</v>
      </c>
      <c r="C1385" t="s">
        <v>36</v>
      </c>
      <c r="D1385" t="s">
        <v>2857</v>
      </c>
      <c r="E1385">
        <v>78</v>
      </c>
      <c r="G1385" t="s">
        <v>342</v>
      </c>
      <c r="H1385" t="s">
        <v>1093</v>
      </c>
      <c r="I1385" t="s">
        <v>36</v>
      </c>
      <c r="J1385" t="s">
        <v>36</v>
      </c>
      <c r="K1385" t="s">
        <v>342</v>
      </c>
      <c r="M1385" t="b">
        <v>0</v>
      </c>
      <c r="N1385" t="s">
        <v>32</v>
      </c>
      <c r="O1385" t="s">
        <v>33</v>
      </c>
      <c r="Q1385">
        <v>108.15</v>
      </c>
      <c r="R1385">
        <v>0.8</v>
      </c>
      <c r="S1385" t="s">
        <v>532</v>
      </c>
      <c r="T1385">
        <v>63.4</v>
      </c>
      <c r="V1385">
        <v>104.9</v>
      </c>
      <c r="W1385">
        <v>82.8</v>
      </c>
      <c r="X1385">
        <v>23.1</v>
      </c>
      <c r="Y1385">
        <v>25.3</v>
      </c>
      <c r="Z1385">
        <v>9053300</v>
      </c>
      <c r="AA1385">
        <v>31.046050999999999</v>
      </c>
      <c r="AB1385">
        <v>34.851612000000003</v>
      </c>
    </row>
    <row r="1386" spans="1:28" hidden="1">
      <c r="A1386">
        <v>1368</v>
      </c>
      <c r="B1386">
        <v>2200</v>
      </c>
      <c r="C1386" t="s">
        <v>45</v>
      </c>
      <c r="D1386" t="s">
        <v>2858</v>
      </c>
      <c r="E1386">
        <v>83</v>
      </c>
      <c r="G1386" t="s">
        <v>148</v>
      </c>
      <c r="H1386" t="s">
        <v>2859</v>
      </c>
      <c r="I1386" t="s">
        <v>2860</v>
      </c>
      <c r="J1386" t="s">
        <v>45</v>
      </c>
      <c r="K1386" t="s">
        <v>148</v>
      </c>
      <c r="M1386" t="b">
        <v>1</v>
      </c>
      <c r="N1386" t="s">
        <v>42</v>
      </c>
      <c r="O1386" t="s">
        <v>33</v>
      </c>
      <c r="Q1386">
        <v>112.85</v>
      </c>
      <c r="R1386">
        <v>1.4</v>
      </c>
      <c r="S1386" t="s">
        <v>151</v>
      </c>
      <c r="T1386">
        <v>70.2</v>
      </c>
      <c r="V1386">
        <v>104</v>
      </c>
      <c r="W1386">
        <v>80.900000000000006</v>
      </c>
      <c r="X1386">
        <v>11.5</v>
      </c>
      <c r="Y1386">
        <v>48.8</v>
      </c>
      <c r="Z1386">
        <v>83132799</v>
      </c>
      <c r="AA1386">
        <v>51.165691000000002</v>
      </c>
      <c r="AB1386">
        <v>10.451525999999999</v>
      </c>
    </row>
    <row r="1387" spans="1:28" hidden="1">
      <c r="A1387">
        <v>1368</v>
      </c>
      <c r="B1387">
        <v>2200</v>
      </c>
      <c r="C1387" t="s">
        <v>288</v>
      </c>
      <c r="D1387" t="s">
        <v>2861</v>
      </c>
      <c r="E1387">
        <v>76</v>
      </c>
      <c r="G1387" t="s">
        <v>148</v>
      </c>
      <c r="H1387" t="s">
        <v>2862</v>
      </c>
      <c r="I1387" t="s">
        <v>328</v>
      </c>
      <c r="J1387" t="s">
        <v>288</v>
      </c>
      <c r="K1387" t="s">
        <v>148</v>
      </c>
      <c r="M1387" t="b">
        <v>1</v>
      </c>
      <c r="N1387" t="s">
        <v>32</v>
      </c>
      <c r="O1387" t="s">
        <v>33</v>
      </c>
      <c r="Q1387">
        <v>112.85</v>
      </c>
      <c r="R1387">
        <v>1.4</v>
      </c>
      <c r="S1387" t="s">
        <v>151</v>
      </c>
      <c r="T1387">
        <v>70.2</v>
      </c>
      <c r="V1387">
        <v>104</v>
      </c>
      <c r="W1387">
        <v>80.900000000000006</v>
      </c>
      <c r="X1387">
        <v>11.5</v>
      </c>
      <c r="Y1387">
        <v>48.8</v>
      </c>
      <c r="Z1387">
        <v>83132799</v>
      </c>
      <c r="AA1387">
        <v>51.165691000000002</v>
      </c>
      <c r="AB1387">
        <v>10.451525999999999</v>
      </c>
    </row>
    <row r="1388" spans="1:28" hidden="1">
      <c r="A1388">
        <v>1368</v>
      </c>
      <c r="B1388">
        <v>2200</v>
      </c>
      <c r="C1388" t="s">
        <v>221</v>
      </c>
      <c r="D1388" t="s">
        <v>2863</v>
      </c>
      <c r="E1388">
        <v>64</v>
      </c>
      <c r="G1388" t="s">
        <v>103</v>
      </c>
      <c r="H1388" t="s">
        <v>176</v>
      </c>
      <c r="I1388" t="s">
        <v>223</v>
      </c>
      <c r="J1388" t="s">
        <v>221</v>
      </c>
      <c r="K1388" t="s">
        <v>127</v>
      </c>
      <c r="M1388" t="b">
        <v>1</v>
      </c>
      <c r="N1388" t="s">
        <v>42</v>
      </c>
      <c r="O1388" t="s">
        <v>33</v>
      </c>
      <c r="Q1388">
        <v>125.08</v>
      </c>
      <c r="R1388">
        <v>2.9</v>
      </c>
      <c r="S1388" t="s">
        <v>106</v>
      </c>
      <c r="T1388">
        <v>50.6</v>
      </c>
      <c r="V1388">
        <v>100.2</v>
      </c>
      <c r="W1388">
        <v>77</v>
      </c>
      <c r="X1388">
        <v>9.4</v>
      </c>
      <c r="Y1388">
        <v>59.2</v>
      </c>
      <c r="Z1388">
        <v>1397715000</v>
      </c>
      <c r="AA1388">
        <v>35.861660000000001</v>
      </c>
      <c r="AB1388">
        <v>104.195397</v>
      </c>
    </row>
    <row r="1389" spans="1:28" hidden="1">
      <c r="A1389">
        <v>1368</v>
      </c>
      <c r="B1389">
        <v>2200</v>
      </c>
      <c r="C1389" t="s">
        <v>54</v>
      </c>
      <c r="D1389" t="s">
        <v>2864</v>
      </c>
      <c r="E1389">
        <v>80</v>
      </c>
      <c r="G1389" t="s">
        <v>38</v>
      </c>
      <c r="H1389" t="s">
        <v>1286</v>
      </c>
      <c r="I1389" t="s">
        <v>1152</v>
      </c>
      <c r="J1389" t="s">
        <v>54</v>
      </c>
      <c r="K1389" t="s">
        <v>38</v>
      </c>
      <c r="M1389" t="b">
        <v>0</v>
      </c>
      <c r="N1389" t="s">
        <v>32</v>
      </c>
      <c r="O1389" t="s">
        <v>33</v>
      </c>
      <c r="Q1389">
        <v>117.24</v>
      </c>
      <c r="R1389">
        <v>7.5</v>
      </c>
      <c r="S1389" t="s">
        <v>44</v>
      </c>
      <c r="T1389">
        <v>88.2</v>
      </c>
      <c r="V1389">
        <v>101.8</v>
      </c>
      <c r="W1389">
        <v>78.5</v>
      </c>
      <c r="X1389">
        <v>9.6</v>
      </c>
      <c r="Y1389">
        <v>36.6</v>
      </c>
      <c r="Z1389">
        <v>328239523</v>
      </c>
      <c r="AA1389">
        <v>37.090240000000001</v>
      </c>
      <c r="AB1389">
        <v>-95.712890999999999</v>
      </c>
    </row>
    <row r="1390" spans="1:28" hidden="1">
      <c r="A1390">
        <v>1368</v>
      </c>
      <c r="B1390">
        <v>2200</v>
      </c>
      <c r="C1390" t="s">
        <v>26</v>
      </c>
      <c r="D1390" t="s">
        <v>2865</v>
      </c>
      <c r="E1390">
        <v>73</v>
      </c>
      <c r="G1390" t="s">
        <v>38</v>
      </c>
      <c r="H1390" t="s">
        <v>2866</v>
      </c>
      <c r="I1390" t="s">
        <v>2867</v>
      </c>
      <c r="J1390" t="s">
        <v>26</v>
      </c>
      <c r="K1390" t="s">
        <v>38</v>
      </c>
      <c r="M1390" t="b">
        <v>1</v>
      </c>
      <c r="N1390" t="s">
        <v>42</v>
      </c>
      <c r="O1390" t="s">
        <v>33</v>
      </c>
      <c r="Q1390">
        <v>117.24</v>
      </c>
      <c r="R1390">
        <v>7.5</v>
      </c>
      <c r="S1390" t="s">
        <v>44</v>
      </c>
      <c r="T1390">
        <v>88.2</v>
      </c>
      <c r="V1390">
        <v>101.8</v>
      </c>
      <c r="W1390">
        <v>78.5</v>
      </c>
      <c r="X1390">
        <v>9.6</v>
      </c>
      <c r="Y1390">
        <v>36.6</v>
      </c>
      <c r="Z1390">
        <v>328239523</v>
      </c>
      <c r="AA1390">
        <v>37.090240000000001</v>
      </c>
      <c r="AB1390">
        <v>-95.712890999999999</v>
      </c>
    </row>
    <row r="1391" spans="1:28" hidden="1">
      <c r="A1391">
        <v>1368</v>
      </c>
      <c r="B1391">
        <v>2200</v>
      </c>
      <c r="C1391" t="s">
        <v>36</v>
      </c>
      <c r="D1391" t="s">
        <v>2868</v>
      </c>
      <c r="E1391">
        <v>75</v>
      </c>
      <c r="G1391" t="s">
        <v>38</v>
      </c>
      <c r="H1391" t="s">
        <v>359</v>
      </c>
      <c r="I1391" t="s">
        <v>2869</v>
      </c>
      <c r="J1391" t="s">
        <v>36</v>
      </c>
      <c r="K1391" t="s">
        <v>38</v>
      </c>
      <c r="M1391" t="b">
        <v>1</v>
      </c>
      <c r="N1391" t="s">
        <v>32</v>
      </c>
      <c r="O1391" t="s">
        <v>33</v>
      </c>
      <c r="Q1391">
        <v>117.24</v>
      </c>
      <c r="R1391">
        <v>7.5</v>
      </c>
      <c r="S1391" t="s">
        <v>44</v>
      </c>
      <c r="T1391">
        <v>88.2</v>
      </c>
      <c r="V1391">
        <v>101.8</v>
      </c>
      <c r="W1391">
        <v>78.5</v>
      </c>
      <c r="X1391">
        <v>9.6</v>
      </c>
      <c r="Y1391">
        <v>36.6</v>
      </c>
      <c r="Z1391">
        <v>328239523</v>
      </c>
      <c r="AA1391">
        <v>37.090240000000001</v>
      </c>
      <c r="AB1391">
        <v>-95.712890999999999</v>
      </c>
    </row>
    <row r="1392" spans="1:28" hidden="1">
      <c r="A1392">
        <v>1368</v>
      </c>
      <c r="B1392">
        <v>2200</v>
      </c>
      <c r="C1392" t="s">
        <v>26</v>
      </c>
      <c r="D1392" t="s">
        <v>2870</v>
      </c>
      <c r="E1392">
        <v>48</v>
      </c>
      <c r="G1392" t="s">
        <v>103</v>
      </c>
      <c r="H1392" t="s">
        <v>791</v>
      </c>
      <c r="I1392" t="s">
        <v>792</v>
      </c>
      <c r="J1392" t="s">
        <v>26</v>
      </c>
      <c r="K1392" t="s">
        <v>103</v>
      </c>
      <c r="M1392" t="b">
        <v>1</v>
      </c>
      <c r="N1392" t="s">
        <v>32</v>
      </c>
      <c r="O1392" t="s">
        <v>33</v>
      </c>
      <c r="Q1392">
        <v>125.08</v>
      </c>
      <c r="R1392">
        <v>2.9</v>
      </c>
      <c r="S1392" t="s">
        <v>106</v>
      </c>
      <c r="T1392">
        <v>50.6</v>
      </c>
      <c r="V1392">
        <v>100.2</v>
      </c>
      <c r="W1392">
        <v>77</v>
      </c>
      <c r="X1392">
        <v>9.4</v>
      </c>
      <c r="Y1392">
        <v>59.2</v>
      </c>
      <c r="Z1392">
        <v>1397715000</v>
      </c>
      <c r="AA1392">
        <v>35.861660000000001</v>
      </c>
      <c r="AB1392">
        <v>104.195397</v>
      </c>
    </row>
    <row r="1393" spans="1:28" hidden="1">
      <c r="A1393">
        <v>1368</v>
      </c>
      <c r="B1393">
        <v>2200</v>
      </c>
      <c r="C1393" t="s">
        <v>54</v>
      </c>
      <c r="D1393" t="s">
        <v>2871</v>
      </c>
      <c r="E1393">
        <v>62</v>
      </c>
      <c r="G1393" t="s">
        <v>38</v>
      </c>
      <c r="H1393" t="s">
        <v>652</v>
      </c>
      <c r="I1393" t="s">
        <v>2712</v>
      </c>
      <c r="J1393" t="s">
        <v>54</v>
      </c>
      <c r="K1393" t="s">
        <v>38</v>
      </c>
      <c r="M1393" t="b">
        <v>1</v>
      </c>
      <c r="N1393" t="s">
        <v>42</v>
      </c>
      <c r="O1393" t="s">
        <v>33</v>
      </c>
      <c r="Q1393">
        <v>117.24</v>
      </c>
      <c r="R1393">
        <v>7.5</v>
      </c>
      <c r="S1393" t="s">
        <v>44</v>
      </c>
      <c r="T1393">
        <v>88.2</v>
      </c>
      <c r="V1393">
        <v>101.8</v>
      </c>
      <c r="W1393">
        <v>78.5</v>
      </c>
      <c r="X1393">
        <v>9.6</v>
      </c>
      <c r="Y1393">
        <v>36.6</v>
      </c>
      <c r="Z1393">
        <v>328239523</v>
      </c>
      <c r="AA1393">
        <v>37.090240000000001</v>
      </c>
      <c r="AB1393">
        <v>-95.712890999999999</v>
      </c>
    </row>
    <row r="1394" spans="1:28" hidden="1">
      <c r="A1394">
        <v>1368</v>
      </c>
      <c r="B1394">
        <v>2200</v>
      </c>
      <c r="C1394" t="s">
        <v>26</v>
      </c>
      <c r="D1394" t="s">
        <v>2872</v>
      </c>
      <c r="E1394">
        <v>78</v>
      </c>
      <c r="G1394" t="s">
        <v>238</v>
      </c>
      <c r="H1394" t="s">
        <v>534</v>
      </c>
      <c r="I1394" t="s">
        <v>150</v>
      </c>
      <c r="J1394" t="s">
        <v>26</v>
      </c>
      <c r="K1394" t="s">
        <v>238</v>
      </c>
      <c r="M1394" t="b">
        <v>1</v>
      </c>
      <c r="N1394" t="s">
        <v>42</v>
      </c>
      <c r="O1394" t="s">
        <v>33</v>
      </c>
      <c r="Q1394">
        <v>119.8</v>
      </c>
      <c r="R1394">
        <v>1.6</v>
      </c>
      <c r="S1394" t="s">
        <v>243</v>
      </c>
      <c r="T1394">
        <v>113.1</v>
      </c>
      <c r="V1394">
        <v>100.3</v>
      </c>
      <c r="W1394">
        <v>82.7</v>
      </c>
      <c r="X1394">
        <v>23</v>
      </c>
      <c r="Y1394">
        <v>47.4</v>
      </c>
      <c r="Z1394">
        <v>25766605</v>
      </c>
      <c r="AA1394">
        <v>-25.274398000000001</v>
      </c>
      <c r="AB1394">
        <v>133.775136</v>
      </c>
    </row>
    <row r="1395" spans="1:28" hidden="1">
      <c r="A1395">
        <v>1368</v>
      </c>
      <c r="B1395">
        <v>2200</v>
      </c>
      <c r="C1395" t="s">
        <v>75</v>
      </c>
      <c r="D1395" t="s">
        <v>2873</v>
      </c>
      <c r="E1395">
        <v>54</v>
      </c>
      <c r="G1395" t="s">
        <v>395</v>
      </c>
      <c r="H1395" t="s">
        <v>395</v>
      </c>
      <c r="I1395" t="s">
        <v>1671</v>
      </c>
      <c r="J1395" t="s">
        <v>75</v>
      </c>
      <c r="K1395" t="s">
        <v>395</v>
      </c>
      <c r="M1395" t="b">
        <v>1</v>
      </c>
      <c r="N1395" t="s">
        <v>419</v>
      </c>
      <c r="O1395" t="s">
        <v>33</v>
      </c>
      <c r="Q1395">
        <v>114.41</v>
      </c>
      <c r="R1395">
        <v>0.6</v>
      </c>
      <c r="S1395" t="s">
        <v>451</v>
      </c>
      <c r="T1395">
        <v>84.8</v>
      </c>
      <c r="V1395">
        <v>100.6</v>
      </c>
      <c r="W1395">
        <v>83.1</v>
      </c>
      <c r="X1395">
        <v>13.1</v>
      </c>
      <c r="Y1395">
        <v>21</v>
      </c>
      <c r="Z1395">
        <v>5703569</v>
      </c>
      <c r="AA1395">
        <v>1.3520829999999999</v>
      </c>
      <c r="AB1395">
        <v>103.819836</v>
      </c>
    </row>
    <row r="1396" spans="1:28" hidden="1">
      <c r="A1396">
        <v>1368</v>
      </c>
      <c r="B1396">
        <v>2200</v>
      </c>
      <c r="C1396" t="s">
        <v>75</v>
      </c>
      <c r="D1396" t="s">
        <v>2874</v>
      </c>
      <c r="E1396">
        <v>68</v>
      </c>
      <c r="G1396" t="s">
        <v>429</v>
      </c>
      <c r="H1396" t="s">
        <v>430</v>
      </c>
      <c r="I1396" t="s">
        <v>75</v>
      </c>
      <c r="J1396" t="s">
        <v>75</v>
      </c>
      <c r="K1396" t="s">
        <v>429</v>
      </c>
      <c r="M1396" t="b">
        <v>0</v>
      </c>
      <c r="N1396" t="s">
        <v>32</v>
      </c>
      <c r="O1396" t="s">
        <v>33</v>
      </c>
      <c r="Q1396">
        <v>113.27</v>
      </c>
      <c r="R1396">
        <v>0.7</v>
      </c>
      <c r="S1396" t="s">
        <v>431</v>
      </c>
      <c r="T1396">
        <v>49.3</v>
      </c>
      <c r="V1396">
        <v>99.8</v>
      </c>
      <c r="W1396">
        <v>76.900000000000006</v>
      </c>
      <c r="X1396">
        <v>14.9</v>
      </c>
      <c r="Y1396">
        <v>29.5</v>
      </c>
      <c r="Z1396">
        <v>69625582</v>
      </c>
      <c r="AA1396">
        <v>15.870032</v>
      </c>
      <c r="AB1396">
        <v>100.992541</v>
      </c>
    </row>
    <row r="1397" spans="1:28" hidden="1">
      <c r="A1397">
        <v>1368</v>
      </c>
      <c r="B1397">
        <v>2200</v>
      </c>
      <c r="C1397" t="s">
        <v>45</v>
      </c>
      <c r="D1397" t="s">
        <v>2875</v>
      </c>
      <c r="E1397">
        <v>43</v>
      </c>
      <c r="G1397" t="s">
        <v>38</v>
      </c>
      <c r="H1397" t="s">
        <v>652</v>
      </c>
      <c r="I1397" t="s">
        <v>572</v>
      </c>
      <c r="J1397" t="s">
        <v>45</v>
      </c>
      <c r="K1397" t="s">
        <v>127</v>
      </c>
      <c r="M1397" t="b">
        <v>1</v>
      </c>
      <c r="N1397" t="s">
        <v>42</v>
      </c>
      <c r="O1397" t="s">
        <v>33</v>
      </c>
      <c r="Q1397">
        <v>117.24</v>
      </c>
      <c r="R1397">
        <v>7.5</v>
      </c>
      <c r="S1397" t="s">
        <v>44</v>
      </c>
      <c r="T1397">
        <v>88.2</v>
      </c>
      <c r="V1397">
        <v>101.8</v>
      </c>
      <c r="W1397">
        <v>78.5</v>
      </c>
      <c r="X1397">
        <v>9.6</v>
      </c>
      <c r="Y1397">
        <v>36.6</v>
      </c>
      <c r="Z1397">
        <v>328239523</v>
      </c>
      <c r="AA1397">
        <v>37.090240000000001</v>
      </c>
      <c r="AB1397">
        <v>-95.712890999999999</v>
      </c>
    </row>
    <row r="1398" spans="1:28" hidden="1">
      <c r="A1398">
        <v>1368</v>
      </c>
      <c r="B1398">
        <v>2200</v>
      </c>
      <c r="C1398" t="s">
        <v>250</v>
      </c>
      <c r="D1398" t="s">
        <v>2876</v>
      </c>
      <c r="E1398">
        <v>60</v>
      </c>
      <c r="G1398" t="s">
        <v>38</v>
      </c>
      <c r="H1398" t="s">
        <v>184</v>
      </c>
      <c r="I1398" t="s">
        <v>231</v>
      </c>
      <c r="J1398" t="s">
        <v>250</v>
      </c>
      <c r="K1398" t="s">
        <v>467</v>
      </c>
      <c r="M1398" t="b">
        <v>1</v>
      </c>
      <c r="N1398" t="s">
        <v>32</v>
      </c>
      <c r="O1398" t="s">
        <v>33</v>
      </c>
      <c r="Q1398">
        <v>117.24</v>
      </c>
      <c r="R1398">
        <v>7.5</v>
      </c>
      <c r="S1398" t="s">
        <v>44</v>
      </c>
      <c r="T1398">
        <v>88.2</v>
      </c>
      <c r="V1398">
        <v>101.8</v>
      </c>
      <c r="W1398">
        <v>78.5</v>
      </c>
      <c r="X1398">
        <v>9.6</v>
      </c>
      <c r="Y1398">
        <v>36.6</v>
      </c>
      <c r="Z1398">
        <v>328239523</v>
      </c>
      <c r="AA1398">
        <v>37.090240000000001</v>
      </c>
      <c r="AB1398">
        <v>-95.712890999999999</v>
      </c>
    </row>
    <row r="1399" spans="1:28">
      <c r="A1399">
        <v>1368</v>
      </c>
      <c r="B1399">
        <v>2200</v>
      </c>
      <c r="C1399" t="s">
        <v>54</v>
      </c>
      <c r="D1399" t="s">
        <v>2877</v>
      </c>
      <c r="E1399">
        <v>76</v>
      </c>
      <c r="F1399" t="str">
        <f>IF(E1399&gt;=90,"90-100",IF(E1399&gt;=80,"80-90",IF(E1399&gt;=70,"70-80",IF(E1399&gt;=60,"60-70",IF(E1399&gt;=50,"50-60",IF(E1399&gt;=40,"40-50",IF(E1399&gt;=30,"30-40","20-30")))))))</f>
        <v>70-80</v>
      </c>
      <c r="G1399" t="s">
        <v>38</v>
      </c>
      <c r="H1399" t="s">
        <v>65</v>
      </c>
      <c r="I1399" t="s">
        <v>613</v>
      </c>
      <c r="J1399" t="s">
        <v>54</v>
      </c>
      <c r="K1399" t="s">
        <v>38</v>
      </c>
      <c r="L1399" t="s">
        <v>2767</v>
      </c>
      <c r="M1399" t="b">
        <v>1</v>
      </c>
      <c r="N1399" t="s">
        <v>419</v>
      </c>
      <c r="O1399" t="s">
        <v>4867</v>
      </c>
      <c r="P1399" t="s">
        <v>131</v>
      </c>
      <c r="Q1399">
        <v>117.24</v>
      </c>
      <c r="R1399">
        <v>7.5</v>
      </c>
      <c r="S1399" t="s">
        <v>44</v>
      </c>
      <c r="T1399">
        <v>88.2</v>
      </c>
      <c r="U1399" t="str">
        <f t="shared" ref="U1399:U1400" si="43">IF(T1399&gt;=100,"above 100",IF(T1399&gt;=80,"80-100",IF(T1399&gt;=60,"60-80",IF(T1399&gt;=40,"40-60",IF(T1399&gt;=20,"20-60","0-20")))))</f>
        <v>80-100</v>
      </c>
      <c r="V1399">
        <v>101.8</v>
      </c>
      <c r="W1399">
        <v>78.5</v>
      </c>
      <c r="X1399">
        <v>9.6</v>
      </c>
      <c r="Y1399">
        <v>36.6</v>
      </c>
      <c r="Z1399">
        <v>328239523</v>
      </c>
      <c r="AA1399">
        <v>37.090240000000001</v>
      </c>
      <c r="AB1399">
        <v>-95.712890999999999</v>
      </c>
    </row>
    <row r="1400" spans="1:28">
      <c r="A1400">
        <v>1368</v>
      </c>
      <c r="B1400">
        <v>2200</v>
      </c>
      <c r="C1400" t="s">
        <v>54</v>
      </c>
      <c r="D1400" t="s">
        <v>2878</v>
      </c>
      <c r="E1400">
        <v>99</v>
      </c>
      <c r="F1400" t="str">
        <f>IF(E1400&gt;=90,"90-100",IF(E1400&gt;=80,"80-90",IF(E1400&gt;=70,"70-80",IF(E1400&gt;=60,"60-70",IF(E1400&gt;=50,"50-60",IF(E1400&gt;=40,"40-50",IF(E1400&gt;=30,"30-40","20-30")))))))</f>
        <v>90-100</v>
      </c>
      <c r="G1400" t="s">
        <v>38</v>
      </c>
      <c r="H1400" t="s">
        <v>635</v>
      </c>
      <c r="I1400" t="s">
        <v>57</v>
      </c>
      <c r="J1400" t="s">
        <v>54</v>
      </c>
      <c r="K1400" t="s">
        <v>38</v>
      </c>
      <c r="L1400" t="s">
        <v>58</v>
      </c>
      <c r="M1400" t="b">
        <v>1</v>
      </c>
      <c r="N1400" t="s">
        <v>42</v>
      </c>
      <c r="O1400" t="s">
        <v>4867</v>
      </c>
      <c r="P1400" t="s">
        <v>2879</v>
      </c>
      <c r="Q1400">
        <v>117.24</v>
      </c>
      <c r="R1400">
        <v>7.5</v>
      </c>
      <c r="S1400" t="s">
        <v>44</v>
      </c>
      <c r="T1400">
        <v>88.2</v>
      </c>
      <c r="U1400" t="str">
        <f t="shared" si="43"/>
        <v>80-100</v>
      </c>
      <c r="V1400">
        <v>101.8</v>
      </c>
      <c r="W1400">
        <v>78.5</v>
      </c>
      <c r="X1400">
        <v>9.6</v>
      </c>
      <c r="Y1400">
        <v>36.6</v>
      </c>
      <c r="Z1400">
        <v>328239523</v>
      </c>
      <c r="AA1400">
        <v>37.090240000000001</v>
      </c>
      <c r="AB1400">
        <v>-95.712890999999999</v>
      </c>
    </row>
    <row r="1401" spans="1:28" hidden="1">
      <c r="A1401">
        <v>1368</v>
      </c>
      <c r="B1401">
        <v>2200</v>
      </c>
      <c r="C1401" t="s">
        <v>221</v>
      </c>
      <c r="D1401" t="s">
        <v>2880</v>
      </c>
      <c r="E1401">
        <v>44</v>
      </c>
      <c r="G1401" t="s">
        <v>38</v>
      </c>
      <c r="H1401" t="s">
        <v>184</v>
      </c>
      <c r="I1401" t="s">
        <v>2881</v>
      </c>
      <c r="J1401" t="s">
        <v>221</v>
      </c>
      <c r="K1401" t="s">
        <v>342</v>
      </c>
      <c r="M1401" t="b">
        <v>1</v>
      </c>
      <c r="N1401" t="s">
        <v>32</v>
      </c>
      <c r="O1401" t="s">
        <v>33</v>
      </c>
      <c r="Q1401">
        <v>117.24</v>
      </c>
      <c r="R1401">
        <v>7.5</v>
      </c>
      <c r="S1401" t="s">
        <v>44</v>
      </c>
      <c r="T1401">
        <v>88.2</v>
      </c>
      <c r="V1401">
        <v>101.8</v>
      </c>
      <c r="W1401">
        <v>78.5</v>
      </c>
      <c r="X1401">
        <v>9.6</v>
      </c>
      <c r="Y1401">
        <v>36.6</v>
      </c>
      <c r="Z1401">
        <v>328239523</v>
      </c>
      <c r="AA1401">
        <v>37.090240000000001</v>
      </c>
      <c r="AB1401">
        <v>-95.712890999999999</v>
      </c>
    </row>
    <row r="1402" spans="1:28">
      <c r="A1402">
        <v>1368</v>
      </c>
      <c r="B1402">
        <v>2200</v>
      </c>
      <c r="C1402" t="s">
        <v>75</v>
      </c>
      <c r="D1402" t="s">
        <v>2882</v>
      </c>
      <c r="E1402">
        <v>52</v>
      </c>
      <c r="F1402" t="str">
        <f>IF(E1402&gt;=90,"90-100",IF(E1402&gt;=80,"80-90",IF(E1402&gt;=70,"70-80",IF(E1402&gt;=60,"60-70",IF(E1402&gt;=50,"50-60",IF(E1402&gt;=40,"40-50",IF(E1402&gt;=30,"30-40","20-30")))))))</f>
        <v>50-60</v>
      </c>
      <c r="G1402" t="s">
        <v>1573</v>
      </c>
      <c r="H1402" t="s">
        <v>2883</v>
      </c>
      <c r="I1402" t="s">
        <v>2884</v>
      </c>
      <c r="J1402" t="s">
        <v>75</v>
      </c>
      <c r="K1402" t="s">
        <v>1573</v>
      </c>
      <c r="L1402" t="s">
        <v>2885</v>
      </c>
      <c r="M1402" t="b">
        <v>1</v>
      </c>
      <c r="N1402" t="s">
        <v>42</v>
      </c>
      <c r="O1402" t="s">
        <v>4866</v>
      </c>
      <c r="P1402" t="s">
        <v>2339</v>
      </c>
      <c r="Q1402">
        <v>163.52000000000001</v>
      </c>
      <c r="R1402">
        <v>2.8</v>
      </c>
      <c r="S1402" t="s">
        <v>1575</v>
      </c>
      <c r="T1402">
        <v>28.5</v>
      </c>
      <c r="U1402" t="str">
        <f>IF(T1402&gt;=100,"above 100",IF(T1402&gt;=80,"80-100",IF(T1402&gt;=60,"60-80",IF(T1402&gt;=40,"40-60",IF(T1402&gt;=20,"20-60","0-20")))))</f>
        <v>20-60</v>
      </c>
      <c r="V1402">
        <v>110.6</v>
      </c>
      <c r="W1402">
        <v>75.3</v>
      </c>
      <c r="X1402">
        <v>19.100000000000001</v>
      </c>
      <c r="Y1402">
        <v>37.6</v>
      </c>
      <c r="Z1402">
        <v>96462106</v>
      </c>
      <c r="AA1402">
        <v>14.058324000000001</v>
      </c>
      <c r="AB1402">
        <v>108.277199</v>
      </c>
    </row>
    <row r="1403" spans="1:28" hidden="1">
      <c r="A1403">
        <v>1368</v>
      </c>
      <c r="B1403">
        <v>2200</v>
      </c>
      <c r="C1403" t="s">
        <v>101</v>
      </c>
      <c r="D1403" t="s">
        <v>2886</v>
      </c>
      <c r="E1403">
        <v>71</v>
      </c>
      <c r="G1403" t="s">
        <v>103</v>
      </c>
      <c r="H1403" t="s">
        <v>2887</v>
      </c>
      <c r="I1403" t="s">
        <v>913</v>
      </c>
      <c r="J1403" t="s">
        <v>101</v>
      </c>
      <c r="K1403" t="s">
        <v>103</v>
      </c>
      <c r="M1403" t="b">
        <v>1</v>
      </c>
      <c r="N1403" t="s">
        <v>42</v>
      </c>
      <c r="O1403" t="s">
        <v>33</v>
      </c>
      <c r="Q1403">
        <v>125.08</v>
      </c>
      <c r="R1403">
        <v>2.9</v>
      </c>
      <c r="S1403" t="s">
        <v>106</v>
      </c>
      <c r="T1403">
        <v>50.6</v>
      </c>
      <c r="V1403">
        <v>100.2</v>
      </c>
      <c r="W1403">
        <v>77</v>
      </c>
      <c r="X1403">
        <v>9.4</v>
      </c>
      <c r="Y1403">
        <v>59.2</v>
      </c>
      <c r="Z1403">
        <v>1397715000</v>
      </c>
      <c r="AA1403">
        <v>35.861660000000001</v>
      </c>
      <c r="AB1403">
        <v>104.195397</v>
      </c>
    </row>
    <row r="1404" spans="1:28" hidden="1">
      <c r="A1404">
        <v>1368</v>
      </c>
      <c r="B1404">
        <v>2200</v>
      </c>
      <c r="C1404" t="s">
        <v>217</v>
      </c>
      <c r="D1404" t="s">
        <v>2888</v>
      </c>
      <c r="E1404">
        <v>60</v>
      </c>
      <c r="G1404" t="s">
        <v>238</v>
      </c>
      <c r="H1404" t="s">
        <v>534</v>
      </c>
      <c r="I1404" t="s">
        <v>2889</v>
      </c>
      <c r="J1404" t="s">
        <v>217</v>
      </c>
      <c r="K1404" t="s">
        <v>238</v>
      </c>
      <c r="M1404" t="b">
        <v>0</v>
      </c>
      <c r="N1404" t="s">
        <v>42</v>
      </c>
      <c r="O1404" t="s">
        <v>88</v>
      </c>
      <c r="Q1404">
        <v>119.8</v>
      </c>
      <c r="R1404">
        <v>1.6</v>
      </c>
      <c r="S1404" t="s">
        <v>243</v>
      </c>
      <c r="T1404">
        <v>113.1</v>
      </c>
      <c r="V1404">
        <v>100.3</v>
      </c>
      <c r="W1404">
        <v>82.7</v>
      </c>
      <c r="X1404">
        <v>23</v>
      </c>
      <c r="Y1404">
        <v>47.4</v>
      </c>
      <c r="Z1404">
        <v>25766605</v>
      </c>
      <c r="AA1404">
        <v>-25.274398000000001</v>
      </c>
      <c r="AB1404">
        <v>133.775136</v>
      </c>
    </row>
    <row r="1405" spans="1:28" hidden="1">
      <c r="A1405">
        <v>1368</v>
      </c>
      <c r="B1405">
        <v>2200</v>
      </c>
      <c r="C1405" t="s">
        <v>45</v>
      </c>
      <c r="D1405" t="s">
        <v>2890</v>
      </c>
      <c r="E1405">
        <v>52</v>
      </c>
      <c r="G1405" t="s">
        <v>103</v>
      </c>
      <c r="H1405" t="s">
        <v>143</v>
      </c>
      <c r="I1405" t="s">
        <v>572</v>
      </c>
      <c r="J1405" t="s">
        <v>45</v>
      </c>
      <c r="K1405" t="s">
        <v>103</v>
      </c>
      <c r="M1405" t="b">
        <v>1</v>
      </c>
      <c r="N1405" t="s">
        <v>32</v>
      </c>
      <c r="O1405" t="s">
        <v>33</v>
      </c>
      <c r="Q1405">
        <v>125.08</v>
      </c>
      <c r="R1405">
        <v>2.9</v>
      </c>
      <c r="S1405" t="s">
        <v>106</v>
      </c>
      <c r="T1405">
        <v>50.6</v>
      </c>
      <c r="V1405">
        <v>100.2</v>
      </c>
      <c r="W1405">
        <v>77</v>
      </c>
      <c r="X1405">
        <v>9.4</v>
      </c>
      <c r="Y1405">
        <v>59.2</v>
      </c>
      <c r="Z1405">
        <v>1397715000</v>
      </c>
      <c r="AA1405">
        <v>35.861660000000001</v>
      </c>
      <c r="AB1405">
        <v>104.195397</v>
      </c>
    </row>
    <row r="1406" spans="1:28" hidden="1">
      <c r="A1406">
        <v>1368</v>
      </c>
      <c r="B1406">
        <v>2200</v>
      </c>
      <c r="C1406" t="s">
        <v>45</v>
      </c>
      <c r="D1406" t="s">
        <v>2891</v>
      </c>
      <c r="E1406">
        <v>73</v>
      </c>
      <c r="G1406" t="s">
        <v>38</v>
      </c>
      <c r="H1406" t="s">
        <v>980</v>
      </c>
      <c r="I1406" t="s">
        <v>2892</v>
      </c>
      <c r="J1406" t="s">
        <v>45</v>
      </c>
      <c r="K1406" t="s">
        <v>38</v>
      </c>
      <c r="M1406" t="b">
        <v>1</v>
      </c>
      <c r="N1406" t="s">
        <v>32</v>
      </c>
      <c r="O1406" t="s">
        <v>33</v>
      </c>
      <c r="Q1406">
        <v>117.24</v>
      </c>
      <c r="R1406">
        <v>7.5</v>
      </c>
      <c r="S1406" t="s">
        <v>44</v>
      </c>
      <c r="T1406">
        <v>88.2</v>
      </c>
      <c r="V1406">
        <v>101.8</v>
      </c>
      <c r="W1406">
        <v>78.5</v>
      </c>
      <c r="X1406">
        <v>9.6</v>
      </c>
      <c r="Y1406">
        <v>36.6</v>
      </c>
      <c r="Z1406">
        <v>328239523</v>
      </c>
      <c r="AA1406">
        <v>37.090240000000001</v>
      </c>
      <c r="AB1406">
        <v>-95.712890999999999</v>
      </c>
    </row>
    <row r="1407" spans="1:28" hidden="1">
      <c r="A1407">
        <v>1368</v>
      </c>
      <c r="B1407">
        <v>2200</v>
      </c>
      <c r="C1407" t="s">
        <v>288</v>
      </c>
      <c r="D1407" t="s">
        <v>2893</v>
      </c>
      <c r="E1407">
        <v>91</v>
      </c>
      <c r="G1407" t="s">
        <v>77</v>
      </c>
      <c r="H1407" t="s">
        <v>2709</v>
      </c>
      <c r="I1407" t="s">
        <v>288</v>
      </c>
      <c r="J1407" t="s">
        <v>288</v>
      </c>
      <c r="K1407" t="s">
        <v>77</v>
      </c>
      <c r="M1407" t="b">
        <v>1</v>
      </c>
      <c r="N1407" t="s">
        <v>42</v>
      </c>
      <c r="O1407" t="s">
        <v>33</v>
      </c>
      <c r="Q1407">
        <v>180.44</v>
      </c>
      <c r="R1407">
        <v>7.7</v>
      </c>
      <c r="S1407" t="s">
        <v>81</v>
      </c>
      <c r="T1407">
        <v>28.1</v>
      </c>
      <c r="V1407">
        <v>113</v>
      </c>
      <c r="W1407">
        <v>69.400000000000006</v>
      </c>
      <c r="X1407">
        <v>11.2</v>
      </c>
      <c r="Y1407">
        <v>49.7</v>
      </c>
      <c r="Z1407">
        <v>1366417754</v>
      </c>
      <c r="AA1407">
        <v>20.593684</v>
      </c>
      <c r="AB1407">
        <v>78.962879999999998</v>
      </c>
    </row>
    <row r="1408" spans="1:28" hidden="1">
      <c r="A1408">
        <v>1368</v>
      </c>
      <c r="B1408">
        <v>2200</v>
      </c>
      <c r="C1408" t="s">
        <v>478</v>
      </c>
      <c r="D1408" t="s">
        <v>2894</v>
      </c>
      <c r="E1408">
        <v>87</v>
      </c>
      <c r="G1408" t="s">
        <v>38</v>
      </c>
      <c r="H1408" t="s">
        <v>307</v>
      </c>
      <c r="I1408" t="s">
        <v>2895</v>
      </c>
      <c r="J1408" t="s">
        <v>478</v>
      </c>
      <c r="K1408" t="s">
        <v>38</v>
      </c>
      <c r="M1408" t="b">
        <v>1</v>
      </c>
      <c r="N1408" t="s">
        <v>32</v>
      </c>
      <c r="O1408" t="s">
        <v>33</v>
      </c>
      <c r="Q1408">
        <v>117.24</v>
      </c>
      <c r="R1408">
        <v>7.5</v>
      </c>
      <c r="S1408" t="s">
        <v>44</v>
      </c>
      <c r="T1408">
        <v>88.2</v>
      </c>
      <c r="V1408">
        <v>101.8</v>
      </c>
      <c r="W1408">
        <v>78.5</v>
      </c>
      <c r="X1408">
        <v>9.6</v>
      </c>
      <c r="Y1408">
        <v>36.6</v>
      </c>
      <c r="Z1408">
        <v>328239523</v>
      </c>
      <c r="AA1408">
        <v>37.090240000000001</v>
      </c>
      <c r="AB1408">
        <v>-95.712890999999999</v>
      </c>
    </row>
    <row r="1409" spans="1:28" hidden="1">
      <c r="A1409">
        <v>1368</v>
      </c>
      <c r="B1409">
        <v>2200</v>
      </c>
      <c r="C1409" t="s">
        <v>45</v>
      </c>
      <c r="D1409" t="s">
        <v>2896</v>
      </c>
      <c r="E1409">
        <v>52</v>
      </c>
      <c r="G1409" t="s">
        <v>38</v>
      </c>
      <c r="H1409" t="s">
        <v>2897</v>
      </c>
      <c r="I1409" t="s">
        <v>2898</v>
      </c>
      <c r="J1409" t="s">
        <v>45</v>
      </c>
      <c r="K1409" t="s">
        <v>38</v>
      </c>
      <c r="M1409" t="b">
        <v>1</v>
      </c>
      <c r="N1409" t="s">
        <v>42</v>
      </c>
      <c r="O1409" t="s">
        <v>33</v>
      </c>
      <c r="Q1409">
        <v>117.24</v>
      </c>
      <c r="R1409">
        <v>7.5</v>
      </c>
      <c r="S1409" t="s">
        <v>44</v>
      </c>
      <c r="T1409">
        <v>88.2</v>
      </c>
      <c r="V1409">
        <v>101.8</v>
      </c>
      <c r="W1409">
        <v>78.5</v>
      </c>
      <c r="X1409">
        <v>9.6</v>
      </c>
      <c r="Y1409">
        <v>36.6</v>
      </c>
      <c r="Z1409">
        <v>328239523</v>
      </c>
      <c r="AA1409">
        <v>37.090240000000001</v>
      </c>
      <c r="AB1409">
        <v>-95.712890999999999</v>
      </c>
    </row>
    <row r="1410" spans="1:28" hidden="1">
      <c r="A1410">
        <v>1368</v>
      </c>
      <c r="B1410">
        <v>2200</v>
      </c>
      <c r="C1410" t="s">
        <v>26</v>
      </c>
      <c r="D1410" t="s">
        <v>2899</v>
      </c>
      <c r="E1410">
        <v>84</v>
      </c>
      <c r="G1410" t="s">
        <v>156</v>
      </c>
      <c r="H1410" t="s">
        <v>211</v>
      </c>
      <c r="I1410" t="s">
        <v>2335</v>
      </c>
      <c r="J1410" t="s">
        <v>26</v>
      </c>
      <c r="K1410" t="s">
        <v>156</v>
      </c>
      <c r="M1410" t="b">
        <v>1</v>
      </c>
      <c r="N1410" t="s">
        <v>32</v>
      </c>
      <c r="O1410" t="s">
        <v>33</v>
      </c>
      <c r="Q1410">
        <v>99.55</v>
      </c>
      <c r="R1410">
        <v>0.4</v>
      </c>
      <c r="S1410" t="s">
        <v>159</v>
      </c>
      <c r="T1410">
        <v>59.6</v>
      </c>
      <c r="V1410">
        <v>105.2</v>
      </c>
      <c r="W1410">
        <v>83.6</v>
      </c>
      <c r="X1410">
        <v>10.1</v>
      </c>
      <c r="Y1410">
        <v>28.8</v>
      </c>
      <c r="Z1410">
        <v>8574832</v>
      </c>
      <c r="AA1410">
        <v>46.818187999999999</v>
      </c>
      <c r="AB1410">
        <v>8.2275120000000008</v>
      </c>
    </row>
    <row r="1411" spans="1:28" hidden="1">
      <c r="A1411">
        <v>1368</v>
      </c>
      <c r="B1411">
        <v>2200</v>
      </c>
      <c r="C1411" t="s">
        <v>288</v>
      </c>
      <c r="D1411" t="s">
        <v>2900</v>
      </c>
      <c r="E1411">
        <v>96</v>
      </c>
      <c r="G1411" t="s">
        <v>38</v>
      </c>
      <c r="H1411" t="s">
        <v>2901</v>
      </c>
      <c r="I1411" t="s">
        <v>1198</v>
      </c>
      <c r="J1411" t="s">
        <v>288</v>
      </c>
      <c r="K1411" t="s">
        <v>38</v>
      </c>
      <c r="M1411" t="b">
        <v>1</v>
      </c>
      <c r="N1411" t="s">
        <v>32</v>
      </c>
      <c r="O1411" t="s">
        <v>88</v>
      </c>
      <c r="Q1411">
        <v>117.24</v>
      </c>
      <c r="R1411">
        <v>7.5</v>
      </c>
      <c r="S1411" t="s">
        <v>44</v>
      </c>
      <c r="T1411">
        <v>88.2</v>
      </c>
      <c r="V1411">
        <v>101.8</v>
      </c>
      <c r="W1411">
        <v>78.5</v>
      </c>
      <c r="X1411">
        <v>9.6</v>
      </c>
      <c r="Y1411">
        <v>36.6</v>
      </c>
      <c r="Z1411">
        <v>328239523</v>
      </c>
      <c r="AA1411">
        <v>37.090240000000001</v>
      </c>
      <c r="AB1411">
        <v>-95.712890999999999</v>
      </c>
    </row>
    <row r="1412" spans="1:28" hidden="1">
      <c r="A1412">
        <v>1368</v>
      </c>
      <c r="B1412">
        <v>2200</v>
      </c>
      <c r="C1412" t="s">
        <v>45</v>
      </c>
      <c r="D1412" t="s">
        <v>2902</v>
      </c>
      <c r="E1412">
        <v>43</v>
      </c>
      <c r="G1412" t="s">
        <v>127</v>
      </c>
      <c r="I1412" t="s">
        <v>572</v>
      </c>
      <c r="J1412" t="s">
        <v>45</v>
      </c>
      <c r="K1412" t="s">
        <v>127</v>
      </c>
      <c r="M1412" t="b">
        <v>1</v>
      </c>
      <c r="N1412" t="s">
        <v>42</v>
      </c>
      <c r="O1412" t="s">
        <v>33</v>
      </c>
      <c r="Q1412">
        <v>116.76</v>
      </c>
      <c r="R1412">
        <v>1.9</v>
      </c>
      <c r="S1412" t="s">
        <v>132</v>
      </c>
      <c r="T1412">
        <v>68.900000000000006</v>
      </c>
      <c r="V1412">
        <v>100.9</v>
      </c>
      <c r="W1412">
        <v>81.900000000000006</v>
      </c>
      <c r="X1412">
        <v>12.8</v>
      </c>
      <c r="Y1412">
        <v>24.5</v>
      </c>
      <c r="Z1412">
        <v>36991981</v>
      </c>
      <c r="AA1412">
        <v>56.130366000000002</v>
      </c>
      <c r="AB1412">
        <v>-106.346771</v>
      </c>
    </row>
    <row r="1413" spans="1:28">
      <c r="A1413">
        <v>1368</v>
      </c>
      <c r="B1413">
        <v>2200</v>
      </c>
      <c r="C1413" t="s">
        <v>45</v>
      </c>
      <c r="D1413" t="s">
        <v>2903</v>
      </c>
      <c r="E1413">
        <v>66</v>
      </c>
      <c r="F1413" t="str">
        <f>IF(E1413&gt;=90,"90-100",IF(E1413&gt;=80,"80-90",IF(E1413&gt;=70,"70-80",IF(E1413&gt;=60,"60-70",IF(E1413&gt;=50,"50-60",IF(E1413&gt;=40,"40-50",IF(E1413&gt;=30,"30-40","20-30")))))))</f>
        <v>60-70</v>
      </c>
      <c r="G1413" t="s">
        <v>38</v>
      </c>
      <c r="H1413" t="s">
        <v>2904</v>
      </c>
      <c r="I1413" t="s">
        <v>2905</v>
      </c>
      <c r="J1413" t="s">
        <v>45</v>
      </c>
      <c r="K1413" t="s">
        <v>38</v>
      </c>
      <c r="L1413" t="s">
        <v>2906</v>
      </c>
      <c r="M1413" t="b">
        <v>1</v>
      </c>
      <c r="N1413" t="s">
        <v>42</v>
      </c>
      <c r="O1413" t="s">
        <v>4867</v>
      </c>
      <c r="P1413" t="s">
        <v>468</v>
      </c>
      <c r="Q1413">
        <v>117.24</v>
      </c>
      <c r="R1413">
        <v>7.5</v>
      </c>
      <c r="S1413" t="s">
        <v>44</v>
      </c>
      <c r="T1413">
        <v>88.2</v>
      </c>
      <c r="U1413" t="str">
        <f>IF(T1413&gt;=100,"above 100",IF(T1413&gt;=80,"80-100",IF(T1413&gt;=60,"60-80",IF(T1413&gt;=40,"40-60",IF(T1413&gt;=20,"20-60","0-20")))))</f>
        <v>80-100</v>
      </c>
      <c r="V1413">
        <v>101.8</v>
      </c>
      <c r="W1413">
        <v>78.5</v>
      </c>
      <c r="X1413">
        <v>9.6</v>
      </c>
      <c r="Y1413">
        <v>36.6</v>
      </c>
      <c r="Z1413">
        <v>328239523</v>
      </c>
      <c r="AA1413">
        <v>37.090240000000001</v>
      </c>
      <c r="AB1413">
        <v>-95.712890999999999</v>
      </c>
    </row>
    <row r="1414" spans="1:28" hidden="1">
      <c r="A1414">
        <v>1368</v>
      </c>
      <c r="B1414">
        <v>2200</v>
      </c>
      <c r="C1414" t="s">
        <v>221</v>
      </c>
      <c r="D1414" t="s">
        <v>2907</v>
      </c>
      <c r="E1414">
        <v>55</v>
      </c>
      <c r="G1414" t="s">
        <v>38</v>
      </c>
      <c r="H1414" t="s">
        <v>2908</v>
      </c>
      <c r="I1414" t="s">
        <v>223</v>
      </c>
      <c r="J1414" t="s">
        <v>221</v>
      </c>
      <c r="K1414" t="s">
        <v>38</v>
      </c>
      <c r="M1414" t="b">
        <v>0</v>
      </c>
      <c r="N1414" t="s">
        <v>192</v>
      </c>
      <c r="O1414" t="s">
        <v>33</v>
      </c>
      <c r="Q1414">
        <v>117.24</v>
      </c>
      <c r="R1414">
        <v>7.5</v>
      </c>
      <c r="S1414" t="s">
        <v>44</v>
      </c>
      <c r="T1414">
        <v>88.2</v>
      </c>
      <c r="V1414">
        <v>101.8</v>
      </c>
      <c r="W1414">
        <v>78.5</v>
      </c>
      <c r="X1414">
        <v>9.6</v>
      </c>
      <c r="Y1414">
        <v>36.6</v>
      </c>
      <c r="Z1414">
        <v>328239523</v>
      </c>
      <c r="AA1414">
        <v>37.090240000000001</v>
      </c>
      <c r="AB1414">
        <v>-95.712890999999999</v>
      </c>
    </row>
    <row r="1415" spans="1:28" hidden="1">
      <c r="A1415">
        <v>1368</v>
      </c>
      <c r="B1415">
        <v>2200</v>
      </c>
      <c r="C1415" t="s">
        <v>45</v>
      </c>
      <c r="D1415" t="s">
        <v>2909</v>
      </c>
      <c r="E1415">
        <v>67</v>
      </c>
      <c r="G1415" t="s">
        <v>38</v>
      </c>
      <c r="H1415" t="s">
        <v>2910</v>
      </c>
      <c r="I1415" t="s">
        <v>572</v>
      </c>
      <c r="J1415" t="s">
        <v>45</v>
      </c>
      <c r="K1415" t="s">
        <v>38</v>
      </c>
      <c r="M1415" t="b">
        <v>1</v>
      </c>
      <c r="N1415" t="s">
        <v>42</v>
      </c>
      <c r="O1415" t="s">
        <v>33</v>
      </c>
      <c r="Q1415">
        <v>117.24</v>
      </c>
      <c r="R1415">
        <v>7.5</v>
      </c>
      <c r="S1415" t="s">
        <v>44</v>
      </c>
      <c r="T1415">
        <v>88.2</v>
      </c>
      <c r="V1415">
        <v>101.8</v>
      </c>
      <c r="W1415">
        <v>78.5</v>
      </c>
      <c r="X1415">
        <v>9.6</v>
      </c>
      <c r="Y1415">
        <v>36.6</v>
      </c>
      <c r="Z1415">
        <v>328239523</v>
      </c>
      <c r="AA1415">
        <v>37.090240000000001</v>
      </c>
      <c r="AB1415">
        <v>-95.712890999999999</v>
      </c>
    </row>
    <row r="1416" spans="1:28">
      <c r="A1416">
        <v>1368</v>
      </c>
      <c r="B1416">
        <v>2200</v>
      </c>
      <c r="C1416" t="s">
        <v>54</v>
      </c>
      <c r="D1416" t="s">
        <v>2911</v>
      </c>
      <c r="E1416">
        <v>65</v>
      </c>
      <c r="F1416" t="str">
        <f>IF(E1416&gt;=90,"90-100",IF(E1416&gt;=80,"80-90",IF(E1416&gt;=70,"70-80",IF(E1416&gt;=60,"60-70",IF(E1416&gt;=50,"50-60",IF(E1416&gt;=40,"40-50",IF(E1416&gt;=30,"30-40","20-30")))))))</f>
        <v>60-70</v>
      </c>
      <c r="G1416" t="s">
        <v>38</v>
      </c>
      <c r="H1416" t="s">
        <v>65</v>
      </c>
      <c r="I1416" t="s">
        <v>185</v>
      </c>
      <c r="J1416" t="s">
        <v>54</v>
      </c>
      <c r="K1416" t="s">
        <v>38</v>
      </c>
      <c r="L1416" t="s">
        <v>2912</v>
      </c>
      <c r="M1416" t="b">
        <v>1</v>
      </c>
      <c r="N1416" t="s">
        <v>32</v>
      </c>
      <c r="O1416" t="s">
        <v>4867</v>
      </c>
      <c r="P1416" t="s">
        <v>146</v>
      </c>
      <c r="Q1416">
        <v>117.24</v>
      </c>
      <c r="R1416">
        <v>7.5</v>
      </c>
      <c r="S1416" t="s">
        <v>44</v>
      </c>
      <c r="T1416">
        <v>88.2</v>
      </c>
      <c r="U1416" t="str">
        <f>IF(T1416&gt;=100,"above 100",IF(T1416&gt;=80,"80-100",IF(T1416&gt;=60,"60-80",IF(T1416&gt;=40,"40-60",IF(T1416&gt;=20,"20-60","0-20")))))</f>
        <v>80-100</v>
      </c>
      <c r="V1416">
        <v>101.8</v>
      </c>
      <c r="W1416">
        <v>78.5</v>
      </c>
      <c r="X1416">
        <v>9.6</v>
      </c>
      <c r="Y1416">
        <v>36.6</v>
      </c>
      <c r="Z1416">
        <v>328239523</v>
      </c>
      <c r="AA1416">
        <v>37.090240000000001</v>
      </c>
      <c r="AB1416">
        <v>-95.712890999999999</v>
      </c>
    </row>
    <row r="1417" spans="1:28" hidden="1">
      <c r="A1417">
        <v>1368</v>
      </c>
      <c r="B1417">
        <v>2200</v>
      </c>
      <c r="C1417" t="s">
        <v>75</v>
      </c>
      <c r="D1417" t="s">
        <v>2913</v>
      </c>
      <c r="E1417">
        <v>63</v>
      </c>
      <c r="G1417" t="s">
        <v>726</v>
      </c>
      <c r="H1417" t="s">
        <v>727</v>
      </c>
      <c r="I1417" t="s">
        <v>75</v>
      </c>
      <c r="J1417" t="s">
        <v>75</v>
      </c>
      <c r="K1417" t="s">
        <v>726</v>
      </c>
      <c r="M1417" t="b">
        <v>0</v>
      </c>
      <c r="N1417" t="s">
        <v>42</v>
      </c>
      <c r="O1417" t="s">
        <v>33</v>
      </c>
      <c r="Q1417">
        <v>129.61000000000001</v>
      </c>
      <c r="R1417">
        <v>2.5</v>
      </c>
      <c r="S1417" t="s">
        <v>728</v>
      </c>
      <c r="T1417">
        <v>35.5</v>
      </c>
      <c r="V1417">
        <v>107.5</v>
      </c>
      <c r="W1417">
        <v>71.099999999999994</v>
      </c>
      <c r="X1417">
        <v>14</v>
      </c>
      <c r="Y1417">
        <v>43.1</v>
      </c>
      <c r="Z1417">
        <v>108116615</v>
      </c>
      <c r="AA1417">
        <v>12.879721</v>
      </c>
      <c r="AB1417">
        <v>121.774017</v>
      </c>
    </row>
    <row r="1418" spans="1:28" hidden="1">
      <c r="A1418">
        <v>1368</v>
      </c>
      <c r="B1418">
        <v>2200</v>
      </c>
      <c r="C1418" t="s">
        <v>75</v>
      </c>
      <c r="D1418" t="s">
        <v>2914</v>
      </c>
      <c r="E1418">
        <v>72</v>
      </c>
      <c r="G1418" t="s">
        <v>726</v>
      </c>
      <c r="H1418" t="s">
        <v>727</v>
      </c>
      <c r="I1418" t="s">
        <v>75</v>
      </c>
      <c r="J1418" t="s">
        <v>75</v>
      </c>
      <c r="K1418" t="s">
        <v>726</v>
      </c>
      <c r="M1418" t="b">
        <v>0</v>
      </c>
      <c r="N1418" t="s">
        <v>42</v>
      </c>
      <c r="O1418" t="s">
        <v>88</v>
      </c>
      <c r="Q1418">
        <v>129.61000000000001</v>
      </c>
      <c r="R1418">
        <v>2.5</v>
      </c>
      <c r="S1418" t="s">
        <v>728</v>
      </c>
      <c r="T1418">
        <v>35.5</v>
      </c>
      <c r="V1418">
        <v>107.5</v>
      </c>
      <c r="W1418">
        <v>71.099999999999994</v>
      </c>
      <c r="X1418">
        <v>14</v>
      </c>
      <c r="Y1418">
        <v>43.1</v>
      </c>
      <c r="Z1418">
        <v>108116615</v>
      </c>
      <c r="AA1418">
        <v>12.879721</v>
      </c>
      <c r="AB1418">
        <v>121.774017</v>
      </c>
    </row>
    <row r="1419" spans="1:28" hidden="1">
      <c r="A1419">
        <v>1368</v>
      </c>
      <c r="B1419">
        <v>2200</v>
      </c>
      <c r="C1419" t="s">
        <v>221</v>
      </c>
      <c r="D1419" t="s">
        <v>2915</v>
      </c>
      <c r="E1419">
        <v>77</v>
      </c>
      <c r="G1419" t="s">
        <v>198</v>
      </c>
      <c r="H1419" t="s">
        <v>199</v>
      </c>
      <c r="I1419" t="s">
        <v>223</v>
      </c>
      <c r="J1419" t="s">
        <v>221</v>
      </c>
      <c r="K1419" t="s">
        <v>198</v>
      </c>
      <c r="M1419" t="b">
        <v>1</v>
      </c>
      <c r="N1419" t="s">
        <v>42</v>
      </c>
      <c r="O1419" t="s">
        <v>33</v>
      </c>
      <c r="Q1419">
        <v>105.48</v>
      </c>
      <c r="R1419">
        <v>0.5</v>
      </c>
      <c r="S1419" t="s">
        <v>201</v>
      </c>
      <c r="T1419">
        <v>63.2</v>
      </c>
      <c r="V1419">
        <v>98.8</v>
      </c>
      <c r="W1419">
        <v>84.2</v>
      </c>
      <c r="X1419">
        <v>11.9</v>
      </c>
      <c r="Y1419">
        <v>46.7</v>
      </c>
      <c r="Z1419">
        <v>126226568</v>
      </c>
      <c r="AA1419">
        <v>36.204824000000002</v>
      </c>
      <c r="AB1419">
        <v>138.25292400000001</v>
      </c>
    </row>
    <row r="1420" spans="1:28" hidden="1">
      <c r="A1420">
        <v>1368</v>
      </c>
      <c r="B1420">
        <v>2200</v>
      </c>
      <c r="C1420" t="s">
        <v>217</v>
      </c>
      <c r="D1420" t="s">
        <v>2916</v>
      </c>
      <c r="E1420">
        <v>67</v>
      </c>
      <c r="G1420" t="s">
        <v>103</v>
      </c>
      <c r="H1420" t="s">
        <v>1248</v>
      </c>
      <c r="I1420" t="s">
        <v>1249</v>
      </c>
      <c r="J1420" t="s">
        <v>217</v>
      </c>
      <c r="K1420" t="s">
        <v>103</v>
      </c>
      <c r="M1420" t="b">
        <v>1</v>
      </c>
      <c r="N1420" t="s">
        <v>42</v>
      </c>
      <c r="O1420" t="s">
        <v>33</v>
      </c>
      <c r="Q1420">
        <v>125.08</v>
      </c>
      <c r="R1420">
        <v>2.9</v>
      </c>
      <c r="S1420" t="s">
        <v>106</v>
      </c>
      <c r="T1420">
        <v>50.6</v>
      </c>
      <c r="V1420">
        <v>100.2</v>
      </c>
      <c r="W1420">
        <v>77</v>
      </c>
      <c r="X1420">
        <v>9.4</v>
      </c>
      <c r="Y1420">
        <v>59.2</v>
      </c>
      <c r="Z1420">
        <v>1397715000</v>
      </c>
      <c r="AA1420">
        <v>35.861660000000001</v>
      </c>
      <c r="AB1420">
        <v>104.195397</v>
      </c>
    </row>
    <row r="1421" spans="1:28" hidden="1">
      <c r="A1421">
        <v>1368</v>
      </c>
      <c r="B1421">
        <v>2200</v>
      </c>
      <c r="C1421" t="s">
        <v>45</v>
      </c>
      <c r="D1421" t="s">
        <v>2917</v>
      </c>
      <c r="E1421">
        <v>55</v>
      </c>
      <c r="G1421" t="s">
        <v>103</v>
      </c>
      <c r="H1421" t="s">
        <v>215</v>
      </c>
      <c r="I1421" t="s">
        <v>572</v>
      </c>
      <c r="J1421" t="s">
        <v>45</v>
      </c>
      <c r="K1421" t="s">
        <v>172</v>
      </c>
      <c r="M1421" t="b">
        <v>1</v>
      </c>
      <c r="N1421" t="s">
        <v>42</v>
      </c>
      <c r="O1421" t="s">
        <v>33</v>
      </c>
      <c r="Q1421">
        <v>125.08</v>
      </c>
      <c r="R1421">
        <v>2.9</v>
      </c>
      <c r="S1421" t="s">
        <v>106</v>
      </c>
      <c r="T1421">
        <v>50.6</v>
      </c>
      <c r="V1421">
        <v>100.2</v>
      </c>
      <c r="W1421">
        <v>77</v>
      </c>
      <c r="X1421">
        <v>9.4</v>
      </c>
      <c r="Y1421">
        <v>59.2</v>
      </c>
      <c r="Z1421">
        <v>1397715000</v>
      </c>
      <c r="AA1421">
        <v>35.861660000000001</v>
      </c>
      <c r="AB1421">
        <v>104.195397</v>
      </c>
    </row>
    <row r="1422" spans="1:28" hidden="1">
      <c r="A1422">
        <v>1368</v>
      </c>
      <c r="B1422">
        <v>2200</v>
      </c>
      <c r="C1422" t="s">
        <v>26</v>
      </c>
      <c r="D1422" t="s">
        <v>2918</v>
      </c>
      <c r="E1422">
        <v>73</v>
      </c>
      <c r="G1422" t="s">
        <v>397</v>
      </c>
      <c r="H1422" t="s">
        <v>398</v>
      </c>
      <c r="I1422" t="s">
        <v>399</v>
      </c>
      <c r="J1422" t="s">
        <v>26</v>
      </c>
      <c r="K1422" t="s">
        <v>397</v>
      </c>
      <c r="M1422" t="b">
        <v>0</v>
      </c>
      <c r="N1422" t="s">
        <v>42</v>
      </c>
      <c r="O1422" t="s">
        <v>88</v>
      </c>
      <c r="Q1422">
        <v>110.51</v>
      </c>
      <c r="R1422">
        <v>1.8</v>
      </c>
      <c r="S1422" t="s">
        <v>401</v>
      </c>
      <c r="T1422">
        <v>67</v>
      </c>
      <c r="V1422">
        <v>126.6</v>
      </c>
      <c r="W1422">
        <v>82.5</v>
      </c>
      <c r="X1422">
        <v>27.9</v>
      </c>
      <c r="Y1422">
        <v>49.1</v>
      </c>
      <c r="Z1422">
        <v>10285453</v>
      </c>
      <c r="AA1422">
        <v>60.128160999999999</v>
      </c>
      <c r="AB1422">
        <v>18.643501000000001</v>
      </c>
    </row>
    <row r="1423" spans="1:28" hidden="1">
      <c r="A1423">
        <v>1368</v>
      </c>
      <c r="B1423">
        <v>2200</v>
      </c>
      <c r="C1423" t="s">
        <v>288</v>
      </c>
      <c r="D1423" t="s">
        <v>2919</v>
      </c>
      <c r="E1423">
        <v>46</v>
      </c>
      <c r="G1423" t="s">
        <v>260</v>
      </c>
      <c r="H1423" t="s">
        <v>1291</v>
      </c>
      <c r="I1423" t="s">
        <v>288</v>
      </c>
      <c r="J1423" t="s">
        <v>288</v>
      </c>
      <c r="K1423" t="s">
        <v>77</v>
      </c>
      <c r="M1423" t="b">
        <v>0</v>
      </c>
      <c r="N1423" t="s">
        <v>853</v>
      </c>
      <c r="O1423" t="s">
        <v>33</v>
      </c>
      <c r="Q1423">
        <v>114.52</v>
      </c>
      <c r="R1423">
        <v>-1.9</v>
      </c>
      <c r="S1423" t="s">
        <v>264</v>
      </c>
      <c r="T1423">
        <v>36.799999999999997</v>
      </c>
      <c r="V1423">
        <v>108.4</v>
      </c>
      <c r="W1423">
        <v>77.8</v>
      </c>
      <c r="X1423">
        <v>0.1</v>
      </c>
      <c r="Y1423">
        <v>15.9</v>
      </c>
      <c r="Z1423">
        <v>9770529</v>
      </c>
      <c r="AA1423">
        <v>23.424075999999999</v>
      </c>
      <c r="AB1423">
        <v>53.847817999999997</v>
      </c>
    </row>
    <row r="1424" spans="1:28" hidden="1">
      <c r="A1424">
        <v>1368</v>
      </c>
      <c r="B1424">
        <v>2200</v>
      </c>
      <c r="C1424" t="s">
        <v>45</v>
      </c>
      <c r="D1424" t="s">
        <v>2920</v>
      </c>
      <c r="E1424">
        <v>50</v>
      </c>
      <c r="G1424" t="s">
        <v>77</v>
      </c>
      <c r="H1424" t="s">
        <v>2709</v>
      </c>
      <c r="I1424" t="s">
        <v>577</v>
      </c>
      <c r="J1424" t="s">
        <v>45</v>
      </c>
      <c r="K1424" t="s">
        <v>77</v>
      </c>
      <c r="M1424" t="b">
        <v>0</v>
      </c>
      <c r="N1424" t="s">
        <v>32</v>
      </c>
      <c r="O1424" t="s">
        <v>88</v>
      </c>
      <c r="Q1424">
        <v>180.44</v>
      </c>
      <c r="R1424">
        <v>7.7</v>
      </c>
      <c r="S1424" t="s">
        <v>81</v>
      </c>
      <c r="T1424">
        <v>28.1</v>
      </c>
      <c r="V1424">
        <v>113</v>
      </c>
      <c r="W1424">
        <v>69.400000000000006</v>
      </c>
      <c r="X1424">
        <v>11.2</v>
      </c>
      <c r="Y1424">
        <v>49.7</v>
      </c>
      <c r="Z1424">
        <v>1366417754</v>
      </c>
      <c r="AA1424">
        <v>20.593684</v>
      </c>
      <c r="AB1424">
        <v>78.962879999999998</v>
      </c>
    </row>
    <row r="1425" spans="1:28" hidden="1">
      <c r="A1425">
        <v>1368</v>
      </c>
      <c r="B1425">
        <v>2200</v>
      </c>
      <c r="C1425" t="s">
        <v>26</v>
      </c>
      <c r="D1425" t="s">
        <v>2921</v>
      </c>
      <c r="E1425">
        <v>66</v>
      </c>
      <c r="G1425" t="s">
        <v>103</v>
      </c>
      <c r="H1425" t="s">
        <v>791</v>
      </c>
      <c r="I1425" t="s">
        <v>792</v>
      </c>
      <c r="J1425" t="s">
        <v>26</v>
      </c>
      <c r="K1425" t="s">
        <v>103</v>
      </c>
      <c r="M1425" t="b">
        <v>1</v>
      </c>
      <c r="N1425" t="s">
        <v>32</v>
      </c>
      <c r="O1425" t="s">
        <v>33</v>
      </c>
      <c r="Q1425">
        <v>125.08</v>
      </c>
      <c r="R1425">
        <v>2.9</v>
      </c>
      <c r="S1425" t="s">
        <v>106</v>
      </c>
      <c r="T1425">
        <v>50.6</v>
      </c>
      <c r="V1425">
        <v>100.2</v>
      </c>
      <c r="W1425">
        <v>77</v>
      </c>
      <c r="X1425">
        <v>9.4</v>
      </c>
      <c r="Y1425">
        <v>59.2</v>
      </c>
      <c r="Z1425">
        <v>1397715000</v>
      </c>
      <c r="AA1425">
        <v>35.861660000000001</v>
      </c>
      <c r="AB1425">
        <v>104.195397</v>
      </c>
    </row>
    <row r="1426" spans="1:28" hidden="1">
      <c r="A1426">
        <v>1368</v>
      </c>
      <c r="B1426">
        <v>2200</v>
      </c>
      <c r="C1426" t="s">
        <v>308</v>
      </c>
      <c r="D1426" t="s">
        <v>2922</v>
      </c>
      <c r="E1426">
        <v>78</v>
      </c>
      <c r="G1426" t="s">
        <v>103</v>
      </c>
      <c r="H1426" t="s">
        <v>215</v>
      </c>
      <c r="I1426" t="s">
        <v>2923</v>
      </c>
      <c r="J1426" t="s">
        <v>308</v>
      </c>
      <c r="K1426" t="s">
        <v>103</v>
      </c>
      <c r="M1426" t="b">
        <v>1</v>
      </c>
      <c r="N1426" t="s">
        <v>32</v>
      </c>
      <c r="O1426" t="s">
        <v>33</v>
      </c>
      <c r="Q1426">
        <v>125.08</v>
      </c>
      <c r="R1426">
        <v>2.9</v>
      </c>
      <c r="S1426" t="s">
        <v>106</v>
      </c>
      <c r="T1426">
        <v>50.6</v>
      </c>
      <c r="V1426">
        <v>100.2</v>
      </c>
      <c r="W1426">
        <v>77</v>
      </c>
      <c r="X1426">
        <v>9.4</v>
      </c>
      <c r="Y1426">
        <v>59.2</v>
      </c>
      <c r="Z1426">
        <v>1397715000</v>
      </c>
      <c r="AA1426">
        <v>35.861660000000001</v>
      </c>
      <c r="AB1426">
        <v>104.195397</v>
      </c>
    </row>
    <row r="1427" spans="1:28" hidden="1">
      <c r="A1427">
        <v>1368</v>
      </c>
      <c r="B1427">
        <v>2200</v>
      </c>
      <c r="C1427" t="s">
        <v>101</v>
      </c>
      <c r="D1427" t="s">
        <v>2924</v>
      </c>
      <c r="E1427">
        <v>65</v>
      </c>
      <c r="G1427" t="s">
        <v>342</v>
      </c>
      <c r="I1427" t="s">
        <v>2925</v>
      </c>
      <c r="J1427" t="s">
        <v>101</v>
      </c>
      <c r="K1427" t="s">
        <v>342</v>
      </c>
      <c r="M1427" t="b">
        <v>0</v>
      </c>
      <c r="N1427" t="s">
        <v>42</v>
      </c>
      <c r="O1427" t="s">
        <v>33</v>
      </c>
      <c r="Q1427">
        <v>108.15</v>
      </c>
      <c r="R1427">
        <v>0.8</v>
      </c>
      <c r="S1427" t="s">
        <v>532</v>
      </c>
      <c r="T1427">
        <v>63.4</v>
      </c>
      <c r="V1427">
        <v>104.9</v>
      </c>
      <c r="W1427">
        <v>82.8</v>
      </c>
      <c r="X1427">
        <v>23.1</v>
      </c>
      <c r="Y1427">
        <v>25.3</v>
      </c>
      <c r="Z1427">
        <v>9053300</v>
      </c>
      <c r="AA1427">
        <v>31.046050999999999</v>
      </c>
      <c r="AB1427">
        <v>34.851612000000003</v>
      </c>
    </row>
    <row r="1428" spans="1:28" hidden="1">
      <c r="A1428">
        <v>1368</v>
      </c>
      <c r="B1428">
        <v>2200</v>
      </c>
      <c r="C1428" t="s">
        <v>250</v>
      </c>
      <c r="D1428" t="s">
        <v>2926</v>
      </c>
      <c r="E1428">
        <v>55</v>
      </c>
      <c r="G1428" t="s">
        <v>103</v>
      </c>
      <c r="H1428" t="s">
        <v>195</v>
      </c>
      <c r="I1428" t="s">
        <v>196</v>
      </c>
      <c r="J1428" t="s">
        <v>250</v>
      </c>
      <c r="K1428" t="s">
        <v>103</v>
      </c>
      <c r="M1428" t="b">
        <v>1</v>
      </c>
      <c r="N1428" t="s">
        <v>42</v>
      </c>
      <c r="O1428" t="s">
        <v>33</v>
      </c>
      <c r="Q1428">
        <v>125.08</v>
      </c>
      <c r="R1428">
        <v>2.9</v>
      </c>
      <c r="S1428" t="s">
        <v>106</v>
      </c>
      <c r="T1428">
        <v>50.6</v>
      </c>
      <c r="V1428">
        <v>100.2</v>
      </c>
      <c r="W1428">
        <v>77</v>
      </c>
      <c r="X1428">
        <v>9.4</v>
      </c>
      <c r="Y1428">
        <v>59.2</v>
      </c>
      <c r="Z1428">
        <v>1397715000</v>
      </c>
      <c r="AA1428">
        <v>35.861660000000001</v>
      </c>
      <c r="AB1428">
        <v>104.195397</v>
      </c>
    </row>
    <row r="1429" spans="1:28" hidden="1">
      <c r="A1429">
        <v>1368</v>
      </c>
      <c r="B1429">
        <v>2200</v>
      </c>
      <c r="C1429" t="s">
        <v>101</v>
      </c>
      <c r="D1429" t="s">
        <v>2927</v>
      </c>
      <c r="E1429">
        <v>55</v>
      </c>
      <c r="G1429" t="s">
        <v>103</v>
      </c>
      <c r="H1429" t="s">
        <v>489</v>
      </c>
      <c r="I1429" t="s">
        <v>522</v>
      </c>
      <c r="J1429" t="s">
        <v>101</v>
      </c>
      <c r="K1429" t="s">
        <v>103</v>
      </c>
      <c r="M1429" t="b">
        <v>1</v>
      </c>
      <c r="N1429" t="s">
        <v>42</v>
      </c>
      <c r="O1429" t="s">
        <v>33</v>
      </c>
      <c r="Q1429">
        <v>125.08</v>
      </c>
      <c r="R1429">
        <v>2.9</v>
      </c>
      <c r="S1429" t="s">
        <v>106</v>
      </c>
      <c r="T1429">
        <v>50.6</v>
      </c>
      <c r="V1429">
        <v>100.2</v>
      </c>
      <c r="W1429">
        <v>77</v>
      </c>
      <c r="X1429">
        <v>9.4</v>
      </c>
      <c r="Y1429">
        <v>59.2</v>
      </c>
      <c r="Z1429">
        <v>1397715000</v>
      </c>
      <c r="AA1429">
        <v>35.861660000000001</v>
      </c>
      <c r="AB1429">
        <v>104.195397</v>
      </c>
    </row>
    <row r="1430" spans="1:28" hidden="1">
      <c r="A1430">
        <v>1368</v>
      </c>
      <c r="B1430">
        <v>2200</v>
      </c>
      <c r="C1430" t="s">
        <v>217</v>
      </c>
      <c r="D1430" t="s">
        <v>2928</v>
      </c>
      <c r="E1430">
        <v>59</v>
      </c>
      <c r="G1430" t="s">
        <v>172</v>
      </c>
      <c r="H1430" t="s">
        <v>172</v>
      </c>
      <c r="I1430" t="s">
        <v>897</v>
      </c>
      <c r="J1430" t="s">
        <v>217</v>
      </c>
      <c r="K1430" t="s">
        <v>172</v>
      </c>
      <c r="M1430" t="b">
        <v>1</v>
      </c>
      <c r="N1430" t="s">
        <v>42</v>
      </c>
      <c r="O1430" t="s">
        <v>33</v>
      </c>
    </row>
    <row r="1431" spans="1:28">
      <c r="A1431">
        <v>1368</v>
      </c>
      <c r="B1431">
        <v>2200</v>
      </c>
      <c r="C1431" t="s">
        <v>154</v>
      </c>
      <c r="D1431" t="s">
        <v>2929</v>
      </c>
      <c r="E1431">
        <v>57</v>
      </c>
      <c r="F1431" t="str">
        <f>IF(E1431&gt;=90,"90-100",IF(E1431&gt;=80,"80-90",IF(E1431&gt;=70,"70-80",IF(E1431&gt;=60,"60-70",IF(E1431&gt;=50,"50-60",IF(E1431&gt;=40,"40-50",IF(E1431&gt;=30,"30-40","20-30")))))))</f>
        <v>50-60</v>
      </c>
      <c r="G1431" t="s">
        <v>103</v>
      </c>
      <c r="H1431" t="s">
        <v>215</v>
      </c>
      <c r="I1431" t="s">
        <v>310</v>
      </c>
      <c r="J1431" t="s">
        <v>154</v>
      </c>
      <c r="K1431" t="s">
        <v>103</v>
      </c>
      <c r="L1431" t="s">
        <v>2930</v>
      </c>
      <c r="M1431" t="b">
        <v>1</v>
      </c>
      <c r="N1431" t="s">
        <v>42</v>
      </c>
      <c r="O1431" t="s">
        <v>4867</v>
      </c>
      <c r="P1431" t="s">
        <v>80</v>
      </c>
      <c r="Q1431">
        <v>125.08</v>
      </c>
      <c r="R1431">
        <v>2.9</v>
      </c>
      <c r="S1431" t="s">
        <v>106</v>
      </c>
      <c r="T1431">
        <v>50.6</v>
      </c>
      <c r="U1431" t="str">
        <f>IF(T1431&gt;=100,"above 100",IF(T1431&gt;=80,"80-100",IF(T1431&gt;=60,"60-80",IF(T1431&gt;=40,"40-60",IF(T1431&gt;=20,"20-60","0-20")))))</f>
        <v>40-60</v>
      </c>
      <c r="V1431">
        <v>100.2</v>
      </c>
      <c r="W1431">
        <v>77</v>
      </c>
      <c r="X1431">
        <v>9.4</v>
      </c>
      <c r="Y1431">
        <v>59.2</v>
      </c>
      <c r="Z1431">
        <v>1397715000</v>
      </c>
      <c r="AA1431">
        <v>35.861660000000001</v>
      </c>
      <c r="AB1431">
        <v>104.195397</v>
      </c>
    </row>
    <row r="1432" spans="1:28" hidden="1">
      <c r="A1432">
        <v>1368</v>
      </c>
      <c r="B1432">
        <v>2200</v>
      </c>
      <c r="C1432" t="s">
        <v>54</v>
      </c>
      <c r="D1432" t="s">
        <v>2931</v>
      </c>
      <c r="E1432">
        <v>58</v>
      </c>
      <c r="G1432" t="s">
        <v>38</v>
      </c>
      <c r="H1432" t="s">
        <v>100</v>
      </c>
      <c r="I1432" t="s">
        <v>231</v>
      </c>
      <c r="J1432" t="s">
        <v>54</v>
      </c>
      <c r="K1432" t="s">
        <v>342</v>
      </c>
      <c r="M1432" t="b">
        <v>1</v>
      </c>
      <c r="N1432" t="s">
        <v>42</v>
      </c>
      <c r="O1432" t="s">
        <v>33</v>
      </c>
      <c r="Q1432">
        <v>117.24</v>
      </c>
      <c r="R1432">
        <v>7.5</v>
      </c>
      <c r="S1432" t="s">
        <v>44</v>
      </c>
      <c r="T1432">
        <v>88.2</v>
      </c>
      <c r="V1432">
        <v>101.8</v>
      </c>
      <c r="W1432">
        <v>78.5</v>
      </c>
      <c r="X1432">
        <v>9.6</v>
      </c>
      <c r="Y1432">
        <v>36.6</v>
      </c>
      <c r="Z1432">
        <v>328239523</v>
      </c>
      <c r="AA1432">
        <v>37.090240000000001</v>
      </c>
      <c r="AB1432">
        <v>-95.712890999999999</v>
      </c>
    </row>
    <row r="1433" spans="1:28" hidden="1">
      <c r="A1433">
        <v>1368</v>
      </c>
      <c r="B1433">
        <v>2200</v>
      </c>
      <c r="C1433" t="s">
        <v>217</v>
      </c>
      <c r="D1433" t="s">
        <v>2932</v>
      </c>
      <c r="E1433">
        <v>54</v>
      </c>
      <c r="G1433" t="s">
        <v>127</v>
      </c>
      <c r="H1433" t="s">
        <v>1944</v>
      </c>
      <c r="I1433" t="s">
        <v>362</v>
      </c>
      <c r="J1433" t="s">
        <v>217</v>
      </c>
      <c r="K1433" t="s">
        <v>127</v>
      </c>
      <c r="M1433" t="b">
        <v>0</v>
      </c>
      <c r="N1433" t="s">
        <v>32</v>
      </c>
      <c r="O1433" t="s">
        <v>33</v>
      </c>
      <c r="Q1433">
        <v>116.76</v>
      </c>
      <c r="R1433">
        <v>1.9</v>
      </c>
      <c r="S1433" t="s">
        <v>132</v>
      </c>
      <c r="T1433">
        <v>68.900000000000006</v>
      </c>
      <c r="V1433">
        <v>100.9</v>
      </c>
      <c r="W1433">
        <v>81.900000000000006</v>
      </c>
      <c r="X1433">
        <v>12.8</v>
      </c>
      <c r="Y1433">
        <v>24.5</v>
      </c>
      <c r="Z1433">
        <v>36991981</v>
      </c>
      <c r="AA1433">
        <v>56.130366000000002</v>
      </c>
      <c r="AB1433">
        <v>-106.346771</v>
      </c>
    </row>
    <row r="1434" spans="1:28" hidden="1">
      <c r="A1434">
        <v>1368</v>
      </c>
      <c r="B1434">
        <v>2200</v>
      </c>
      <c r="C1434" t="s">
        <v>250</v>
      </c>
      <c r="D1434" t="s">
        <v>2933</v>
      </c>
      <c r="E1434">
        <v>57</v>
      </c>
      <c r="G1434" t="s">
        <v>103</v>
      </c>
      <c r="H1434" t="s">
        <v>195</v>
      </c>
      <c r="I1434" t="s">
        <v>196</v>
      </c>
      <c r="J1434" t="s">
        <v>250</v>
      </c>
      <c r="K1434" t="s">
        <v>103</v>
      </c>
      <c r="M1434" t="b">
        <v>1</v>
      </c>
      <c r="N1434" t="s">
        <v>42</v>
      </c>
      <c r="O1434" t="s">
        <v>33</v>
      </c>
      <c r="Q1434">
        <v>125.08</v>
      </c>
      <c r="R1434">
        <v>2.9</v>
      </c>
      <c r="S1434" t="s">
        <v>106</v>
      </c>
      <c r="T1434">
        <v>50.6</v>
      </c>
      <c r="V1434">
        <v>100.2</v>
      </c>
      <c r="W1434">
        <v>77</v>
      </c>
      <c r="X1434">
        <v>9.4</v>
      </c>
      <c r="Y1434">
        <v>59.2</v>
      </c>
      <c r="Z1434">
        <v>1397715000</v>
      </c>
      <c r="AA1434">
        <v>35.861660000000001</v>
      </c>
      <c r="AB1434">
        <v>104.195397</v>
      </c>
    </row>
    <row r="1435" spans="1:28" hidden="1">
      <c r="A1435">
        <v>1434</v>
      </c>
      <c r="B1435">
        <v>2100</v>
      </c>
      <c r="C1435" t="s">
        <v>236</v>
      </c>
      <c r="D1435" t="s">
        <v>2934</v>
      </c>
      <c r="E1435">
        <v>55</v>
      </c>
      <c r="G1435" t="s">
        <v>203</v>
      </c>
      <c r="H1435" t="s">
        <v>204</v>
      </c>
      <c r="I1435" t="s">
        <v>2097</v>
      </c>
      <c r="J1435" t="s">
        <v>236</v>
      </c>
      <c r="K1435" t="s">
        <v>203</v>
      </c>
      <c r="M1435" t="b">
        <v>1</v>
      </c>
      <c r="N1435" t="s">
        <v>42</v>
      </c>
      <c r="O1435" t="s">
        <v>33</v>
      </c>
      <c r="Q1435">
        <v>119.62</v>
      </c>
      <c r="R1435">
        <v>1.7</v>
      </c>
      <c r="S1435" t="s">
        <v>206</v>
      </c>
      <c r="T1435">
        <v>60</v>
      </c>
      <c r="V1435">
        <v>101.2</v>
      </c>
      <c r="W1435">
        <v>81.3</v>
      </c>
      <c r="X1435">
        <v>25.5</v>
      </c>
      <c r="Y1435">
        <v>30.6</v>
      </c>
      <c r="Z1435">
        <v>66834405</v>
      </c>
      <c r="AA1435">
        <v>55.378050999999999</v>
      </c>
      <c r="AB1435">
        <v>-3.4359730000000002</v>
      </c>
    </row>
    <row r="1436" spans="1:28" hidden="1">
      <c r="A1436">
        <v>1434</v>
      </c>
      <c r="B1436">
        <v>2100</v>
      </c>
      <c r="C1436" t="s">
        <v>101</v>
      </c>
      <c r="D1436" t="s">
        <v>2935</v>
      </c>
      <c r="E1436">
        <v>52</v>
      </c>
      <c r="G1436" t="s">
        <v>38</v>
      </c>
      <c r="H1436" t="s">
        <v>2936</v>
      </c>
      <c r="I1436" t="s">
        <v>1115</v>
      </c>
      <c r="J1436" t="s">
        <v>101</v>
      </c>
      <c r="K1436" t="s">
        <v>38</v>
      </c>
      <c r="M1436" t="b">
        <v>1</v>
      </c>
      <c r="N1436" t="s">
        <v>42</v>
      </c>
      <c r="O1436" t="s">
        <v>33</v>
      </c>
      <c r="Q1436">
        <v>117.24</v>
      </c>
      <c r="R1436">
        <v>7.5</v>
      </c>
      <c r="S1436" t="s">
        <v>44</v>
      </c>
      <c r="T1436">
        <v>88.2</v>
      </c>
      <c r="V1436">
        <v>101.8</v>
      </c>
      <c r="W1436">
        <v>78.5</v>
      </c>
      <c r="X1436">
        <v>9.6</v>
      </c>
      <c r="Y1436">
        <v>36.6</v>
      </c>
      <c r="Z1436">
        <v>328239523</v>
      </c>
      <c r="AA1436">
        <v>37.090240000000001</v>
      </c>
      <c r="AB1436">
        <v>-95.712890999999999</v>
      </c>
    </row>
    <row r="1437" spans="1:28" hidden="1">
      <c r="A1437">
        <v>1434</v>
      </c>
      <c r="B1437">
        <v>2100</v>
      </c>
      <c r="C1437" t="s">
        <v>469</v>
      </c>
      <c r="D1437" t="s">
        <v>2937</v>
      </c>
      <c r="G1437" t="s">
        <v>28</v>
      </c>
      <c r="H1437" t="s">
        <v>29</v>
      </c>
      <c r="I1437" t="s">
        <v>2938</v>
      </c>
      <c r="J1437" t="s">
        <v>469</v>
      </c>
      <c r="K1437" t="s">
        <v>28</v>
      </c>
      <c r="M1437" t="b">
        <v>0</v>
      </c>
      <c r="N1437" t="s">
        <v>212</v>
      </c>
      <c r="O1437" t="s">
        <v>33</v>
      </c>
      <c r="Q1437">
        <v>110.05</v>
      </c>
      <c r="R1437">
        <v>1.1000000000000001</v>
      </c>
      <c r="S1437" t="s">
        <v>35</v>
      </c>
      <c r="T1437">
        <v>65.599999999999994</v>
      </c>
      <c r="V1437">
        <v>102.5</v>
      </c>
      <c r="W1437">
        <v>82.5</v>
      </c>
      <c r="X1437">
        <v>24.2</v>
      </c>
      <c r="Y1437">
        <v>60.7</v>
      </c>
      <c r="Z1437">
        <v>67059887</v>
      </c>
      <c r="AA1437">
        <v>46.227637999999999</v>
      </c>
      <c r="AB1437">
        <v>2.213749</v>
      </c>
    </row>
    <row r="1438" spans="1:28" hidden="1">
      <c r="A1438">
        <v>1434</v>
      </c>
      <c r="B1438">
        <v>2100</v>
      </c>
      <c r="C1438" t="s">
        <v>469</v>
      </c>
      <c r="D1438" t="s">
        <v>2939</v>
      </c>
      <c r="E1438">
        <v>72</v>
      </c>
      <c r="I1438" t="s">
        <v>2938</v>
      </c>
      <c r="J1438" t="s">
        <v>469</v>
      </c>
      <c r="K1438" t="s">
        <v>28</v>
      </c>
      <c r="M1438" t="b">
        <v>0</v>
      </c>
      <c r="N1438" t="s">
        <v>212</v>
      </c>
      <c r="O1438" t="s">
        <v>33</v>
      </c>
    </row>
    <row r="1439" spans="1:28" hidden="1">
      <c r="A1439">
        <v>1434</v>
      </c>
      <c r="B1439">
        <v>2100</v>
      </c>
      <c r="C1439" t="s">
        <v>179</v>
      </c>
      <c r="D1439" t="s">
        <v>2940</v>
      </c>
      <c r="E1439">
        <v>91</v>
      </c>
      <c r="G1439" t="s">
        <v>38</v>
      </c>
      <c r="H1439" t="s">
        <v>181</v>
      </c>
      <c r="I1439" t="s">
        <v>2941</v>
      </c>
      <c r="J1439" t="s">
        <v>179</v>
      </c>
      <c r="K1439" t="s">
        <v>38</v>
      </c>
      <c r="M1439" t="b">
        <v>1</v>
      </c>
      <c r="N1439" t="s">
        <v>42</v>
      </c>
      <c r="O1439" t="s">
        <v>33</v>
      </c>
      <c r="Q1439">
        <v>117.24</v>
      </c>
      <c r="R1439">
        <v>7.5</v>
      </c>
      <c r="S1439" t="s">
        <v>44</v>
      </c>
      <c r="T1439">
        <v>88.2</v>
      </c>
      <c r="V1439">
        <v>101.8</v>
      </c>
      <c r="W1439">
        <v>78.5</v>
      </c>
      <c r="X1439">
        <v>9.6</v>
      </c>
      <c r="Y1439">
        <v>36.6</v>
      </c>
      <c r="Z1439">
        <v>328239523</v>
      </c>
      <c r="AA1439">
        <v>37.090240000000001</v>
      </c>
      <c r="AB1439">
        <v>-95.712890999999999</v>
      </c>
    </row>
    <row r="1440" spans="1:28" hidden="1">
      <c r="A1440">
        <v>1434</v>
      </c>
      <c r="B1440">
        <v>2100</v>
      </c>
      <c r="C1440" t="s">
        <v>101</v>
      </c>
      <c r="D1440" t="s">
        <v>2942</v>
      </c>
      <c r="E1440">
        <v>70</v>
      </c>
      <c r="G1440" t="s">
        <v>77</v>
      </c>
      <c r="H1440" t="s">
        <v>248</v>
      </c>
      <c r="I1440" t="s">
        <v>1260</v>
      </c>
      <c r="J1440" t="s">
        <v>101</v>
      </c>
      <c r="K1440" t="s">
        <v>77</v>
      </c>
      <c r="M1440" t="b">
        <v>0</v>
      </c>
      <c r="N1440" t="s">
        <v>42</v>
      </c>
      <c r="O1440" t="s">
        <v>33</v>
      </c>
      <c r="Q1440">
        <v>180.44</v>
      </c>
      <c r="R1440">
        <v>7.7</v>
      </c>
      <c r="S1440" t="s">
        <v>81</v>
      </c>
      <c r="T1440">
        <v>28.1</v>
      </c>
      <c r="V1440">
        <v>113</v>
      </c>
      <c r="W1440">
        <v>69.400000000000006</v>
      </c>
      <c r="X1440">
        <v>11.2</v>
      </c>
      <c r="Y1440">
        <v>49.7</v>
      </c>
      <c r="Z1440">
        <v>1366417754</v>
      </c>
      <c r="AA1440">
        <v>20.593684</v>
      </c>
      <c r="AB1440">
        <v>78.962879999999998</v>
      </c>
    </row>
    <row r="1441" spans="1:28" hidden="1">
      <c r="A1441">
        <v>1434</v>
      </c>
      <c r="B1441">
        <v>2100</v>
      </c>
      <c r="C1441" t="s">
        <v>217</v>
      </c>
      <c r="D1441" t="s">
        <v>2943</v>
      </c>
      <c r="E1441">
        <v>71</v>
      </c>
      <c r="G1441" t="s">
        <v>103</v>
      </c>
      <c r="H1441" t="s">
        <v>104</v>
      </c>
      <c r="I1441" t="s">
        <v>217</v>
      </c>
      <c r="J1441" t="s">
        <v>217</v>
      </c>
      <c r="K1441" t="s">
        <v>103</v>
      </c>
      <c r="M1441" t="b">
        <v>1</v>
      </c>
      <c r="N1441" t="s">
        <v>42</v>
      </c>
      <c r="O1441" t="s">
        <v>33</v>
      </c>
      <c r="Q1441">
        <v>125.08</v>
      </c>
      <c r="R1441">
        <v>2.9</v>
      </c>
      <c r="S1441" t="s">
        <v>106</v>
      </c>
      <c r="T1441">
        <v>50.6</v>
      </c>
      <c r="V1441">
        <v>100.2</v>
      </c>
      <c r="W1441">
        <v>77</v>
      </c>
      <c r="X1441">
        <v>9.4</v>
      </c>
      <c r="Y1441">
        <v>59.2</v>
      </c>
      <c r="Z1441">
        <v>1397715000</v>
      </c>
      <c r="AA1441">
        <v>35.861660000000001</v>
      </c>
      <c r="AB1441">
        <v>104.195397</v>
      </c>
    </row>
    <row r="1442" spans="1:28" hidden="1">
      <c r="A1442">
        <v>1434</v>
      </c>
      <c r="B1442">
        <v>2100</v>
      </c>
      <c r="C1442" t="s">
        <v>45</v>
      </c>
      <c r="D1442" t="s">
        <v>2944</v>
      </c>
      <c r="E1442">
        <v>86</v>
      </c>
      <c r="G1442" t="s">
        <v>810</v>
      </c>
      <c r="H1442" t="s">
        <v>811</v>
      </c>
      <c r="I1442" t="s">
        <v>897</v>
      </c>
      <c r="J1442" t="s">
        <v>45</v>
      </c>
      <c r="K1442" t="s">
        <v>810</v>
      </c>
      <c r="M1442" t="b">
        <v>1</v>
      </c>
      <c r="N1442" t="s">
        <v>419</v>
      </c>
      <c r="O1442" t="s">
        <v>33</v>
      </c>
    </row>
    <row r="1443" spans="1:28" hidden="1">
      <c r="A1443">
        <v>1434</v>
      </c>
      <c r="B1443">
        <v>2100</v>
      </c>
      <c r="C1443" t="s">
        <v>45</v>
      </c>
      <c r="D1443" t="s">
        <v>2945</v>
      </c>
      <c r="E1443">
        <v>52</v>
      </c>
      <c r="G1443" t="s">
        <v>103</v>
      </c>
      <c r="H1443" t="s">
        <v>143</v>
      </c>
      <c r="I1443" t="s">
        <v>572</v>
      </c>
      <c r="J1443" t="s">
        <v>45</v>
      </c>
      <c r="K1443" t="s">
        <v>103</v>
      </c>
      <c r="M1443" t="b">
        <v>0</v>
      </c>
      <c r="N1443" t="s">
        <v>32</v>
      </c>
      <c r="O1443" t="s">
        <v>33</v>
      </c>
      <c r="Q1443">
        <v>125.08</v>
      </c>
      <c r="R1443">
        <v>2.9</v>
      </c>
      <c r="S1443" t="s">
        <v>106</v>
      </c>
      <c r="T1443">
        <v>50.6</v>
      </c>
      <c r="V1443">
        <v>100.2</v>
      </c>
      <c r="W1443">
        <v>77</v>
      </c>
      <c r="X1443">
        <v>9.4</v>
      </c>
      <c r="Y1443">
        <v>59.2</v>
      </c>
      <c r="Z1443">
        <v>1397715000</v>
      </c>
      <c r="AA1443">
        <v>35.861660000000001</v>
      </c>
      <c r="AB1443">
        <v>104.195397</v>
      </c>
    </row>
    <row r="1444" spans="1:28" hidden="1">
      <c r="A1444">
        <v>1434</v>
      </c>
      <c r="B1444">
        <v>2100</v>
      </c>
      <c r="C1444" t="s">
        <v>250</v>
      </c>
      <c r="D1444" t="s">
        <v>2946</v>
      </c>
      <c r="E1444">
        <v>62</v>
      </c>
      <c r="G1444" t="s">
        <v>172</v>
      </c>
      <c r="H1444" t="s">
        <v>172</v>
      </c>
      <c r="I1444" t="s">
        <v>351</v>
      </c>
      <c r="J1444" t="s">
        <v>250</v>
      </c>
      <c r="K1444" t="s">
        <v>172</v>
      </c>
      <c r="M1444" t="b">
        <v>1</v>
      </c>
      <c r="N1444" t="s">
        <v>32</v>
      </c>
      <c r="O1444" t="s">
        <v>33</v>
      </c>
    </row>
    <row r="1445" spans="1:28" hidden="1">
      <c r="A1445">
        <v>1434</v>
      </c>
      <c r="B1445">
        <v>2100</v>
      </c>
      <c r="C1445" t="s">
        <v>288</v>
      </c>
      <c r="D1445" t="s">
        <v>2947</v>
      </c>
      <c r="E1445">
        <v>82</v>
      </c>
      <c r="G1445" t="s">
        <v>156</v>
      </c>
      <c r="H1445" t="s">
        <v>413</v>
      </c>
      <c r="I1445" t="s">
        <v>2004</v>
      </c>
      <c r="J1445" t="s">
        <v>288</v>
      </c>
      <c r="K1445" t="s">
        <v>156</v>
      </c>
      <c r="M1445" t="b">
        <v>1</v>
      </c>
      <c r="N1445" t="s">
        <v>42</v>
      </c>
      <c r="O1445" t="s">
        <v>33</v>
      </c>
      <c r="Q1445">
        <v>99.55</v>
      </c>
      <c r="R1445">
        <v>0.4</v>
      </c>
      <c r="S1445" t="s">
        <v>159</v>
      </c>
      <c r="T1445">
        <v>59.6</v>
      </c>
      <c r="V1445">
        <v>105.2</v>
      </c>
      <c r="W1445">
        <v>83.6</v>
      </c>
      <c r="X1445">
        <v>10.1</v>
      </c>
      <c r="Y1445">
        <v>28.8</v>
      </c>
      <c r="Z1445">
        <v>8574832</v>
      </c>
      <c r="AA1445">
        <v>46.818187999999999</v>
      </c>
      <c r="AB1445">
        <v>8.2275120000000008</v>
      </c>
    </row>
    <row r="1446" spans="1:28" hidden="1">
      <c r="A1446">
        <v>1434</v>
      </c>
      <c r="B1446">
        <v>2100</v>
      </c>
      <c r="C1446" t="s">
        <v>26</v>
      </c>
      <c r="D1446" t="s">
        <v>2948</v>
      </c>
      <c r="E1446">
        <v>64</v>
      </c>
      <c r="G1446" t="s">
        <v>164</v>
      </c>
      <c r="H1446" t="s">
        <v>538</v>
      </c>
      <c r="I1446" t="s">
        <v>153</v>
      </c>
      <c r="J1446" t="s">
        <v>26</v>
      </c>
      <c r="K1446" t="s">
        <v>164</v>
      </c>
      <c r="M1446" t="b">
        <v>1</v>
      </c>
      <c r="N1446" t="s">
        <v>32</v>
      </c>
      <c r="O1446" t="s">
        <v>33</v>
      </c>
      <c r="Q1446">
        <v>110.62</v>
      </c>
      <c r="R1446">
        <v>0.6</v>
      </c>
      <c r="S1446" t="s">
        <v>539</v>
      </c>
      <c r="T1446">
        <v>61.9</v>
      </c>
      <c r="V1446">
        <v>101.9</v>
      </c>
      <c r="W1446">
        <v>82.9</v>
      </c>
      <c r="X1446">
        <v>24.3</v>
      </c>
      <c r="Y1446">
        <v>59.1</v>
      </c>
      <c r="Z1446">
        <v>60297396</v>
      </c>
      <c r="AA1446">
        <v>41.871940000000002</v>
      </c>
      <c r="AB1446">
        <v>12.56738</v>
      </c>
    </row>
    <row r="1447" spans="1:28" hidden="1">
      <c r="A1447">
        <v>1434</v>
      </c>
      <c r="B1447">
        <v>2100</v>
      </c>
      <c r="C1447" t="s">
        <v>45</v>
      </c>
      <c r="D1447" t="s">
        <v>2949</v>
      </c>
      <c r="E1447">
        <v>59</v>
      </c>
      <c r="G1447" t="s">
        <v>148</v>
      </c>
      <c r="H1447" t="s">
        <v>2950</v>
      </c>
      <c r="I1447" t="s">
        <v>2951</v>
      </c>
      <c r="J1447" t="s">
        <v>45</v>
      </c>
      <c r="K1447" t="s">
        <v>148</v>
      </c>
      <c r="M1447" t="b">
        <v>1</v>
      </c>
      <c r="N1447" t="s">
        <v>42</v>
      </c>
      <c r="O1447" t="s">
        <v>33</v>
      </c>
      <c r="Q1447">
        <v>112.85</v>
      </c>
      <c r="R1447">
        <v>1.4</v>
      </c>
      <c r="S1447" t="s">
        <v>151</v>
      </c>
      <c r="T1447">
        <v>70.2</v>
      </c>
      <c r="V1447">
        <v>104</v>
      </c>
      <c r="W1447">
        <v>80.900000000000006</v>
      </c>
      <c r="X1447">
        <v>11.5</v>
      </c>
      <c r="Y1447">
        <v>48.8</v>
      </c>
      <c r="Z1447">
        <v>83132799</v>
      </c>
      <c r="AA1447">
        <v>51.165691000000002</v>
      </c>
      <c r="AB1447">
        <v>10.451525999999999</v>
      </c>
    </row>
    <row r="1448" spans="1:28" hidden="1">
      <c r="A1448">
        <v>1434</v>
      </c>
      <c r="B1448">
        <v>2100</v>
      </c>
      <c r="C1448" t="s">
        <v>75</v>
      </c>
      <c r="D1448" t="s">
        <v>2952</v>
      </c>
      <c r="E1448">
        <v>50</v>
      </c>
      <c r="G1448" t="s">
        <v>203</v>
      </c>
      <c r="H1448" t="s">
        <v>204</v>
      </c>
      <c r="I1448" t="s">
        <v>2953</v>
      </c>
      <c r="J1448" t="s">
        <v>75</v>
      </c>
      <c r="K1448" t="s">
        <v>2954</v>
      </c>
      <c r="M1448" t="b">
        <v>1</v>
      </c>
      <c r="N1448" t="s">
        <v>32</v>
      </c>
      <c r="O1448" t="s">
        <v>33</v>
      </c>
      <c r="Q1448">
        <v>119.62</v>
      </c>
      <c r="R1448">
        <v>1.7</v>
      </c>
      <c r="S1448" t="s">
        <v>206</v>
      </c>
      <c r="T1448">
        <v>60</v>
      </c>
      <c r="V1448">
        <v>101.2</v>
      </c>
      <c r="W1448">
        <v>81.3</v>
      </c>
      <c r="X1448">
        <v>25.5</v>
      </c>
      <c r="Y1448">
        <v>30.6</v>
      </c>
      <c r="Z1448">
        <v>66834405</v>
      </c>
      <c r="AA1448">
        <v>55.378050999999999</v>
      </c>
      <c r="AB1448">
        <v>-3.4359730000000002</v>
      </c>
    </row>
    <row r="1449" spans="1:28" hidden="1">
      <c r="A1449">
        <v>1434</v>
      </c>
      <c r="B1449">
        <v>2100</v>
      </c>
      <c r="C1449" t="s">
        <v>75</v>
      </c>
      <c r="D1449" t="s">
        <v>2955</v>
      </c>
      <c r="E1449">
        <v>53</v>
      </c>
      <c r="G1449" t="s">
        <v>203</v>
      </c>
      <c r="H1449" t="s">
        <v>204</v>
      </c>
      <c r="I1449" t="s">
        <v>2953</v>
      </c>
      <c r="J1449" t="s">
        <v>75</v>
      </c>
      <c r="K1449" t="s">
        <v>2954</v>
      </c>
      <c r="M1449" t="b">
        <v>1</v>
      </c>
      <c r="N1449" t="s">
        <v>32</v>
      </c>
      <c r="O1449" t="s">
        <v>33</v>
      </c>
      <c r="Q1449">
        <v>119.62</v>
      </c>
      <c r="R1449">
        <v>1.7</v>
      </c>
      <c r="S1449" t="s">
        <v>206</v>
      </c>
      <c r="T1449">
        <v>60</v>
      </c>
      <c r="V1449">
        <v>101.2</v>
      </c>
      <c r="W1449">
        <v>81.3</v>
      </c>
      <c r="X1449">
        <v>25.5</v>
      </c>
      <c r="Y1449">
        <v>30.6</v>
      </c>
      <c r="Z1449">
        <v>66834405</v>
      </c>
      <c r="AA1449">
        <v>55.378050999999999</v>
      </c>
      <c r="AB1449">
        <v>-3.4359730000000002</v>
      </c>
    </row>
    <row r="1450" spans="1:28" hidden="1">
      <c r="A1450">
        <v>1434</v>
      </c>
      <c r="B1450">
        <v>2100</v>
      </c>
      <c r="C1450" t="s">
        <v>221</v>
      </c>
      <c r="D1450" t="s">
        <v>2956</v>
      </c>
      <c r="E1450">
        <v>78</v>
      </c>
      <c r="G1450" t="s">
        <v>238</v>
      </c>
      <c r="H1450" t="s">
        <v>2957</v>
      </c>
      <c r="I1450" t="s">
        <v>223</v>
      </c>
      <c r="J1450" t="s">
        <v>221</v>
      </c>
      <c r="K1450" t="s">
        <v>238</v>
      </c>
      <c r="M1450" t="b">
        <v>1</v>
      </c>
      <c r="N1450" t="s">
        <v>419</v>
      </c>
      <c r="O1450" t="s">
        <v>33</v>
      </c>
      <c r="Q1450">
        <v>119.8</v>
      </c>
      <c r="R1450">
        <v>1.6</v>
      </c>
      <c r="S1450" t="s">
        <v>243</v>
      </c>
      <c r="T1450">
        <v>113.1</v>
      </c>
      <c r="V1450">
        <v>100.3</v>
      </c>
      <c r="W1450">
        <v>82.7</v>
      </c>
      <c r="X1450">
        <v>23</v>
      </c>
      <c r="Y1450">
        <v>47.4</v>
      </c>
      <c r="Z1450">
        <v>25766605</v>
      </c>
      <c r="AA1450">
        <v>-25.274398000000001</v>
      </c>
      <c r="AB1450">
        <v>133.775136</v>
      </c>
    </row>
    <row r="1451" spans="1:28">
      <c r="A1451">
        <v>1434</v>
      </c>
      <c r="B1451">
        <v>2100</v>
      </c>
      <c r="C1451" t="s">
        <v>250</v>
      </c>
      <c r="D1451" t="s">
        <v>2958</v>
      </c>
      <c r="E1451">
        <v>65</v>
      </c>
      <c r="F1451" t="str">
        <f>IF(E1451&gt;=90,"90-100",IF(E1451&gt;=80,"80-90",IF(E1451&gt;=70,"70-80",IF(E1451&gt;=60,"60-70",IF(E1451&gt;=50,"50-60",IF(E1451&gt;=40,"40-50",IF(E1451&gt;=30,"30-40","20-30")))))))</f>
        <v>60-70</v>
      </c>
      <c r="G1451" t="s">
        <v>38</v>
      </c>
      <c r="H1451" t="s">
        <v>2959</v>
      </c>
      <c r="I1451" t="s">
        <v>2960</v>
      </c>
      <c r="J1451" t="s">
        <v>250</v>
      </c>
      <c r="K1451" t="s">
        <v>38</v>
      </c>
      <c r="L1451" t="s">
        <v>2961</v>
      </c>
      <c r="M1451" t="b">
        <v>1</v>
      </c>
      <c r="N1451" t="s">
        <v>32</v>
      </c>
      <c r="O1451" t="s">
        <v>4867</v>
      </c>
      <c r="P1451" t="s">
        <v>131</v>
      </c>
      <c r="Q1451">
        <v>117.24</v>
      </c>
      <c r="R1451">
        <v>7.5</v>
      </c>
      <c r="S1451" t="s">
        <v>44</v>
      </c>
      <c r="T1451">
        <v>88.2</v>
      </c>
      <c r="U1451" t="str">
        <f>IF(T1451&gt;=100,"above 100",IF(T1451&gt;=80,"80-100",IF(T1451&gt;=60,"60-80",IF(T1451&gt;=40,"40-60",IF(T1451&gt;=20,"20-60","0-20")))))</f>
        <v>80-100</v>
      </c>
      <c r="V1451">
        <v>101.8</v>
      </c>
      <c r="W1451">
        <v>78.5</v>
      </c>
      <c r="X1451">
        <v>9.6</v>
      </c>
      <c r="Y1451">
        <v>36.6</v>
      </c>
      <c r="Z1451">
        <v>328239523</v>
      </c>
      <c r="AA1451">
        <v>37.090240000000001</v>
      </c>
      <c r="AB1451">
        <v>-95.712890999999999</v>
      </c>
    </row>
    <row r="1452" spans="1:28" hidden="1">
      <c r="A1452">
        <v>1434</v>
      </c>
      <c r="B1452">
        <v>2100</v>
      </c>
      <c r="C1452" t="s">
        <v>26</v>
      </c>
      <c r="D1452" t="s">
        <v>2962</v>
      </c>
      <c r="E1452">
        <v>60</v>
      </c>
      <c r="G1452" t="s">
        <v>164</v>
      </c>
      <c r="H1452" t="s">
        <v>538</v>
      </c>
      <c r="I1452" t="s">
        <v>153</v>
      </c>
      <c r="J1452" t="s">
        <v>26</v>
      </c>
      <c r="K1452" t="s">
        <v>164</v>
      </c>
      <c r="M1452" t="b">
        <v>1</v>
      </c>
      <c r="N1452" t="s">
        <v>32</v>
      </c>
      <c r="O1452" t="s">
        <v>33</v>
      </c>
      <c r="Q1452">
        <v>110.62</v>
      </c>
      <c r="R1452">
        <v>0.6</v>
      </c>
      <c r="S1452" t="s">
        <v>539</v>
      </c>
      <c r="T1452">
        <v>61.9</v>
      </c>
      <c r="V1452">
        <v>101.9</v>
      </c>
      <c r="W1452">
        <v>82.9</v>
      </c>
      <c r="X1452">
        <v>24.3</v>
      </c>
      <c r="Y1452">
        <v>59.1</v>
      </c>
      <c r="Z1452">
        <v>60297396</v>
      </c>
      <c r="AA1452">
        <v>41.871940000000002</v>
      </c>
      <c r="AB1452">
        <v>12.56738</v>
      </c>
    </row>
    <row r="1453" spans="1:28" hidden="1">
      <c r="A1453">
        <v>1434</v>
      </c>
      <c r="B1453">
        <v>2100</v>
      </c>
      <c r="C1453" t="s">
        <v>217</v>
      </c>
      <c r="D1453" t="s">
        <v>2963</v>
      </c>
      <c r="E1453">
        <v>59</v>
      </c>
      <c r="G1453" t="s">
        <v>103</v>
      </c>
      <c r="H1453" t="s">
        <v>2964</v>
      </c>
      <c r="I1453" t="s">
        <v>362</v>
      </c>
      <c r="J1453" t="s">
        <v>217</v>
      </c>
      <c r="K1453" t="s">
        <v>103</v>
      </c>
      <c r="M1453" t="b">
        <v>1</v>
      </c>
      <c r="N1453" t="s">
        <v>42</v>
      </c>
      <c r="O1453" t="s">
        <v>33</v>
      </c>
      <c r="Q1453">
        <v>125.08</v>
      </c>
      <c r="R1453">
        <v>2.9</v>
      </c>
      <c r="S1453" t="s">
        <v>106</v>
      </c>
      <c r="T1453">
        <v>50.6</v>
      </c>
      <c r="V1453">
        <v>100.2</v>
      </c>
      <c r="W1453">
        <v>77</v>
      </c>
      <c r="X1453">
        <v>9.4</v>
      </c>
      <c r="Y1453">
        <v>59.2</v>
      </c>
      <c r="Z1453">
        <v>1397715000</v>
      </c>
      <c r="AA1453">
        <v>35.861660000000001</v>
      </c>
      <c r="AB1453">
        <v>104.195397</v>
      </c>
    </row>
    <row r="1454" spans="1:28">
      <c r="A1454">
        <v>1434</v>
      </c>
      <c r="B1454">
        <v>2100</v>
      </c>
      <c r="C1454" t="s">
        <v>250</v>
      </c>
      <c r="D1454" t="s">
        <v>2965</v>
      </c>
      <c r="E1454">
        <v>89</v>
      </c>
      <c r="F1454" t="str">
        <f>IF(E1454&gt;=90,"90-100",IF(E1454&gt;=80,"80-90",IF(E1454&gt;=70,"70-80",IF(E1454&gt;=60,"60-70",IF(E1454&gt;=50,"50-60",IF(E1454&gt;=40,"40-50",IF(E1454&gt;=30,"30-40","20-30")))))))</f>
        <v>80-90</v>
      </c>
      <c r="G1454" t="s">
        <v>38</v>
      </c>
      <c r="H1454" t="s">
        <v>652</v>
      </c>
      <c r="I1454" t="s">
        <v>2966</v>
      </c>
      <c r="J1454" t="s">
        <v>250</v>
      </c>
      <c r="K1454" t="s">
        <v>38</v>
      </c>
      <c r="L1454" t="s">
        <v>2967</v>
      </c>
      <c r="M1454" t="b">
        <v>0</v>
      </c>
      <c r="N1454" t="s">
        <v>419</v>
      </c>
      <c r="O1454" t="s">
        <v>4867</v>
      </c>
      <c r="P1454" t="s">
        <v>1022</v>
      </c>
      <c r="Q1454">
        <v>117.24</v>
      </c>
      <c r="R1454">
        <v>7.5</v>
      </c>
      <c r="S1454" t="s">
        <v>44</v>
      </c>
      <c r="T1454">
        <v>88.2</v>
      </c>
      <c r="U1454" t="str">
        <f>IF(T1454&gt;=100,"above 100",IF(T1454&gt;=80,"80-100",IF(T1454&gt;=60,"60-80",IF(T1454&gt;=40,"40-60",IF(T1454&gt;=20,"20-60","0-20")))))</f>
        <v>80-100</v>
      </c>
      <c r="V1454">
        <v>101.8</v>
      </c>
      <c r="W1454">
        <v>78.5</v>
      </c>
      <c r="X1454">
        <v>9.6</v>
      </c>
      <c r="Y1454">
        <v>36.6</v>
      </c>
      <c r="Z1454">
        <v>328239523</v>
      </c>
      <c r="AA1454">
        <v>37.090240000000001</v>
      </c>
      <c r="AB1454">
        <v>-95.712890999999999</v>
      </c>
    </row>
    <row r="1455" spans="1:28" hidden="1">
      <c r="A1455">
        <v>1434</v>
      </c>
      <c r="B1455">
        <v>2100</v>
      </c>
      <c r="C1455" t="s">
        <v>250</v>
      </c>
      <c r="D1455" t="s">
        <v>2968</v>
      </c>
      <c r="E1455">
        <v>64</v>
      </c>
      <c r="G1455" t="s">
        <v>38</v>
      </c>
      <c r="H1455" t="s">
        <v>505</v>
      </c>
      <c r="I1455" t="s">
        <v>2969</v>
      </c>
      <c r="J1455" t="s">
        <v>250</v>
      </c>
      <c r="K1455" t="s">
        <v>38</v>
      </c>
      <c r="M1455" t="b">
        <v>1</v>
      </c>
      <c r="N1455" t="s">
        <v>192</v>
      </c>
      <c r="O1455" t="s">
        <v>33</v>
      </c>
      <c r="Q1455">
        <v>117.24</v>
      </c>
      <c r="R1455">
        <v>7.5</v>
      </c>
      <c r="S1455" t="s">
        <v>44</v>
      </c>
      <c r="T1455">
        <v>88.2</v>
      </c>
      <c r="V1455">
        <v>101.8</v>
      </c>
      <c r="W1455">
        <v>78.5</v>
      </c>
      <c r="X1455">
        <v>9.6</v>
      </c>
      <c r="Y1455">
        <v>36.6</v>
      </c>
      <c r="Z1455">
        <v>328239523</v>
      </c>
      <c r="AA1455">
        <v>37.090240000000001</v>
      </c>
      <c r="AB1455">
        <v>-95.712890999999999</v>
      </c>
    </row>
    <row r="1456" spans="1:28" hidden="1">
      <c r="A1456">
        <v>1434</v>
      </c>
      <c r="B1456">
        <v>2100</v>
      </c>
      <c r="C1456" t="s">
        <v>288</v>
      </c>
      <c r="D1456" t="s">
        <v>2970</v>
      </c>
      <c r="E1456">
        <v>78</v>
      </c>
      <c r="G1456" t="s">
        <v>38</v>
      </c>
      <c r="H1456" t="s">
        <v>2971</v>
      </c>
      <c r="I1456" t="s">
        <v>2972</v>
      </c>
      <c r="J1456" t="s">
        <v>288</v>
      </c>
      <c r="K1456" t="s">
        <v>203</v>
      </c>
      <c r="M1456" t="b">
        <v>1</v>
      </c>
      <c r="N1456" t="s">
        <v>419</v>
      </c>
      <c r="O1456" t="s">
        <v>33</v>
      </c>
      <c r="Q1456">
        <v>117.24</v>
      </c>
      <c r="R1456">
        <v>7.5</v>
      </c>
      <c r="S1456" t="s">
        <v>44</v>
      </c>
      <c r="T1456">
        <v>88.2</v>
      </c>
      <c r="V1456">
        <v>101.8</v>
      </c>
      <c r="W1456">
        <v>78.5</v>
      </c>
      <c r="X1456">
        <v>9.6</v>
      </c>
      <c r="Y1456">
        <v>36.6</v>
      </c>
      <c r="Z1456">
        <v>328239523</v>
      </c>
      <c r="AA1456">
        <v>37.090240000000001</v>
      </c>
      <c r="AB1456">
        <v>-95.712890999999999</v>
      </c>
    </row>
    <row r="1457" spans="1:28" hidden="1">
      <c r="A1457">
        <v>1434</v>
      </c>
      <c r="B1457">
        <v>2100</v>
      </c>
      <c r="C1457" t="s">
        <v>75</v>
      </c>
      <c r="D1457" t="s">
        <v>2973</v>
      </c>
      <c r="E1457">
        <v>65</v>
      </c>
      <c r="G1457" t="s">
        <v>77</v>
      </c>
      <c r="H1457" t="s">
        <v>78</v>
      </c>
      <c r="I1457" t="s">
        <v>75</v>
      </c>
      <c r="J1457" t="s">
        <v>75</v>
      </c>
      <c r="K1457" t="s">
        <v>77</v>
      </c>
      <c r="M1457" t="b">
        <v>0</v>
      </c>
      <c r="N1457" t="s">
        <v>419</v>
      </c>
      <c r="O1457" t="s">
        <v>33</v>
      </c>
      <c r="Q1457">
        <v>180.44</v>
      </c>
      <c r="R1457">
        <v>7.7</v>
      </c>
      <c r="S1457" t="s">
        <v>81</v>
      </c>
      <c r="T1457">
        <v>28.1</v>
      </c>
      <c r="V1457">
        <v>113</v>
      </c>
      <c r="W1457">
        <v>69.400000000000006</v>
      </c>
      <c r="X1457">
        <v>11.2</v>
      </c>
      <c r="Y1457">
        <v>49.7</v>
      </c>
      <c r="Z1457">
        <v>1366417754</v>
      </c>
      <c r="AA1457">
        <v>20.593684</v>
      </c>
      <c r="AB1457">
        <v>78.962879999999998</v>
      </c>
    </row>
    <row r="1458" spans="1:28" hidden="1">
      <c r="A1458">
        <v>1434</v>
      </c>
      <c r="B1458">
        <v>2100</v>
      </c>
      <c r="C1458" t="s">
        <v>75</v>
      </c>
      <c r="D1458" t="s">
        <v>2974</v>
      </c>
      <c r="E1458">
        <v>62</v>
      </c>
      <c r="G1458" t="s">
        <v>77</v>
      </c>
      <c r="H1458" t="s">
        <v>882</v>
      </c>
      <c r="I1458" t="s">
        <v>75</v>
      </c>
      <c r="J1458" t="s">
        <v>75</v>
      </c>
      <c r="K1458" t="s">
        <v>77</v>
      </c>
      <c r="M1458" t="b">
        <v>0</v>
      </c>
      <c r="N1458" t="s">
        <v>42</v>
      </c>
      <c r="O1458" t="s">
        <v>33</v>
      </c>
      <c r="Q1458">
        <v>180.44</v>
      </c>
      <c r="R1458">
        <v>7.7</v>
      </c>
      <c r="S1458" t="s">
        <v>81</v>
      </c>
      <c r="T1458">
        <v>28.1</v>
      </c>
      <c r="V1458">
        <v>113</v>
      </c>
      <c r="W1458">
        <v>69.400000000000006</v>
      </c>
      <c r="X1458">
        <v>11.2</v>
      </c>
      <c r="Y1458">
        <v>49.7</v>
      </c>
      <c r="Z1458">
        <v>1366417754</v>
      </c>
      <c r="AA1458">
        <v>20.593684</v>
      </c>
      <c r="AB1458">
        <v>78.962879999999998</v>
      </c>
    </row>
    <row r="1459" spans="1:28" hidden="1">
      <c r="A1459">
        <v>1434</v>
      </c>
      <c r="B1459">
        <v>2100</v>
      </c>
      <c r="C1459" t="s">
        <v>221</v>
      </c>
      <c r="D1459" t="s">
        <v>2975</v>
      </c>
      <c r="E1459">
        <v>67</v>
      </c>
      <c r="G1459" t="s">
        <v>38</v>
      </c>
      <c r="H1459" t="s">
        <v>65</v>
      </c>
      <c r="I1459" t="s">
        <v>223</v>
      </c>
      <c r="J1459" t="s">
        <v>221</v>
      </c>
      <c r="K1459" t="s">
        <v>38</v>
      </c>
      <c r="M1459" t="b">
        <v>0</v>
      </c>
      <c r="N1459" t="s">
        <v>42</v>
      </c>
      <c r="O1459" t="s">
        <v>88</v>
      </c>
      <c r="Q1459">
        <v>117.24</v>
      </c>
      <c r="R1459">
        <v>7.5</v>
      </c>
      <c r="S1459" t="s">
        <v>44</v>
      </c>
      <c r="T1459">
        <v>88.2</v>
      </c>
      <c r="V1459">
        <v>101.8</v>
      </c>
      <c r="W1459">
        <v>78.5</v>
      </c>
      <c r="X1459">
        <v>9.6</v>
      </c>
      <c r="Y1459">
        <v>36.6</v>
      </c>
      <c r="Z1459">
        <v>328239523</v>
      </c>
      <c r="AA1459">
        <v>37.090240000000001</v>
      </c>
      <c r="AB1459">
        <v>-95.712890999999999</v>
      </c>
    </row>
    <row r="1460" spans="1:28" hidden="1">
      <c r="A1460">
        <v>1434</v>
      </c>
      <c r="B1460">
        <v>2100</v>
      </c>
      <c r="C1460" t="s">
        <v>26</v>
      </c>
      <c r="D1460" t="s">
        <v>2976</v>
      </c>
      <c r="E1460">
        <v>66</v>
      </c>
      <c r="G1460" t="s">
        <v>833</v>
      </c>
      <c r="H1460" t="s">
        <v>834</v>
      </c>
      <c r="I1460" t="s">
        <v>1260</v>
      </c>
      <c r="J1460" t="s">
        <v>26</v>
      </c>
      <c r="K1460" t="s">
        <v>833</v>
      </c>
      <c r="M1460" t="b">
        <v>1</v>
      </c>
      <c r="N1460" t="s">
        <v>42</v>
      </c>
      <c r="O1460" t="s">
        <v>33</v>
      </c>
      <c r="Q1460">
        <v>120.27</v>
      </c>
      <c r="R1460">
        <v>2.2000000000000002</v>
      </c>
      <c r="S1460" t="s">
        <v>835</v>
      </c>
      <c r="T1460">
        <v>82</v>
      </c>
      <c r="V1460">
        <v>100.3</v>
      </c>
      <c r="W1460">
        <v>82.8</v>
      </c>
      <c r="X1460">
        <v>23.9</v>
      </c>
      <c r="Y1460">
        <v>36.200000000000003</v>
      </c>
      <c r="Z1460">
        <v>5347896</v>
      </c>
      <c r="AA1460">
        <v>60.472023999999998</v>
      </c>
      <c r="AB1460">
        <v>8.4689460000000008</v>
      </c>
    </row>
    <row r="1461" spans="1:28" hidden="1">
      <c r="A1461">
        <v>1434</v>
      </c>
      <c r="B1461">
        <v>2100</v>
      </c>
      <c r="C1461" t="s">
        <v>221</v>
      </c>
      <c r="D1461" t="s">
        <v>2977</v>
      </c>
      <c r="E1461">
        <v>56</v>
      </c>
      <c r="G1461" t="s">
        <v>156</v>
      </c>
      <c r="H1461" t="s">
        <v>211</v>
      </c>
      <c r="I1461" t="s">
        <v>900</v>
      </c>
      <c r="J1461" t="s">
        <v>221</v>
      </c>
      <c r="K1461" t="s">
        <v>2367</v>
      </c>
      <c r="M1461" t="b">
        <v>0</v>
      </c>
      <c r="N1461" t="s">
        <v>419</v>
      </c>
      <c r="O1461" t="s">
        <v>33</v>
      </c>
      <c r="Q1461">
        <v>99.55</v>
      </c>
      <c r="R1461">
        <v>0.4</v>
      </c>
      <c r="S1461" t="s">
        <v>159</v>
      </c>
      <c r="T1461">
        <v>59.6</v>
      </c>
      <c r="V1461">
        <v>105.2</v>
      </c>
      <c r="W1461">
        <v>83.6</v>
      </c>
      <c r="X1461">
        <v>10.1</v>
      </c>
      <c r="Y1461">
        <v>28.8</v>
      </c>
      <c r="Z1461">
        <v>8574832</v>
      </c>
      <c r="AA1461">
        <v>46.818187999999999</v>
      </c>
      <c r="AB1461">
        <v>8.2275120000000008</v>
      </c>
    </row>
    <row r="1462" spans="1:28" hidden="1">
      <c r="A1462">
        <v>1434</v>
      </c>
      <c r="B1462">
        <v>2100</v>
      </c>
      <c r="C1462" t="s">
        <v>26</v>
      </c>
      <c r="D1462" t="s">
        <v>2978</v>
      </c>
      <c r="E1462">
        <v>72</v>
      </c>
      <c r="G1462" t="s">
        <v>95</v>
      </c>
      <c r="H1462" t="s">
        <v>1869</v>
      </c>
      <c r="I1462" t="s">
        <v>410</v>
      </c>
      <c r="J1462" t="s">
        <v>26</v>
      </c>
      <c r="K1462" t="s">
        <v>95</v>
      </c>
      <c r="M1462" t="b">
        <v>0</v>
      </c>
      <c r="N1462" t="s">
        <v>42</v>
      </c>
      <c r="O1462" t="s">
        <v>88</v>
      </c>
      <c r="Q1462">
        <v>110.96</v>
      </c>
      <c r="R1462">
        <v>0.7</v>
      </c>
      <c r="S1462" t="s">
        <v>98</v>
      </c>
      <c r="T1462">
        <v>88.9</v>
      </c>
      <c r="V1462">
        <v>102.7</v>
      </c>
      <c r="W1462">
        <v>83.3</v>
      </c>
      <c r="X1462">
        <v>14.2</v>
      </c>
      <c r="Y1462">
        <v>47</v>
      </c>
      <c r="Z1462">
        <v>47076781</v>
      </c>
      <c r="AA1462">
        <v>40.463667000000001</v>
      </c>
      <c r="AB1462">
        <v>-3.7492200000000002</v>
      </c>
    </row>
    <row r="1463" spans="1:28" hidden="1">
      <c r="A1463">
        <v>1434</v>
      </c>
      <c r="B1463">
        <v>2100</v>
      </c>
      <c r="C1463" t="s">
        <v>75</v>
      </c>
      <c r="D1463" t="s">
        <v>2979</v>
      </c>
      <c r="E1463">
        <v>80</v>
      </c>
      <c r="G1463" t="s">
        <v>810</v>
      </c>
      <c r="H1463" t="s">
        <v>811</v>
      </c>
      <c r="I1463" t="s">
        <v>75</v>
      </c>
      <c r="J1463" t="s">
        <v>75</v>
      </c>
      <c r="K1463" t="s">
        <v>810</v>
      </c>
      <c r="M1463" t="b">
        <v>0</v>
      </c>
      <c r="N1463" t="s">
        <v>42</v>
      </c>
      <c r="O1463" t="s">
        <v>33</v>
      </c>
    </row>
    <row r="1464" spans="1:28" hidden="1">
      <c r="A1464">
        <v>1434</v>
      </c>
      <c r="B1464">
        <v>2100</v>
      </c>
      <c r="C1464" t="s">
        <v>217</v>
      </c>
      <c r="D1464" t="s">
        <v>2980</v>
      </c>
      <c r="E1464">
        <v>49</v>
      </c>
      <c r="G1464" t="s">
        <v>103</v>
      </c>
      <c r="H1464" t="s">
        <v>1248</v>
      </c>
      <c r="I1464" t="s">
        <v>2735</v>
      </c>
      <c r="J1464" t="s">
        <v>217</v>
      </c>
      <c r="K1464" t="s">
        <v>103</v>
      </c>
      <c r="M1464" t="b">
        <v>1</v>
      </c>
      <c r="N1464" t="s">
        <v>32</v>
      </c>
      <c r="O1464" t="s">
        <v>33</v>
      </c>
      <c r="Q1464">
        <v>125.08</v>
      </c>
      <c r="R1464">
        <v>2.9</v>
      </c>
      <c r="S1464" t="s">
        <v>106</v>
      </c>
      <c r="T1464">
        <v>50.6</v>
      </c>
      <c r="V1464">
        <v>100.2</v>
      </c>
      <c r="W1464">
        <v>77</v>
      </c>
      <c r="X1464">
        <v>9.4</v>
      </c>
      <c r="Y1464">
        <v>59.2</v>
      </c>
      <c r="Z1464">
        <v>1397715000</v>
      </c>
      <c r="AA1464">
        <v>35.861660000000001</v>
      </c>
      <c r="AB1464">
        <v>104.195397</v>
      </c>
    </row>
    <row r="1465" spans="1:28" hidden="1">
      <c r="A1465">
        <v>1434</v>
      </c>
      <c r="B1465">
        <v>2100</v>
      </c>
      <c r="C1465" t="s">
        <v>45</v>
      </c>
      <c r="D1465" t="s">
        <v>2981</v>
      </c>
      <c r="E1465">
        <v>40</v>
      </c>
      <c r="G1465" t="s">
        <v>38</v>
      </c>
      <c r="H1465" t="s">
        <v>2982</v>
      </c>
      <c r="I1465" t="s">
        <v>2983</v>
      </c>
      <c r="J1465" t="s">
        <v>45</v>
      </c>
      <c r="K1465" t="s">
        <v>38</v>
      </c>
      <c r="M1465" t="b">
        <v>1</v>
      </c>
      <c r="N1465" t="s">
        <v>32</v>
      </c>
      <c r="O1465" t="s">
        <v>33</v>
      </c>
      <c r="Q1465">
        <v>117.24</v>
      </c>
      <c r="R1465">
        <v>7.5</v>
      </c>
      <c r="S1465" t="s">
        <v>44</v>
      </c>
      <c r="T1465">
        <v>88.2</v>
      </c>
      <c r="V1465">
        <v>101.8</v>
      </c>
      <c r="W1465">
        <v>78.5</v>
      </c>
      <c r="X1465">
        <v>9.6</v>
      </c>
      <c r="Y1465">
        <v>36.6</v>
      </c>
      <c r="Z1465">
        <v>328239523</v>
      </c>
      <c r="AA1465">
        <v>37.090240000000001</v>
      </c>
      <c r="AB1465">
        <v>-95.712890999999999</v>
      </c>
    </row>
    <row r="1466" spans="1:28" hidden="1">
      <c r="A1466">
        <v>1434</v>
      </c>
      <c r="B1466">
        <v>2100</v>
      </c>
      <c r="C1466" t="s">
        <v>45</v>
      </c>
      <c r="D1466" t="s">
        <v>2984</v>
      </c>
      <c r="E1466">
        <v>57</v>
      </c>
      <c r="G1466" t="s">
        <v>263</v>
      </c>
      <c r="H1466" t="s">
        <v>274</v>
      </c>
      <c r="I1466" t="s">
        <v>572</v>
      </c>
      <c r="J1466" t="s">
        <v>45</v>
      </c>
      <c r="K1466" t="s">
        <v>263</v>
      </c>
      <c r="M1466" t="b">
        <v>1</v>
      </c>
      <c r="N1466" t="s">
        <v>32</v>
      </c>
      <c r="O1466" t="s">
        <v>33</v>
      </c>
      <c r="Q1466">
        <v>180.75</v>
      </c>
      <c r="R1466">
        <v>4.5</v>
      </c>
      <c r="S1466" t="s">
        <v>276</v>
      </c>
      <c r="T1466">
        <v>81.900000000000006</v>
      </c>
      <c r="V1466">
        <v>102.6</v>
      </c>
      <c r="W1466">
        <v>72.7</v>
      </c>
      <c r="X1466">
        <v>11.4</v>
      </c>
      <c r="Y1466">
        <v>46.2</v>
      </c>
      <c r="Z1466">
        <v>144373535</v>
      </c>
      <c r="AA1466">
        <v>61.524009999999997</v>
      </c>
      <c r="AB1466">
        <v>105.31875599999999</v>
      </c>
    </row>
    <row r="1467" spans="1:28" hidden="1">
      <c r="A1467">
        <v>1434</v>
      </c>
      <c r="B1467">
        <v>2100</v>
      </c>
      <c r="C1467" t="s">
        <v>26</v>
      </c>
      <c r="D1467" t="s">
        <v>2985</v>
      </c>
      <c r="E1467">
        <v>48</v>
      </c>
      <c r="G1467" t="s">
        <v>467</v>
      </c>
      <c r="H1467" t="s">
        <v>2986</v>
      </c>
      <c r="I1467" t="s">
        <v>150</v>
      </c>
      <c r="J1467" t="s">
        <v>26</v>
      </c>
      <c r="K1467" t="s">
        <v>263</v>
      </c>
      <c r="M1467" t="b">
        <v>1</v>
      </c>
      <c r="N1467" t="s">
        <v>853</v>
      </c>
      <c r="O1467" t="s">
        <v>33</v>
      </c>
      <c r="Q1467">
        <v>102.51</v>
      </c>
      <c r="R1467">
        <v>0.3</v>
      </c>
      <c r="S1467" t="s">
        <v>2607</v>
      </c>
      <c r="T1467">
        <v>75.900000000000006</v>
      </c>
      <c r="V1467">
        <v>99.3</v>
      </c>
      <c r="W1467">
        <v>80.8</v>
      </c>
      <c r="X1467">
        <v>24.5</v>
      </c>
      <c r="Y1467">
        <v>22.4</v>
      </c>
      <c r="Z1467">
        <v>1198575</v>
      </c>
      <c r="AA1467">
        <v>35.126412999999999</v>
      </c>
      <c r="AB1467">
        <v>33.429859</v>
      </c>
    </row>
    <row r="1468" spans="1:28" hidden="1">
      <c r="A1468">
        <v>1434</v>
      </c>
      <c r="B1468">
        <v>2100</v>
      </c>
      <c r="C1468" t="s">
        <v>101</v>
      </c>
      <c r="D1468" t="s">
        <v>2987</v>
      </c>
      <c r="E1468">
        <v>47</v>
      </c>
      <c r="G1468" t="s">
        <v>263</v>
      </c>
      <c r="H1468" t="s">
        <v>274</v>
      </c>
      <c r="I1468" t="s">
        <v>150</v>
      </c>
      <c r="J1468" t="s">
        <v>101</v>
      </c>
      <c r="K1468" t="s">
        <v>263</v>
      </c>
      <c r="M1468" t="b">
        <v>1</v>
      </c>
      <c r="N1468" t="s">
        <v>192</v>
      </c>
      <c r="O1468" t="s">
        <v>33</v>
      </c>
      <c r="Q1468">
        <v>180.75</v>
      </c>
      <c r="R1468">
        <v>4.5</v>
      </c>
      <c r="S1468" t="s">
        <v>276</v>
      </c>
      <c r="T1468">
        <v>81.900000000000006</v>
      </c>
      <c r="V1468">
        <v>102.6</v>
      </c>
      <c r="W1468">
        <v>72.7</v>
      </c>
      <c r="X1468">
        <v>11.4</v>
      </c>
      <c r="Y1468">
        <v>46.2</v>
      </c>
      <c r="Z1468">
        <v>144373535</v>
      </c>
      <c r="AA1468">
        <v>61.524009999999997</v>
      </c>
      <c r="AB1468">
        <v>105.31875599999999</v>
      </c>
    </row>
    <row r="1469" spans="1:28" hidden="1">
      <c r="A1469">
        <v>1434</v>
      </c>
      <c r="B1469">
        <v>2100</v>
      </c>
      <c r="C1469" t="s">
        <v>221</v>
      </c>
      <c r="D1469" t="s">
        <v>2988</v>
      </c>
      <c r="E1469">
        <v>71</v>
      </c>
      <c r="G1469" t="s">
        <v>172</v>
      </c>
      <c r="H1469" t="s">
        <v>172</v>
      </c>
      <c r="I1469" t="s">
        <v>223</v>
      </c>
      <c r="J1469" t="s">
        <v>221</v>
      </c>
      <c r="K1469" t="s">
        <v>172</v>
      </c>
      <c r="M1469" t="b">
        <v>0</v>
      </c>
      <c r="N1469" t="s">
        <v>32</v>
      </c>
      <c r="O1469" t="s">
        <v>33</v>
      </c>
    </row>
    <row r="1470" spans="1:28" hidden="1">
      <c r="A1470">
        <v>1434</v>
      </c>
      <c r="B1470">
        <v>2100</v>
      </c>
      <c r="C1470" t="s">
        <v>217</v>
      </c>
      <c r="D1470" t="s">
        <v>2989</v>
      </c>
      <c r="G1470" t="s">
        <v>172</v>
      </c>
      <c r="H1470" t="s">
        <v>172</v>
      </c>
      <c r="I1470" t="s">
        <v>1121</v>
      </c>
      <c r="J1470" t="s">
        <v>217</v>
      </c>
      <c r="K1470" t="s">
        <v>172</v>
      </c>
      <c r="L1470" t="s">
        <v>2990</v>
      </c>
      <c r="M1470" t="b">
        <v>1</v>
      </c>
      <c r="N1470" t="s">
        <v>42</v>
      </c>
      <c r="O1470" t="s">
        <v>88</v>
      </c>
      <c r="P1470" t="s">
        <v>941</v>
      </c>
    </row>
    <row r="1471" spans="1:28">
      <c r="A1471">
        <v>1434</v>
      </c>
      <c r="B1471">
        <v>2100</v>
      </c>
      <c r="C1471" t="s">
        <v>54</v>
      </c>
      <c r="D1471" t="s">
        <v>2991</v>
      </c>
      <c r="E1471">
        <v>62</v>
      </c>
      <c r="F1471" t="str">
        <f>IF(E1471&gt;=90,"90-100",IF(E1471&gt;=80,"80-90",IF(E1471&gt;=70,"70-80",IF(E1471&gt;=60,"60-70",IF(E1471&gt;=50,"50-60",IF(E1471&gt;=40,"40-50",IF(E1471&gt;=30,"30-40","20-30")))))))</f>
        <v>60-70</v>
      </c>
      <c r="G1471" t="s">
        <v>38</v>
      </c>
      <c r="H1471" t="s">
        <v>65</v>
      </c>
      <c r="I1471" t="s">
        <v>185</v>
      </c>
      <c r="J1471" t="s">
        <v>54</v>
      </c>
      <c r="K1471" t="s">
        <v>38</v>
      </c>
      <c r="L1471" t="s">
        <v>2992</v>
      </c>
      <c r="M1471" t="b">
        <v>1</v>
      </c>
      <c r="N1471" t="s">
        <v>32</v>
      </c>
      <c r="O1471" t="s">
        <v>4867</v>
      </c>
      <c r="P1471" t="s">
        <v>146</v>
      </c>
      <c r="Q1471">
        <v>117.24</v>
      </c>
      <c r="R1471">
        <v>7.5</v>
      </c>
      <c r="S1471" t="s">
        <v>44</v>
      </c>
      <c r="T1471">
        <v>88.2</v>
      </c>
      <c r="U1471" t="str">
        <f>IF(T1471&gt;=100,"above 100",IF(T1471&gt;=80,"80-100",IF(T1471&gt;=60,"60-80",IF(T1471&gt;=40,"40-60",IF(T1471&gt;=20,"20-60","0-20")))))</f>
        <v>80-100</v>
      </c>
      <c r="V1471">
        <v>101.8</v>
      </c>
      <c r="W1471">
        <v>78.5</v>
      </c>
      <c r="X1471">
        <v>9.6</v>
      </c>
      <c r="Y1471">
        <v>36.6</v>
      </c>
      <c r="Z1471">
        <v>328239523</v>
      </c>
      <c r="AA1471">
        <v>37.090240000000001</v>
      </c>
      <c r="AB1471">
        <v>-95.712890999999999</v>
      </c>
    </row>
    <row r="1472" spans="1:28" hidden="1">
      <c r="A1472">
        <v>1434</v>
      </c>
      <c r="B1472">
        <v>2100</v>
      </c>
      <c r="C1472" t="s">
        <v>54</v>
      </c>
      <c r="D1472" t="s">
        <v>2993</v>
      </c>
      <c r="E1472">
        <v>82</v>
      </c>
      <c r="G1472" t="s">
        <v>28</v>
      </c>
      <c r="H1472" t="s">
        <v>1088</v>
      </c>
      <c r="I1472" t="s">
        <v>2994</v>
      </c>
      <c r="J1472" t="s">
        <v>54</v>
      </c>
      <c r="K1472" t="s">
        <v>28</v>
      </c>
      <c r="M1472" t="b">
        <v>1</v>
      </c>
      <c r="N1472" t="s">
        <v>42</v>
      </c>
      <c r="O1472" t="s">
        <v>33</v>
      </c>
      <c r="Q1472">
        <v>110.05</v>
      </c>
      <c r="R1472">
        <v>1.1000000000000001</v>
      </c>
      <c r="S1472" t="s">
        <v>35</v>
      </c>
      <c r="T1472">
        <v>65.599999999999994</v>
      </c>
      <c r="V1472">
        <v>102.5</v>
      </c>
      <c r="W1472">
        <v>82.5</v>
      </c>
      <c r="X1472">
        <v>24.2</v>
      </c>
      <c r="Y1472">
        <v>60.7</v>
      </c>
      <c r="Z1472">
        <v>67059887</v>
      </c>
      <c r="AA1472">
        <v>46.227637999999999</v>
      </c>
      <c r="AB1472">
        <v>2.213749</v>
      </c>
    </row>
    <row r="1473" spans="1:28" hidden="1">
      <c r="A1473">
        <v>1434</v>
      </c>
      <c r="B1473">
        <v>2100</v>
      </c>
      <c r="C1473" t="s">
        <v>478</v>
      </c>
      <c r="D1473" t="s">
        <v>2995</v>
      </c>
      <c r="E1473">
        <v>67</v>
      </c>
      <c r="G1473" t="s">
        <v>38</v>
      </c>
      <c r="H1473" t="s">
        <v>2104</v>
      </c>
      <c r="I1473" t="s">
        <v>2895</v>
      </c>
      <c r="J1473" t="s">
        <v>478</v>
      </c>
      <c r="K1473" t="s">
        <v>38</v>
      </c>
      <c r="M1473" t="b">
        <v>1</v>
      </c>
      <c r="N1473" t="s">
        <v>32</v>
      </c>
      <c r="O1473" t="s">
        <v>33</v>
      </c>
      <c r="Q1473">
        <v>117.24</v>
      </c>
      <c r="R1473">
        <v>7.5</v>
      </c>
      <c r="S1473" t="s">
        <v>44</v>
      </c>
      <c r="T1473">
        <v>88.2</v>
      </c>
      <c r="V1473">
        <v>101.8</v>
      </c>
      <c r="W1473">
        <v>78.5</v>
      </c>
      <c r="X1473">
        <v>9.6</v>
      </c>
      <c r="Y1473">
        <v>36.6</v>
      </c>
      <c r="Z1473">
        <v>328239523</v>
      </c>
      <c r="AA1473">
        <v>37.090240000000001</v>
      </c>
      <c r="AB1473">
        <v>-95.712890999999999</v>
      </c>
    </row>
    <row r="1474" spans="1:28" hidden="1">
      <c r="A1474">
        <v>1434</v>
      </c>
      <c r="B1474">
        <v>2100</v>
      </c>
      <c r="C1474" t="s">
        <v>221</v>
      </c>
      <c r="D1474" t="s">
        <v>2996</v>
      </c>
      <c r="E1474">
        <v>82</v>
      </c>
      <c r="G1474" t="s">
        <v>810</v>
      </c>
      <c r="H1474" t="s">
        <v>811</v>
      </c>
      <c r="I1474" t="s">
        <v>223</v>
      </c>
      <c r="J1474" t="s">
        <v>221</v>
      </c>
      <c r="K1474" t="s">
        <v>810</v>
      </c>
      <c r="M1474" t="b">
        <v>0</v>
      </c>
      <c r="N1474" t="s">
        <v>42</v>
      </c>
      <c r="O1474" t="s">
        <v>88</v>
      </c>
    </row>
    <row r="1475" spans="1:28" hidden="1">
      <c r="A1475">
        <v>1434</v>
      </c>
      <c r="B1475">
        <v>2100</v>
      </c>
      <c r="C1475" t="s">
        <v>217</v>
      </c>
      <c r="D1475" t="s">
        <v>2997</v>
      </c>
      <c r="E1475">
        <v>60</v>
      </c>
      <c r="G1475" t="s">
        <v>103</v>
      </c>
      <c r="H1475" t="s">
        <v>176</v>
      </c>
      <c r="I1475" t="s">
        <v>2998</v>
      </c>
      <c r="J1475" t="s">
        <v>217</v>
      </c>
      <c r="K1475" t="s">
        <v>103</v>
      </c>
      <c r="M1475" t="b">
        <v>1</v>
      </c>
      <c r="N1475" t="s">
        <v>32</v>
      </c>
      <c r="O1475" t="s">
        <v>33</v>
      </c>
      <c r="Q1475">
        <v>125.08</v>
      </c>
      <c r="R1475">
        <v>2.9</v>
      </c>
      <c r="S1475" t="s">
        <v>106</v>
      </c>
      <c r="T1475">
        <v>50.6</v>
      </c>
      <c r="V1475">
        <v>100.2</v>
      </c>
      <c r="W1475">
        <v>77</v>
      </c>
      <c r="X1475">
        <v>9.4</v>
      </c>
      <c r="Y1475">
        <v>59.2</v>
      </c>
      <c r="Z1475">
        <v>1397715000</v>
      </c>
      <c r="AA1475">
        <v>35.861660000000001</v>
      </c>
      <c r="AB1475">
        <v>104.195397</v>
      </c>
    </row>
    <row r="1476" spans="1:28" hidden="1">
      <c r="A1476">
        <v>1434</v>
      </c>
      <c r="B1476">
        <v>2100</v>
      </c>
      <c r="C1476" t="s">
        <v>26</v>
      </c>
      <c r="D1476" t="s">
        <v>2999</v>
      </c>
      <c r="E1476">
        <v>49</v>
      </c>
      <c r="G1476" t="s">
        <v>467</v>
      </c>
      <c r="H1476" t="s">
        <v>3000</v>
      </c>
      <c r="I1476" t="s">
        <v>150</v>
      </c>
      <c r="J1476" t="s">
        <v>26</v>
      </c>
      <c r="K1476" t="s">
        <v>263</v>
      </c>
      <c r="M1476" t="b">
        <v>1</v>
      </c>
      <c r="N1476" t="s">
        <v>853</v>
      </c>
      <c r="O1476" t="s">
        <v>33</v>
      </c>
      <c r="Q1476">
        <v>102.51</v>
      </c>
      <c r="R1476">
        <v>0.3</v>
      </c>
      <c r="S1476" t="s">
        <v>2607</v>
      </c>
      <c r="T1476">
        <v>75.900000000000006</v>
      </c>
      <c r="V1476">
        <v>99.3</v>
      </c>
      <c r="W1476">
        <v>80.8</v>
      </c>
      <c r="X1476">
        <v>24.5</v>
      </c>
      <c r="Y1476">
        <v>22.4</v>
      </c>
      <c r="Z1476">
        <v>1198575</v>
      </c>
      <c r="AA1476">
        <v>35.126412999999999</v>
      </c>
      <c r="AB1476">
        <v>33.429859</v>
      </c>
    </row>
    <row r="1477" spans="1:28" hidden="1">
      <c r="A1477">
        <v>1434</v>
      </c>
      <c r="B1477">
        <v>2100</v>
      </c>
      <c r="C1477" t="s">
        <v>101</v>
      </c>
      <c r="D1477" t="s">
        <v>3001</v>
      </c>
      <c r="E1477">
        <v>54</v>
      </c>
      <c r="G1477" t="s">
        <v>38</v>
      </c>
      <c r="H1477" t="s">
        <v>65</v>
      </c>
      <c r="I1477" t="s">
        <v>3002</v>
      </c>
      <c r="J1477" t="s">
        <v>101</v>
      </c>
      <c r="K1477" t="s">
        <v>38</v>
      </c>
      <c r="M1477" t="b">
        <v>1</v>
      </c>
      <c r="N1477" t="s">
        <v>42</v>
      </c>
      <c r="O1477" t="s">
        <v>33</v>
      </c>
      <c r="Q1477">
        <v>117.24</v>
      </c>
      <c r="R1477">
        <v>7.5</v>
      </c>
      <c r="S1477" t="s">
        <v>44</v>
      </c>
      <c r="T1477">
        <v>88.2</v>
      </c>
      <c r="V1477">
        <v>101.8</v>
      </c>
      <c r="W1477">
        <v>78.5</v>
      </c>
      <c r="X1477">
        <v>9.6</v>
      </c>
      <c r="Y1477">
        <v>36.6</v>
      </c>
      <c r="Z1477">
        <v>328239523</v>
      </c>
      <c r="AA1477">
        <v>37.090240000000001</v>
      </c>
      <c r="AB1477">
        <v>-95.712890999999999</v>
      </c>
    </row>
    <row r="1478" spans="1:28" hidden="1">
      <c r="A1478">
        <v>1434</v>
      </c>
      <c r="B1478">
        <v>2100</v>
      </c>
      <c r="C1478" t="s">
        <v>45</v>
      </c>
      <c r="D1478" t="s">
        <v>3003</v>
      </c>
      <c r="G1478" t="s">
        <v>103</v>
      </c>
      <c r="H1478" t="s">
        <v>143</v>
      </c>
      <c r="I1478" t="s">
        <v>825</v>
      </c>
      <c r="J1478" t="s">
        <v>45</v>
      </c>
      <c r="K1478" t="s">
        <v>103</v>
      </c>
      <c r="M1478" t="b">
        <v>1</v>
      </c>
      <c r="N1478" t="s">
        <v>32</v>
      </c>
      <c r="O1478" t="s">
        <v>88</v>
      </c>
      <c r="Q1478">
        <v>125.08</v>
      </c>
      <c r="R1478">
        <v>2.9</v>
      </c>
      <c r="S1478" t="s">
        <v>106</v>
      </c>
      <c r="T1478">
        <v>50.6</v>
      </c>
      <c r="V1478">
        <v>100.2</v>
      </c>
      <c r="W1478">
        <v>77</v>
      </c>
      <c r="X1478">
        <v>9.4</v>
      </c>
      <c r="Y1478">
        <v>59.2</v>
      </c>
      <c r="Z1478">
        <v>1397715000</v>
      </c>
      <c r="AA1478">
        <v>35.861660000000001</v>
      </c>
      <c r="AB1478">
        <v>104.195397</v>
      </c>
    </row>
    <row r="1479" spans="1:28" hidden="1">
      <c r="A1479">
        <v>1434</v>
      </c>
      <c r="B1479">
        <v>2100</v>
      </c>
      <c r="C1479" t="s">
        <v>75</v>
      </c>
      <c r="D1479" t="s">
        <v>3004</v>
      </c>
      <c r="E1479">
        <v>67</v>
      </c>
      <c r="G1479" t="s">
        <v>77</v>
      </c>
      <c r="H1479" t="s">
        <v>78</v>
      </c>
      <c r="I1479" t="s">
        <v>75</v>
      </c>
      <c r="J1479" t="s">
        <v>75</v>
      </c>
      <c r="K1479" t="s">
        <v>77</v>
      </c>
      <c r="M1479" t="b">
        <v>0</v>
      </c>
      <c r="N1479" t="s">
        <v>32</v>
      </c>
      <c r="O1479" t="s">
        <v>33</v>
      </c>
      <c r="Q1479">
        <v>180.44</v>
      </c>
      <c r="R1479">
        <v>7.7</v>
      </c>
      <c r="S1479" t="s">
        <v>81</v>
      </c>
      <c r="T1479">
        <v>28.1</v>
      </c>
      <c r="V1479">
        <v>113</v>
      </c>
      <c r="W1479">
        <v>69.400000000000006</v>
      </c>
      <c r="X1479">
        <v>11.2</v>
      </c>
      <c r="Y1479">
        <v>49.7</v>
      </c>
      <c r="Z1479">
        <v>1366417754</v>
      </c>
      <c r="AA1479">
        <v>20.593684</v>
      </c>
      <c r="AB1479">
        <v>78.962879999999998</v>
      </c>
    </row>
    <row r="1480" spans="1:28" hidden="1">
      <c r="A1480">
        <v>1434</v>
      </c>
      <c r="B1480">
        <v>2100</v>
      </c>
      <c r="C1480" t="s">
        <v>26</v>
      </c>
      <c r="D1480" t="s">
        <v>3005</v>
      </c>
      <c r="E1480">
        <v>72</v>
      </c>
      <c r="G1480" t="s">
        <v>77</v>
      </c>
      <c r="H1480" t="s">
        <v>78</v>
      </c>
      <c r="I1480" t="s">
        <v>3006</v>
      </c>
      <c r="J1480" t="s">
        <v>26</v>
      </c>
      <c r="K1480" t="s">
        <v>77</v>
      </c>
      <c r="M1480" t="b">
        <v>0</v>
      </c>
      <c r="N1480" t="s">
        <v>32</v>
      </c>
      <c r="O1480" t="s">
        <v>33</v>
      </c>
      <c r="Q1480">
        <v>180.44</v>
      </c>
      <c r="R1480">
        <v>7.7</v>
      </c>
      <c r="S1480" t="s">
        <v>81</v>
      </c>
      <c r="T1480">
        <v>28.1</v>
      </c>
      <c r="V1480">
        <v>113</v>
      </c>
      <c r="W1480">
        <v>69.400000000000006</v>
      </c>
      <c r="X1480">
        <v>11.2</v>
      </c>
      <c r="Y1480">
        <v>49.7</v>
      </c>
      <c r="Z1480">
        <v>1366417754</v>
      </c>
      <c r="AA1480">
        <v>20.593684</v>
      </c>
      <c r="AB1480">
        <v>78.962879999999998</v>
      </c>
    </row>
    <row r="1481" spans="1:28" hidden="1">
      <c r="A1481">
        <v>1434</v>
      </c>
      <c r="B1481">
        <v>2100</v>
      </c>
      <c r="C1481" t="s">
        <v>75</v>
      </c>
      <c r="D1481" t="s">
        <v>3007</v>
      </c>
      <c r="E1481">
        <v>41</v>
      </c>
      <c r="G1481" t="s">
        <v>397</v>
      </c>
      <c r="H1481" t="s">
        <v>398</v>
      </c>
      <c r="I1481" t="s">
        <v>231</v>
      </c>
      <c r="J1481" t="s">
        <v>75</v>
      </c>
      <c r="K1481" t="s">
        <v>397</v>
      </c>
      <c r="M1481" t="b">
        <v>0</v>
      </c>
      <c r="N1481" t="s">
        <v>32</v>
      </c>
      <c r="O1481" t="s">
        <v>88</v>
      </c>
      <c r="Q1481">
        <v>110.51</v>
      </c>
      <c r="R1481">
        <v>1.8</v>
      </c>
      <c r="S1481" t="s">
        <v>401</v>
      </c>
      <c r="T1481">
        <v>67</v>
      </c>
      <c r="V1481">
        <v>126.6</v>
      </c>
      <c r="W1481">
        <v>82.5</v>
      </c>
      <c r="X1481">
        <v>27.9</v>
      </c>
      <c r="Y1481">
        <v>49.1</v>
      </c>
      <c r="Z1481">
        <v>10285453</v>
      </c>
      <c r="AA1481">
        <v>60.128160999999999</v>
      </c>
      <c r="AB1481">
        <v>18.643501000000001</v>
      </c>
    </row>
    <row r="1482" spans="1:28">
      <c r="A1482">
        <v>1434</v>
      </c>
      <c r="B1482">
        <v>2100</v>
      </c>
      <c r="C1482" t="s">
        <v>288</v>
      </c>
      <c r="D1482" t="s">
        <v>3008</v>
      </c>
      <c r="E1482">
        <v>70</v>
      </c>
      <c r="F1482" t="str">
        <f>IF(E1482&gt;=90,"90-100",IF(E1482&gt;=80,"80-90",IF(E1482&gt;=70,"70-80",IF(E1482&gt;=60,"60-70",IF(E1482&gt;=50,"50-60",IF(E1482&gt;=40,"40-50",IF(E1482&gt;=30,"30-40","20-30")))))))</f>
        <v>70-80</v>
      </c>
      <c r="G1482" t="s">
        <v>77</v>
      </c>
      <c r="H1482" t="s">
        <v>667</v>
      </c>
      <c r="I1482" t="s">
        <v>1932</v>
      </c>
      <c r="J1482" t="s">
        <v>288</v>
      </c>
      <c r="K1482" t="s">
        <v>77</v>
      </c>
      <c r="L1482" t="s">
        <v>3009</v>
      </c>
      <c r="M1482" t="b">
        <v>1</v>
      </c>
      <c r="N1482" t="s">
        <v>42</v>
      </c>
      <c r="O1482" t="s">
        <v>4866</v>
      </c>
      <c r="P1482" t="s">
        <v>1966</v>
      </c>
      <c r="Q1482">
        <v>180.44</v>
      </c>
      <c r="R1482">
        <v>7.7</v>
      </c>
      <c r="S1482" t="s">
        <v>81</v>
      </c>
      <c r="T1482">
        <v>28.1</v>
      </c>
      <c r="U1482" t="str">
        <f>IF(T1482&gt;=100,"above 100",IF(T1482&gt;=80,"80-100",IF(T1482&gt;=60,"60-80",IF(T1482&gt;=40,"40-60",IF(T1482&gt;=20,"20-60","0-20")))))</f>
        <v>20-60</v>
      </c>
      <c r="V1482">
        <v>113</v>
      </c>
      <c r="W1482">
        <v>69.400000000000006</v>
      </c>
      <c r="X1482">
        <v>11.2</v>
      </c>
      <c r="Y1482">
        <v>49.7</v>
      </c>
      <c r="Z1482">
        <v>1366417754</v>
      </c>
      <c r="AA1482">
        <v>20.593684</v>
      </c>
      <c r="AB1482">
        <v>78.962879999999998</v>
      </c>
    </row>
    <row r="1483" spans="1:28" hidden="1">
      <c r="A1483">
        <v>1434</v>
      </c>
      <c r="B1483">
        <v>2100</v>
      </c>
      <c r="C1483" t="s">
        <v>36</v>
      </c>
      <c r="D1483" t="s">
        <v>3010</v>
      </c>
      <c r="E1483">
        <v>65</v>
      </c>
      <c r="G1483" t="s">
        <v>77</v>
      </c>
      <c r="H1483" t="s">
        <v>3011</v>
      </c>
      <c r="I1483" t="s">
        <v>506</v>
      </c>
      <c r="J1483" t="s">
        <v>36</v>
      </c>
      <c r="K1483" t="s">
        <v>77</v>
      </c>
      <c r="M1483" t="b">
        <v>0</v>
      </c>
      <c r="N1483" t="s">
        <v>42</v>
      </c>
      <c r="O1483" t="s">
        <v>33</v>
      </c>
      <c r="Q1483">
        <v>180.44</v>
      </c>
      <c r="R1483">
        <v>7.7</v>
      </c>
      <c r="S1483" t="s">
        <v>81</v>
      </c>
      <c r="T1483">
        <v>28.1</v>
      </c>
      <c r="V1483">
        <v>113</v>
      </c>
      <c r="W1483">
        <v>69.400000000000006</v>
      </c>
      <c r="X1483">
        <v>11.2</v>
      </c>
      <c r="Y1483">
        <v>49.7</v>
      </c>
      <c r="Z1483">
        <v>1366417754</v>
      </c>
      <c r="AA1483">
        <v>20.593684</v>
      </c>
      <c r="AB1483">
        <v>78.962879999999998</v>
      </c>
    </row>
    <row r="1484" spans="1:28" hidden="1">
      <c r="A1484">
        <v>1434</v>
      </c>
      <c r="B1484">
        <v>2100</v>
      </c>
      <c r="C1484" t="s">
        <v>45</v>
      </c>
      <c r="D1484" t="s">
        <v>3012</v>
      </c>
      <c r="E1484">
        <v>43</v>
      </c>
      <c r="G1484" t="s">
        <v>103</v>
      </c>
      <c r="H1484" t="s">
        <v>143</v>
      </c>
      <c r="I1484" t="s">
        <v>216</v>
      </c>
      <c r="J1484" t="s">
        <v>45</v>
      </c>
      <c r="K1484" t="s">
        <v>103</v>
      </c>
      <c r="M1484" t="b">
        <v>1</v>
      </c>
      <c r="N1484" t="s">
        <v>42</v>
      </c>
      <c r="O1484" t="s">
        <v>33</v>
      </c>
      <c r="Q1484">
        <v>125.08</v>
      </c>
      <c r="R1484">
        <v>2.9</v>
      </c>
      <c r="S1484" t="s">
        <v>106</v>
      </c>
      <c r="T1484">
        <v>50.6</v>
      </c>
      <c r="V1484">
        <v>100.2</v>
      </c>
      <c r="W1484">
        <v>77</v>
      </c>
      <c r="X1484">
        <v>9.4</v>
      </c>
      <c r="Y1484">
        <v>59.2</v>
      </c>
      <c r="Z1484">
        <v>1397715000</v>
      </c>
      <c r="AA1484">
        <v>35.861660000000001</v>
      </c>
      <c r="AB1484">
        <v>104.195397</v>
      </c>
    </row>
    <row r="1485" spans="1:28" hidden="1">
      <c r="A1485">
        <v>1434</v>
      </c>
      <c r="B1485">
        <v>2100</v>
      </c>
      <c r="C1485" t="s">
        <v>217</v>
      </c>
      <c r="D1485" t="s">
        <v>3013</v>
      </c>
      <c r="E1485">
        <v>80</v>
      </c>
      <c r="G1485" t="s">
        <v>945</v>
      </c>
      <c r="H1485" t="s">
        <v>3014</v>
      </c>
      <c r="I1485" t="s">
        <v>2394</v>
      </c>
      <c r="J1485" t="s">
        <v>217</v>
      </c>
      <c r="K1485" t="s">
        <v>945</v>
      </c>
      <c r="M1485" t="b">
        <v>1</v>
      </c>
      <c r="N1485" t="s">
        <v>42</v>
      </c>
      <c r="O1485" t="s">
        <v>33</v>
      </c>
    </row>
    <row r="1486" spans="1:28" hidden="1">
      <c r="A1486">
        <v>1434</v>
      </c>
      <c r="B1486">
        <v>2100</v>
      </c>
      <c r="C1486" t="s">
        <v>54</v>
      </c>
      <c r="D1486" t="s">
        <v>3015</v>
      </c>
      <c r="E1486">
        <v>60</v>
      </c>
      <c r="G1486" t="s">
        <v>263</v>
      </c>
      <c r="H1486" t="s">
        <v>274</v>
      </c>
      <c r="I1486" t="s">
        <v>3016</v>
      </c>
      <c r="J1486" t="s">
        <v>54</v>
      </c>
      <c r="K1486" t="s">
        <v>263</v>
      </c>
      <c r="M1486" t="b">
        <v>1</v>
      </c>
      <c r="N1486" t="s">
        <v>32</v>
      </c>
      <c r="O1486" t="s">
        <v>33</v>
      </c>
      <c r="Q1486">
        <v>180.75</v>
      </c>
      <c r="R1486">
        <v>4.5</v>
      </c>
      <c r="S1486" t="s">
        <v>276</v>
      </c>
      <c r="T1486">
        <v>81.900000000000006</v>
      </c>
      <c r="V1486">
        <v>102.6</v>
      </c>
      <c r="W1486">
        <v>72.7</v>
      </c>
      <c r="X1486">
        <v>11.4</v>
      </c>
      <c r="Y1486">
        <v>46.2</v>
      </c>
      <c r="Z1486">
        <v>144373535</v>
      </c>
      <c r="AA1486">
        <v>61.524009999999997</v>
      </c>
      <c r="AB1486">
        <v>105.31875599999999</v>
      </c>
    </row>
    <row r="1487" spans="1:28" hidden="1">
      <c r="A1487">
        <v>1434</v>
      </c>
      <c r="B1487">
        <v>2100</v>
      </c>
      <c r="C1487" t="s">
        <v>217</v>
      </c>
      <c r="D1487" t="s">
        <v>3017</v>
      </c>
      <c r="E1487">
        <v>66</v>
      </c>
      <c r="G1487" t="s">
        <v>103</v>
      </c>
      <c r="H1487" t="s">
        <v>1248</v>
      </c>
      <c r="I1487" t="s">
        <v>3018</v>
      </c>
      <c r="J1487" t="s">
        <v>217</v>
      </c>
      <c r="K1487" t="s">
        <v>103</v>
      </c>
      <c r="M1487" t="b">
        <v>1</v>
      </c>
      <c r="N1487" t="s">
        <v>32</v>
      </c>
      <c r="O1487" t="s">
        <v>33</v>
      </c>
      <c r="Q1487">
        <v>125.08</v>
      </c>
      <c r="R1487">
        <v>2.9</v>
      </c>
      <c r="S1487" t="s">
        <v>106</v>
      </c>
      <c r="T1487">
        <v>50.6</v>
      </c>
      <c r="V1487">
        <v>100.2</v>
      </c>
      <c r="W1487">
        <v>77</v>
      </c>
      <c r="X1487">
        <v>9.4</v>
      </c>
      <c r="Y1487">
        <v>59.2</v>
      </c>
      <c r="Z1487">
        <v>1397715000</v>
      </c>
      <c r="AA1487">
        <v>35.861660000000001</v>
      </c>
      <c r="AB1487">
        <v>104.195397</v>
      </c>
    </row>
    <row r="1488" spans="1:28" hidden="1">
      <c r="A1488">
        <v>1434</v>
      </c>
      <c r="B1488">
        <v>2100</v>
      </c>
      <c r="C1488" t="s">
        <v>469</v>
      </c>
      <c r="D1488" t="s">
        <v>3019</v>
      </c>
      <c r="E1488">
        <v>76</v>
      </c>
      <c r="G1488" t="s">
        <v>95</v>
      </c>
      <c r="H1488" t="s">
        <v>1527</v>
      </c>
      <c r="I1488" t="s">
        <v>1528</v>
      </c>
      <c r="J1488" t="s">
        <v>469</v>
      </c>
      <c r="K1488" t="s">
        <v>95</v>
      </c>
      <c r="M1488" t="b">
        <v>1</v>
      </c>
      <c r="N1488" t="s">
        <v>32</v>
      </c>
      <c r="O1488" t="s">
        <v>33</v>
      </c>
      <c r="Q1488">
        <v>110.96</v>
      </c>
      <c r="R1488">
        <v>0.7</v>
      </c>
      <c r="S1488" t="s">
        <v>98</v>
      </c>
      <c r="T1488">
        <v>88.9</v>
      </c>
      <c r="V1488">
        <v>102.7</v>
      </c>
      <c r="W1488">
        <v>83.3</v>
      </c>
      <c r="X1488">
        <v>14.2</v>
      </c>
      <c r="Y1488">
        <v>47</v>
      </c>
      <c r="Z1488">
        <v>47076781</v>
      </c>
      <c r="AA1488">
        <v>40.463667000000001</v>
      </c>
      <c r="AB1488">
        <v>-3.7492200000000002</v>
      </c>
    </row>
    <row r="1489" spans="1:28" hidden="1">
      <c r="A1489">
        <v>1434</v>
      </c>
      <c r="B1489">
        <v>2100</v>
      </c>
      <c r="C1489" t="s">
        <v>236</v>
      </c>
      <c r="D1489" t="s">
        <v>3020</v>
      </c>
      <c r="E1489">
        <v>62</v>
      </c>
      <c r="G1489" t="s">
        <v>1160</v>
      </c>
      <c r="H1489" t="s">
        <v>3021</v>
      </c>
      <c r="I1489" t="s">
        <v>3022</v>
      </c>
      <c r="J1489" t="s">
        <v>236</v>
      </c>
      <c r="K1489" t="s">
        <v>1160</v>
      </c>
      <c r="M1489" t="b">
        <v>1</v>
      </c>
      <c r="N1489" t="s">
        <v>32</v>
      </c>
      <c r="O1489" t="s">
        <v>33</v>
      </c>
      <c r="Q1489">
        <v>281.66000000000003</v>
      </c>
      <c r="R1489">
        <v>7.9</v>
      </c>
      <c r="S1489" t="s">
        <v>1163</v>
      </c>
      <c r="T1489">
        <v>82.7</v>
      </c>
      <c r="V1489">
        <v>99</v>
      </c>
      <c r="W1489">
        <v>71.599999999999994</v>
      </c>
      <c r="X1489">
        <v>20.100000000000001</v>
      </c>
      <c r="Y1489">
        <v>45.2</v>
      </c>
      <c r="Z1489">
        <v>44385155</v>
      </c>
      <c r="AA1489">
        <v>48.379432999999999</v>
      </c>
      <c r="AB1489">
        <v>31.165579999999999</v>
      </c>
    </row>
    <row r="1490" spans="1:28" hidden="1">
      <c r="A1490">
        <v>1434</v>
      </c>
      <c r="B1490">
        <v>2100</v>
      </c>
      <c r="C1490" t="s">
        <v>45</v>
      </c>
      <c r="D1490" t="s">
        <v>3023</v>
      </c>
      <c r="E1490">
        <v>40</v>
      </c>
      <c r="G1490" t="s">
        <v>38</v>
      </c>
      <c r="I1490" t="s">
        <v>216</v>
      </c>
      <c r="J1490" t="s">
        <v>45</v>
      </c>
      <c r="K1490" t="s">
        <v>38</v>
      </c>
      <c r="M1490" t="b">
        <v>1</v>
      </c>
      <c r="N1490" t="s">
        <v>32</v>
      </c>
      <c r="O1490" t="s">
        <v>33</v>
      </c>
      <c r="Q1490">
        <v>117.24</v>
      </c>
      <c r="R1490">
        <v>7.5</v>
      </c>
      <c r="S1490" t="s">
        <v>44</v>
      </c>
      <c r="T1490">
        <v>88.2</v>
      </c>
      <c r="V1490">
        <v>101.8</v>
      </c>
      <c r="W1490">
        <v>78.5</v>
      </c>
      <c r="X1490">
        <v>9.6</v>
      </c>
      <c r="Y1490">
        <v>36.6</v>
      </c>
      <c r="Z1490">
        <v>328239523</v>
      </c>
      <c r="AA1490">
        <v>37.090240000000001</v>
      </c>
      <c r="AB1490">
        <v>-95.712890999999999</v>
      </c>
    </row>
    <row r="1491" spans="1:28" hidden="1">
      <c r="A1491">
        <v>1434</v>
      </c>
      <c r="B1491">
        <v>2100</v>
      </c>
      <c r="C1491" t="s">
        <v>45</v>
      </c>
      <c r="D1491" t="s">
        <v>3024</v>
      </c>
      <c r="E1491">
        <v>41</v>
      </c>
      <c r="G1491" t="s">
        <v>77</v>
      </c>
      <c r="H1491" t="s">
        <v>667</v>
      </c>
      <c r="I1491" t="s">
        <v>3025</v>
      </c>
      <c r="J1491" t="s">
        <v>45</v>
      </c>
      <c r="K1491" t="s">
        <v>77</v>
      </c>
      <c r="M1491" t="b">
        <v>1</v>
      </c>
      <c r="N1491" t="s">
        <v>42</v>
      </c>
      <c r="O1491" t="s">
        <v>33</v>
      </c>
      <c r="Q1491">
        <v>180.44</v>
      </c>
      <c r="R1491">
        <v>7.7</v>
      </c>
      <c r="S1491" t="s">
        <v>81</v>
      </c>
      <c r="T1491">
        <v>28.1</v>
      </c>
      <c r="V1491">
        <v>113</v>
      </c>
      <c r="W1491">
        <v>69.400000000000006</v>
      </c>
      <c r="X1491">
        <v>11.2</v>
      </c>
      <c r="Y1491">
        <v>49.7</v>
      </c>
      <c r="Z1491">
        <v>1366417754</v>
      </c>
      <c r="AA1491">
        <v>20.593684</v>
      </c>
      <c r="AB1491">
        <v>78.962879999999998</v>
      </c>
    </row>
    <row r="1492" spans="1:28" hidden="1">
      <c r="A1492">
        <v>1434</v>
      </c>
      <c r="B1492">
        <v>2100</v>
      </c>
      <c r="C1492" t="s">
        <v>469</v>
      </c>
      <c r="D1492" t="s">
        <v>3026</v>
      </c>
      <c r="E1492">
        <v>65</v>
      </c>
      <c r="G1492" t="s">
        <v>77</v>
      </c>
      <c r="H1492" t="s">
        <v>1374</v>
      </c>
      <c r="I1492" t="s">
        <v>3027</v>
      </c>
      <c r="J1492" t="s">
        <v>469</v>
      </c>
      <c r="K1492" t="s">
        <v>77</v>
      </c>
      <c r="M1492" t="b">
        <v>1</v>
      </c>
      <c r="N1492" t="s">
        <v>32</v>
      </c>
      <c r="O1492" t="s">
        <v>33</v>
      </c>
      <c r="Q1492">
        <v>180.44</v>
      </c>
      <c r="R1492">
        <v>7.7</v>
      </c>
      <c r="S1492" t="s">
        <v>81</v>
      </c>
      <c r="T1492">
        <v>28.1</v>
      </c>
      <c r="V1492">
        <v>113</v>
      </c>
      <c r="W1492">
        <v>69.400000000000006</v>
      </c>
      <c r="X1492">
        <v>11.2</v>
      </c>
      <c r="Y1492">
        <v>49.7</v>
      </c>
      <c r="Z1492">
        <v>1366417754</v>
      </c>
      <c r="AA1492">
        <v>20.593684</v>
      </c>
      <c r="AB1492">
        <v>78.962879999999998</v>
      </c>
    </row>
    <row r="1493" spans="1:28" hidden="1">
      <c r="A1493">
        <v>1434</v>
      </c>
      <c r="B1493">
        <v>2100</v>
      </c>
      <c r="C1493" t="s">
        <v>26</v>
      </c>
      <c r="D1493" t="s">
        <v>3028</v>
      </c>
      <c r="E1493">
        <v>41</v>
      </c>
      <c r="G1493" t="s">
        <v>38</v>
      </c>
      <c r="H1493" t="s">
        <v>635</v>
      </c>
      <c r="I1493" t="s">
        <v>3029</v>
      </c>
      <c r="J1493" t="s">
        <v>26</v>
      </c>
      <c r="K1493" t="s">
        <v>38</v>
      </c>
      <c r="M1493" t="b">
        <v>1</v>
      </c>
      <c r="N1493" t="s">
        <v>32</v>
      </c>
      <c r="O1493" t="s">
        <v>33</v>
      </c>
      <c r="Q1493">
        <v>117.24</v>
      </c>
      <c r="R1493">
        <v>7.5</v>
      </c>
      <c r="S1493" t="s">
        <v>44</v>
      </c>
      <c r="T1493">
        <v>88.2</v>
      </c>
      <c r="V1493">
        <v>101.8</v>
      </c>
      <c r="W1493">
        <v>78.5</v>
      </c>
      <c r="X1493">
        <v>9.6</v>
      </c>
      <c r="Y1493">
        <v>36.6</v>
      </c>
      <c r="Z1493">
        <v>328239523</v>
      </c>
      <c r="AA1493">
        <v>37.090240000000001</v>
      </c>
      <c r="AB1493">
        <v>-95.712890999999999</v>
      </c>
    </row>
    <row r="1494" spans="1:28" hidden="1">
      <c r="A1494">
        <v>1434</v>
      </c>
      <c r="B1494">
        <v>2100</v>
      </c>
      <c r="C1494" t="s">
        <v>288</v>
      </c>
      <c r="D1494" t="s">
        <v>3030</v>
      </c>
      <c r="E1494">
        <v>49</v>
      </c>
      <c r="G1494" t="s">
        <v>103</v>
      </c>
      <c r="H1494" t="s">
        <v>143</v>
      </c>
      <c r="I1494" t="s">
        <v>3031</v>
      </c>
      <c r="J1494" t="s">
        <v>288</v>
      </c>
      <c r="K1494" t="s">
        <v>103</v>
      </c>
      <c r="M1494" t="b">
        <v>1</v>
      </c>
      <c r="N1494" t="s">
        <v>32</v>
      </c>
      <c r="O1494" t="s">
        <v>33</v>
      </c>
      <c r="Q1494">
        <v>125.08</v>
      </c>
      <c r="R1494">
        <v>2.9</v>
      </c>
      <c r="S1494" t="s">
        <v>106</v>
      </c>
      <c r="T1494">
        <v>50.6</v>
      </c>
      <c r="V1494">
        <v>100.2</v>
      </c>
      <c r="W1494">
        <v>77</v>
      </c>
      <c r="X1494">
        <v>9.4</v>
      </c>
      <c r="Y1494">
        <v>59.2</v>
      </c>
      <c r="Z1494">
        <v>1397715000</v>
      </c>
      <c r="AA1494">
        <v>35.861660000000001</v>
      </c>
      <c r="AB1494">
        <v>104.195397</v>
      </c>
    </row>
    <row r="1495" spans="1:28" hidden="1">
      <c r="A1495">
        <v>1434</v>
      </c>
      <c r="B1495">
        <v>2100</v>
      </c>
      <c r="C1495" t="s">
        <v>54</v>
      </c>
      <c r="D1495" t="s">
        <v>3032</v>
      </c>
      <c r="E1495">
        <v>73</v>
      </c>
      <c r="G1495" t="s">
        <v>260</v>
      </c>
      <c r="H1495" t="s">
        <v>515</v>
      </c>
      <c r="I1495" t="s">
        <v>231</v>
      </c>
      <c r="J1495" t="s">
        <v>54</v>
      </c>
      <c r="K1495" t="s">
        <v>429</v>
      </c>
      <c r="M1495" t="b">
        <v>1</v>
      </c>
      <c r="N1495" t="s">
        <v>32</v>
      </c>
      <c r="O1495" t="s">
        <v>33</v>
      </c>
      <c r="Q1495">
        <v>114.52</v>
      </c>
      <c r="R1495">
        <v>-1.9</v>
      </c>
      <c r="S1495" t="s">
        <v>264</v>
      </c>
      <c r="T1495">
        <v>36.799999999999997</v>
      </c>
      <c r="V1495">
        <v>108.4</v>
      </c>
      <c r="W1495">
        <v>77.8</v>
      </c>
      <c r="X1495">
        <v>0.1</v>
      </c>
      <c r="Y1495">
        <v>15.9</v>
      </c>
      <c r="Z1495">
        <v>9770529</v>
      </c>
      <c r="AA1495">
        <v>23.424075999999999</v>
      </c>
      <c r="AB1495">
        <v>53.847817999999997</v>
      </c>
    </row>
    <row r="1496" spans="1:28" hidden="1">
      <c r="A1496">
        <v>1434</v>
      </c>
      <c r="B1496">
        <v>2100</v>
      </c>
      <c r="C1496" t="s">
        <v>101</v>
      </c>
      <c r="D1496" t="s">
        <v>3033</v>
      </c>
      <c r="E1496">
        <v>53</v>
      </c>
      <c r="G1496" t="s">
        <v>395</v>
      </c>
      <c r="H1496" t="s">
        <v>395</v>
      </c>
      <c r="I1496" t="s">
        <v>861</v>
      </c>
      <c r="J1496" t="s">
        <v>101</v>
      </c>
      <c r="K1496" t="s">
        <v>395</v>
      </c>
      <c r="M1496" t="b">
        <v>1</v>
      </c>
      <c r="N1496" t="s">
        <v>32</v>
      </c>
      <c r="O1496" t="s">
        <v>88</v>
      </c>
      <c r="Q1496">
        <v>114.41</v>
      </c>
      <c r="R1496">
        <v>0.6</v>
      </c>
      <c r="S1496" t="s">
        <v>451</v>
      </c>
      <c r="T1496">
        <v>84.8</v>
      </c>
      <c r="V1496">
        <v>100.6</v>
      </c>
      <c r="W1496">
        <v>83.1</v>
      </c>
      <c r="X1496">
        <v>13.1</v>
      </c>
      <c r="Y1496">
        <v>21</v>
      </c>
      <c r="Z1496">
        <v>5703569</v>
      </c>
      <c r="AA1496">
        <v>1.3520829999999999</v>
      </c>
      <c r="AB1496">
        <v>103.819836</v>
      </c>
    </row>
    <row r="1497" spans="1:28" hidden="1">
      <c r="A1497">
        <v>1434</v>
      </c>
      <c r="B1497">
        <v>2100</v>
      </c>
      <c r="C1497" t="s">
        <v>288</v>
      </c>
      <c r="D1497" t="s">
        <v>3034</v>
      </c>
      <c r="E1497">
        <v>75</v>
      </c>
      <c r="G1497" t="s">
        <v>38</v>
      </c>
      <c r="H1497" t="s">
        <v>3035</v>
      </c>
      <c r="I1497" t="s">
        <v>1198</v>
      </c>
      <c r="J1497" t="s">
        <v>288</v>
      </c>
      <c r="K1497" t="s">
        <v>38</v>
      </c>
      <c r="M1497" t="b">
        <v>1</v>
      </c>
      <c r="N1497" t="s">
        <v>419</v>
      </c>
      <c r="O1497" t="s">
        <v>33</v>
      </c>
      <c r="Q1497">
        <v>117.24</v>
      </c>
      <c r="R1497">
        <v>7.5</v>
      </c>
      <c r="S1497" t="s">
        <v>44</v>
      </c>
      <c r="T1497">
        <v>88.2</v>
      </c>
      <c r="V1497">
        <v>101.8</v>
      </c>
      <c r="W1497">
        <v>78.5</v>
      </c>
      <c r="X1497">
        <v>9.6</v>
      </c>
      <c r="Y1497">
        <v>36.6</v>
      </c>
      <c r="Z1497">
        <v>328239523</v>
      </c>
      <c r="AA1497">
        <v>37.090240000000001</v>
      </c>
      <c r="AB1497">
        <v>-95.712890999999999</v>
      </c>
    </row>
    <row r="1498" spans="1:28" hidden="1">
      <c r="A1498">
        <v>1434</v>
      </c>
      <c r="B1498">
        <v>2100</v>
      </c>
      <c r="C1498" t="s">
        <v>36</v>
      </c>
      <c r="D1498" t="s">
        <v>3036</v>
      </c>
      <c r="E1498">
        <v>70</v>
      </c>
      <c r="G1498" t="s">
        <v>77</v>
      </c>
      <c r="H1498" t="s">
        <v>2709</v>
      </c>
      <c r="I1498" t="s">
        <v>3037</v>
      </c>
      <c r="J1498" t="s">
        <v>36</v>
      </c>
      <c r="K1498" t="s">
        <v>77</v>
      </c>
      <c r="M1498" t="b">
        <v>0</v>
      </c>
      <c r="N1498" t="s">
        <v>32</v>
      </c>
      <c r="O1498" t="s">
        <v>33</v>
      </c>
      <c r="Q1498">
        <v>180.44</v>
      </c>
      <c r="R1498">
        <v>7.7</v>
      </c>
      <c r="S1498" t="s">
        <v>81</v>
      </c>
      <c r="T1498">
        <v>28.1</v>
      </c>
      <c r="V1498">
        <v>113</v>
      </c>
      <c r="W1498">
        <v>69.400000000000006</v>
      </c>
      <c r="X1498">
        <v>11.2</v>
      </c>
      <c r="Y1498">
        <v>49.7</v>
      </c>
      <c r="Z1498">
        <v>1366417754</v>
      </c>
      <c r="AA1498">
        <v>20.593684</v>
      </c>
      <c r="AB1498">
        <v>78.962879999999998</v>
      </c>
    </row>
    <row r="1499" spans="1:28">
      <c r="A1499">
        <v>1434</v>
      </c>
      <c r="B1499">
        <v>2100</v>
      </c>
      <c r="C1499" t="s">
        <v>26</v>
      </c>
      <c r="D1499" t="s">
        <v>3038</v>
      </c>
      <c r="E1499">
        <v>68</v>
      </c>
      <c r="F1499" t="str">
        <f>IF(E1499&gt;=90,"90-100",IF(E1499&gt;=80,"80-90",IF(E1499&gt;=70,"70-80",IF(E1499&gt;=60,"60-70",IF(E1499&gt;=50,"50-60",IF(E1499&gt;=40,"40-50",IF(E1499&gt;=30,"30-40","20-30")))))))</f>
        <v>60-70</v>
      </c>
      <c r="G1499" t="s">
        <v>38</v>
      </c>
      <c r="H1499" t="s">
        <v>3039</v>
      </c>
      <c r="I1499" t="s">
        <v>3040</v>
      </c>
      <c r="J1499" t="s">
        <v>26</v>
      </c>
      <c r="K1499" t="s">
        <v>38</v>
      </c>
      <c r="L1499" t="s">
        <v>3040</v>
      </c>
      <c r="M1499" t="b">
        <v>1</v>
      </c>
      <c r="N1499" t="s">
        <v>32</v>
      </c>
      <c r="O1499" t="s">
        <v>4867</v>
      </c>
      <c r="P1499" t="s">
        <v>34</v>
      </c>
      <c r="Q1499">
        <v>117.24</v>
      </c>
      <c r="R1499">
        <v>7.5</v>
      </c>
      <c r="S1499" t="s">
        <v>44</v>
      </c>
      <c r="T1499">
        <v>88.2</v>
      </c>
      <c r="U1499" t="str">
        <f>IF(T1499&gt;=100,"above 100",IF(T1499&gt;=80,"80-100",IF(T1499&gt;=60,"60-80",IF(T1499&gt;=40,"40-60",IF(T1499&gt;=20,"20-60","0-20")))))</f>
        <v>80-100</v>
      </c>
      <c r="V1499">
        <v>101.8</v>
      </c>
      <c r="W1499">
        <v>78.5</v>
      </c>
      <c r="X1499">
        <v>9.6</v>
      </c>
      <c r="Y1499">
        <v>36.6</v>
      </c>
      <c r="Z1499">
        <v>328239523</v>
      </c>
      <c r="AA1499">
        <v>37.090240000000001</v>
      </c>
      <c r="AB1499">
        <v>-95.712890999999999</v>
      </c>
    </row>
    <row r="1500" spans="1:28" hidden="1">
      <c r="A1500">
        <v>1434</v>
      </c>
      <c r="B1500">
        <v>2100</v>
      </c>
      <c r="C1500" t="s">
        <v>101</v>
      </c>
      <c r="D1500" t="s">
        <v>3041</v>
      </c>
      <c r="E1500">
        <v>73</v>
      </c>
      <c r="G1500" t="s">
        <v>103</v>
      </c>
      <c r="H1500" t="s">
        <v>3042</v>
      </c>
      <c r="I1500" t="s">
        <v>3043</v>
      </c>
      <c r="J1500" t="s">
        <v>101</v>
      </c>
      <c r="K1500" t="s">
        <v>103</v>
      </c>
      <c r="M1500" t="b">
        <v>1</v>
      </c>
      <c r="N1500" t="s">
        <v>42</v>
      </c>
      <c r="O1500" t="s">
        <v>33</v>
      </c>
      <c r="Q1500">
        <v>125.08</v>
      </c>
      <c r="R1500">
        <v>2.9</v>
      </c>
      <c r="S1500" t="s">
        <v>106</v>
      </c>
      <c r="T1500">
        <v>50.6</v>
      </c>
      <c r="V1500">
        <v>100.2</v>
      </c>
      <c r="W1500">
        <v>77</v>
      </c>
      <c r="X1500">
        <v>9.4</v>
      </c>
      <c r="Y1500">
        <v>59.2</v>
      </c>
      <c r="Z1500">
        <v>1397715000</v>
      </c>
      <c r="AA1500">
        <v>35.861660000000001</v>
      </c>
      <c r="AB1500">
        <v>104.195397</v>
      </c>
    </row>
    <row r="1501" spans="1:28" hidden="1">
      <c r="A1501">
        <v>1434</v>
      </c>
      <c r="B1501">
        <v>2100</v>
      </c>
      <c r="C1501" t="s">
        <v>54</v>
      </c>
      <c r="D1501" t="s">
        <v>3044</v>
      </c>
      <c r="E1501">
        <v>55</v>
      </c>
      <c r="G1501" t="s">
        <v>263</v>
      </c>
      <c r="H1501" t="s">
        <v>274</v>
      </c>
      <c r="I1501" t="s">
        <v>223</v>
      </c>
      <c r="J1501" t="s">
        <v>54</v>
      </c>
      <c r="K1501" t="s">
        <v>263</v>
      </c>
      <c r="M1501" t="b">
        <v>1</v>
      </c>
      <c r="N1501" t="s">
        <v>42</v>
      </c>
      <c r="O1501" t="s">
        <v>33</v>
      </c>
      <c r="Q1501">
        <v>180.75</v>
      </c>
      <c r="R1501">
        <v>4.5</v>
      </c>
      <c r="S1501" t="s">
        <v>276</v>
      </c>
      <c r="T1501">
        <v>81.900000000000006</v>
      </c>
      <c r="V1501">
        <v>102.6</v>
      </c>
      <c r="W1501">
        <v>72.7</v>
      </c>
      <c r="X1501">
        <v>11.4</v>
      </c>
      <c r="Y1501">
        <v>46.2</v>
      </c>
      <c r="Z1501">
        <v>144373535</v>
      </c>
      <c r="AA1501">
        <v>61.524009999999997</v>
      </c>
      <c r="AB1501">
        <v>105.31875599999999</v>
      </c>
    </row>
    <row r="1502" spans="1:28" hidden="1">
      <c r="A1502">
        <v>1434</v>
      </c>
      <c r="B1502">
        <v>2100</v>
      </c>
      <c r="C1502" t="s">
        <v>26</v>
      </c>
      <c r="D1502" t="s">
        <v>3045</v>
      </c>
      <c r="E1502">
        <v>56</v>
      </c>
      <c r="G1502" t="s">
        <v>148</v>
      </c>
      <c r="H1502" t="s">
        <v>3046</v>
      </c>
      <c r="I1502" t="s">
        <v>2783</v>
      </c>
      <c r="J1502" t="s">
        <v>26</v>
      </c>
      <c r="K1502" t="s">
        <v>148</v>
      </c>
      <c r="M1502" t="b">
        <v>1</v>
      </c>
      <c r="N1502" t="s">
        <v>42</v>
      </c>
      <c r="O1502" t="s">
        <v>33</v>
      </c>
      <c r="Q1502">
        <v>112.85</v>
      </c>
      <c r="R1502">
        <v>1.4</v>
      </c>
      <c r="S1502" t="s">
        <v>151</v>
      </c>
      <c r="T1502">
        <v>70.2</v>
      </c>
      <c r="V1502">
        <v>104</v>
      </c>
      <c r="W1502">
        <v>80.900000000000006</v>
      </c>
      <c r="X1502">
        <v>11.5</v>
      </c>
      <c r="Y1502">
        <v>48.8</v>
      </c>
      <c r="Z1502">
        <v>83132799</v>
      </c>
      <c r="AA1502">
        <v>51.165691000000002</v>
      </c>
      <c r="AB1502">
        <v>10.451525999999999</v>
      </c>
    </row>
    <row r="1503" spans="1:28" hidden="1">
      <c r="A1503">
        <v>1434</v>
      </c>
      <c r="B1503">
        <v>2100</v>
      </c>
      <c r="C1503" t="s">
        <v>101</v>
      </c>
      <c r="D1503" t="s">
        <v>3047</v>
      </c>
      <c r="E1503">
        <v>74</v>
      </c>
      <c r="G1503" t="s">
        <v>38</v>
      </c>
      <c r="H1503" t="s">
        <v>1554</v>
      </c>
      <c r="I1503" t="s">
        <v>2570</v>
      </c>
      <c r="J1503" t="s">
        <v>101</v>
      </c>
      <c r="K1503" t="s">
        <v>38</v>
      </c>
      <c r="M1503" t="b">
        <v>0</v>
      </c>
      <c r="N1503" t="s">
        <v>192</v>
      </c>
      <c r="O1503" t="s">
        <v>88</v>
      </c>
      <c r="Q1503">
        <v>117.24</v>
      </c>
      <c r="R1503">
        <v>7.5</v>
      </c>
      <c r="S1503" t="s">
        <v>44</v>
      </c>
      <c r="T1503">
        <v>88.2</v>
      </c>
      <c r="V1503">
        <v>101.8</v>
      </c>
      <c r="W1503">
        <v>78.5</v>
      </c>
      <c r="X1503">
        <v>9.6</v>
      </c>
      <c r="Y1503">
        <v>36.6</v>
      </c>
      <c r="Z1503">
        <v>328239523</v>
      </c>
      <c r="AA1503">
        <v>37.090240000000001</v>
      </c>
      <c r="AB1503">
        <v>-95.712890999999999</v>
      </c>
    </row>
    <row r="1504" spans="1:28">
      <c r="A1504">
        <v>1434</v>
      </c>
      <c r="B1504">
        <v>2100</v>
      </c>
      <c r="C1504" t="s">
        <v>101</v>
      </c>
      <c r="D1504" t="s">
        <v>3048</v>
      </c>
      <c r="E1504">
        <v>50</v>
      </c>
      <c r="F1504" t="str">
        <f>IF(E1504&gt;=90,"90-100",IF(E1504&gt;=80,"80-90",IF(E1504&gt;=70,"70-80",IF(E1504&gt;=60,"60-70",IF(E1504&gt;=50,"50-60",IF(E1504&gt;=40,"40-50",IF(E1504&gt;=30,"30-40","20-30")))))))</f>
        <v>50-60</v>
      </c>
      <c r="G1504" t="s">
        <v>38</v>
      </c>
      <c r="H1504" t="s">
        <v>3049</v>
      </c>
      <c r="I1504" t="s">
        <v>3050</v>
      </c>
      <c r="J1504" t="s">
        <v>101</v>
      </c>
      <c r="K1504" t="s">
        <v>1267</v>
      </c>
      <c r="L1504" t="s">
        <v>3051</v>
      </c>
      <c r="M1504" t="b">
        <v>1</v>
      </c>
      <c r="N1504" t="s">
        <v>42</v>
      </c>
      <c r="O1504" t="s">
        <v>4867</v>
      </c>
      <c r="P1504" t="s">
        <v>619</v>
      </c>
      <c r="Q1504">
        <v>117.24</v>
      </c>
      <c r="R1504">
        <v>7.5</v>
      </c>
      <c r="S1504" t="s">
        <v>44</v>
      </c>
      <c r="T1504">
        <v>88.2</v>
      </c>
      <c r="U1504" t="str">
        <f>IF(T1504&gt;=100,"above 100",IF(T1504&gt;=80,"80-100",IF(T1504&gt;=60,"60-80",IF(T1504&gt;=40,"40-60",IF(T1504&gt;=20,"20-60","0-20")))))</f>
        <v>80-100</v>
      </c>
      <c r="V1504">
        <v>101.8</v>
      </c>
      <c r="W1504">
        <v>78.5</v>
      </c>
      <c r="X1504">
        <v>9.6</v>
      </c>
      <c r="Y1504">
        <v>36.6</v>
      </c>
      <c r="Z1504">
        <v>328239523</v>
      </c>
      <c r="AA1504">
        <v>37.090240000000001</v>
      </c>
      <c r="AB1504">
        <v>-95.712890999999999</v>
      </c>
    </row>
    <row r="1505" spans="1:28" hidden="1">
      <c r="A1505">
        <v>1434</v>
      </c>
      <c r="B1505">
        <v>2100</v>
      </c>
      <c r="C1505" t="s">
        <v>469</v>
      </c>
      <c r="D1505" t="s">
        <v>3052</v>
      </c>
      <c r="E1505">
        <v>54</v>
      </c>
      <c r="G1505" t="s">
        <v>103</v>
      </c>
      <c r="H1505" t="s">
        <v>143</v>
      </c>
      <c r="I1505" t="s">
        <v>3053</v>
      </c>
      <c r="J1505" t="s">
        <v>469</v>
      </c>
      <c r="K1505" t="s">
        <v>103</v>
      </c>
      <c r="M1505" t="b">
        <v>1</v>
      </c>
      <c r="N1505" t="s">
        <v>42</v>
      </c>
      <c r="O1505" t="s">
        <v>33</v>
      </c>
      <c r="Q1505">
        <v>125.08</v>
      </c>
      <c r="R1505">
        <v>2.9</v>
      </c>
      <c r="S1505" t="s">
        <v>106</v>
      </c>
      <c r="T1505">
        <v>50.6</v>
      </c>
      <c r="V1505">
        <v>100.2</v>
      </c>
      <c r="W1505">
        <v>77</v>
      </c>
      <c r="X1505">
        <v>9.4</v>
      </c>
      <c r="Y1505">
        <v>59.2</v>
      </c>
      <c r="Z1505">
        <v>1397715000</v>
      </c>
      <c r="AA1505">
        <v>35.861660000000001</v>
      </c>
      <c r="AB1505">
        <v>104.195397</v>
      </c>
    </row>
    <row r="1506" spans="1:28" hidden="1">
      <c r="A1506">
        <v>1434</v>
      </c>
      <c r="B1506">
        <v>2100</v>
      </c>
      <c r="C1506" t="s">
        <v>101</v>
      </c>
      <c r="D1506" t="s">
        <v>3054</v>
      </c>
      <c r="E1506">
        <v>69</v>
      </c>
      <c r="G1506" t="s">
        <v>103</v>
      </c>
      <c r="H1506" t="s">
        <v>1880</v>
      </c>
      <c r="I1506" t="s">
        <v>1154</v>
      </c>
      <c r="J1506" t="s">
        <v>101</v>
      </c>
      <c r="K1506" t="s">
        <v>810</v>
      </c>
      <c r="M1506" t="b">
        <v>1</v>
      </c>
      <c r="N1506" t="s">
        <v>32</v>
      </c>
      <c r="O1506" t="s">
        <v>33</v>
      </c>
      <c r="Q1506">
        <v>125.08</v>
      </c>
      <c r="R1506">
        <v>2.9</v>
      </c>
      <c r="S1506" t="s">
        <v>106</v>
      </c>
      <c r="T1506">
        <v>50.6</v>
      </c>
      <c r="V1506">
        <v>100.2</v>
      </c>
      <c r="W1506">
        <v>77</v>
      </c>
      <c r="X1506">
        <v>9.4</v>
      </c>
      <c r="Y1506">
        <v>59.2</v>
      </c>
      <c r="Z1506">
        <v>1397715000</v>
      </c>
      <c r="AA1506">
        <v>35.861660000000001</v>
      </c>
      <c r="AB1506">
        <v>104.195397</v>
      </c>
    </row>
    <row r="1507" spans="1:28" hidden="1">
      <c r="A1507">
        <v>1434</v>
      </c>
      <c r="B1507">
        <v>2100</v>
      </c>
      <c r="C1507" t="s">
        <v>101</v>
      </c>
      <c r="D1507" t="s">
        <v>3055</v>
      </c>
      <c r="E1507">
        <v>66</v>
      </c>
      <c r="G1507" t="s">
        <v>810</v>
      </c>
      <c r="H1507" t="s">
        <v>811</v>
      </c>
      <c r="I1507" t="s">
        <v>1154</v>
      </c>
      <c r="J1507" t="s">
        <v>101</v>
      </c>
      <c r="K1507" t="s">
        <v>810</v>
      </c>
      <c r="M1507" t="b">
        <v>1</v>
      </c>
      <c r="N1507" t="s">
        <v>32</v>
      </c>
      <c r="O1507" t="s">
        <v>33</v>
      </c>
    </row>
    <row r="1508" spans="1:28" hidden="1">
      <c r="A1508">
        <v>1434</v>
      </c>
      <c r="B1508">
        <v>2100</v>
      </c>
      <c r="C1508" t="s">
        <v>101</v>
      </c>
      <c r="D1508" t="s">
        <v>3056</v>
      </c>
      <c r="E1508">
        <v>64</v>
      </c>
      <c r="G1508" t="s">
        <v>103</v>
      </c>
      <c r="H1508" t="s">
        <v>215</v>
      </c>
      <c r="I1508" t="s">
        <v>1154</v>
      </c>
      <c r="J1508" t="s">
        <v>101</v>
      </c>
      <c r="K1508" t="s">
        <v>810</v>
      </c>
      <c r="M1508" t="b">
        <v>1</v>
      </c>
      <c r="N1508" t="s">
        <v>32</v>
      </c>
      <c r="O1508" t="s">
        <v>33</v>
      </c>
      <c r="Q1508">
        <v>125.08</v>
      </c>
      <c r="R1508">
        <v>2.9</v>
      </c>
      <c r="S1508" t="s">
        <v>106</v>
      </c>
      <c r="T1508">
        <v>50.6</v>
      </c>
      <c r="V1508">
        <v>100.2</v>
      </c>
      <c r="W1508">
        <v>77</v>
      </c>
      <c r="X1508">
        <v>9.4</v>
      </c>
      <c r="Y1508">
        <v>59.2</v>
      </c>
      <c r="Z1508">
        <v>1397715000</v>
      </c>
      <c r="AA1508">
        <v>35.861660000000001</v>
      </c>
      <c r="AB1508">
        <v>104.195397</v>
      </c>
    </row>
    <row r="1509" spans="1:28" hidden="1">
      <c r="A1509">
        <v>1434</v>
      </c>
      <c r="B1509">
        <v>2100</v>
      </c>
      <c r="C1509" t="s">
        <v>101</v>
      </c>
      <c r="D1509" t="s">
        <v>3057</v>
      </c>
      <c r="E1509">
        <v>68</v>
      </c>
      <c r="G1509" t="s">
        <v>810</v>
      </c>
      <c r="H1509" t="s">
        <v>811</v>
      </c>
      <c r="I1509" t="s">
        <v>1154</v>
      </c>
      <c r="J1509" t="s">
        <v>101</v>
      </c>
      <c r="K1509" t="s">
        <v>810</v>
      </c>
      <c r="M1509" t="b">
        <v>1</v>
      </c>
      <c r="N1509" t="s">
        <v>32</v>
      </c>
      <c r="O1509" t="s">
        <v>33</v>
      </c>
    </row>
    <row r="1510" spans="1:28">
      <c r="A1510">
        <v>1434</v>
      </c>
      <c r="B1510">
        <v>2100</v>
      </c>
      <c r="C1510" t="s">
        <v>179</v>
      </c>
      <c r="D1510" t="s">
        <v>3058</v>
      </c>
      <c r="E1510">
        <v>80</v>
      </c>
      <c r="F1510" t="str">
        <f>IF(E1510&gt;=90,"90-100",IF(E1510&gt;=80,"80-90",IF(E1510&gt;=70,"70-80",IF(E1510&gt;=60,"60-70",IF(E1510&gt;=50,"50-60",IF(E1510&gt;=40,"40-50",IF(E1510&gt;=30,"30-40","20-30")))))))</f>
        <v>80-90</v>
      </c>
      <c r="G1510" t="s">
        <v>38</v>
      </c>
      <c r="H1510" t="s">
        <v>181</v>
      </c>
      <c r="I1510" t="s">
        <v>2132</v>
      </c>
      <c r="J1510" t="s">
        <v>179</v>
      </c>
      <c r="K1510" t="s">
        <v>38</v>
      </c>
      <c r="L1510" t="s">
        <v>3059</v>
      </c>
      <c r="M1510" t="b">
        <v>1</v>
      </c>
      <c r="N1510" t="s">
        <v>32</v>
      </c>
      <c r="O1510" t="s">
        <v>4866</v>
      </c>
      <c r="P1510" t="s">
        <v>3060</v>
      </c>
      <c r="Q1510">
        <v>117.24</v>
      </c>
      <c r="R1510">
        <v>7.5</v>
      </c>
      <c r="S1510" t="s">
        <v>44</v>
      </c>
      <c r="T1510">
        <v>88.2</v>
      </c>
      <c r="U1510" t="str">
        <f>IF(T1510&gt;=100,"above 100",IF(T1510&gt;=80,"80-100",IF(T1510&gt;=60,"60-80",IF(T1510&gt;=40,"40-60",IF(T1510&gt;=20,"20-60","0-20")))))</f>
        <v>80-100</v>
      </c>
      <c r="V1510">
        <v>101.8</v>
      </c>
      <c r="W1510">
        <v>78.5</v>
      </c>
      <c r="X1510">
        <v>9.6</v>
      </c>
      <c r="Y1510">
        <v>36.6</v>
      </c>
      <c r="Z1510">
        <v>328239523</v>
      </c>
      <c r="AA1510">
        <v>37.090240000000001</v>
      </c>
      <c r="AB1510">
        <v>-95.712890999999999</v>
      </c>
    </row>
    <row r="1511" spans="1:28" hidden="1">
      <c r="A1511">
        <v>1434</v>
      </c>
      <c r="B1511">
        <v>2100</v>
      </c>
      <c r="C1511" t="s">
        <v>36</v>
      </c>
      <c r="D1511" t="s">
        <v>3061</v>
      </c>
      <c r="E1511">
        <v>53</v>
      </c>
      <c r="G1511" t="s">
        <v>103</v>
      </c>
      <c r="H1511" t="s">
        <v>633</v>
      </c>
      <c r="I1511" t="s">
        <v>506</v>
      </c>
      <c r="J1511" t="s">
        <v>36</v>
      </c>
      <c r="K1511" t="s">
        <v>103</v>
      </c>
      <c r="M1511" t="b">
        <v>1</v>
      </c>
      <c r="N1511" t="s">
        <v>32</v>
      </c>
      <c r="O1511" t="s">
        <v>33</v>
      </c>
      <c r="Q1511">
        <v>125.08</v>
      </c>
      <c r="R1511">
        <v>2.9</v>
      </c>
      <c r="S1511" t="s">
        <v>106</v>
      </c>
      <c r="T1511">
        <v>50.6</v>
      </c>
      <c r="V1511">
        <v>100.2</v>
      </c>
      <c r="W1511">
        <v>77</v>
      </c>
      <c r="X1511">
        <v>9.4</v>
      </c>
      <c r="Y1511">
        <v>59.2</v>
      </c>
      <c r="Z1511">
        <v>1397715000</v>
      </c>
      <c r="AA1511">
        <v>35.861660000000001</v>
      </c>
      <c r="AB1511">
        <v>104.195397</v>
      </c>
    </row>
    <row r="1512" spans="1:28" hidden="1">
      <c r="A1512">
        <v>1434</v>
      </c>
      <c r="B1512">
        <v>2100</v>
      </c>
      <c r="C1512" t="s">
        <v>26</v>
      </c>
      <c r="D1512" t="s">
        <v>3062</v>
      </c>
      <c r="E1512">
        <v>73</v>
      </c>
      <c r="G1512" t="s">
        <v>172</v>
      </c>
      <c r="H1512" t="s">
        <v>172</v>
      </c>
      <c r="I1512" t="s">
        <v>150</v>
      </c>
      <c r="J1512" t="s">
        <v>26</v>
      </c>
      <c r="K1512" t="s">
        <v>172</v>
      </c>
      <c r="M1512" t="b">
        <v>1</v>
      </c>
      <c r="N1512" t="s">
        <v>32</v>
      </c>
      <c r="O1512" t="s">
        <v>33</v>
      </c>
    </row>
    <row r="1513" spans="1:28" hidden="1">
      <c r="A1513">
        <v>1434</v>
      </c>
      <c r="B1513">
        <v>2100</v>
      </c>
      <c r="C1513" t="s">
        <v>217</v>
      </c>
      <c r="D1513" t="s">
        <v>3063</v>
      </c>
      <c r="E1513">
        <v>57</v>
      </c>
      <c r="G1513" t="s">
        <v>103</v>
      </c>
      <c r="H1513" t="s">
        <v>633</v>
      </c>
      <c r="I1513" t="s">
        <v>1749</v>
      </c>
      <c r="J1513" t="s">
        <v>217</v>
      </c>
      <c r="K1513" t="s">
        <v>103</v>
      </c>
      <c r="M1513" t="b">
        <v>1</v>
      </c>
      <c r="N1513" t="s">
        <v>42</v>
      </c>
      <c r="O1513" t="s">
        <v>33</v>
      </c>
      <c r="Q1513">
        <v>125.08</v>
      </c>
      <c r="R1513">
        <v>2.9</v>
      </c>
      <c r="S1513" t="s">
        <v>106</v>
      </c>
      <c r="T1513">
        <v>50.6</v>
      </c>
      <c r="V1513">
        <v>100.2</v>
      </c>
      <c r="W1513">
        <v>77</v>
      </c>
      <c r="X1513">
        <v>9.4</v>
      </c>
      <c r="Y1513">
        <v>59.2</v>
      </c>
      <c r="Z1513">
        <v>1397715000</v>
      </c>
      <c r="AA1513">
        <v>35.861660000000001</v>
      </c>
      <c r="AB1513">
        <v>104.195397</v>
      </c>
    </row>
    <row r="1514" spans="1:28" hidden="1">
      <c r="A1514">
        <v>1434</v>
      </c>
      <c r="B1514">
        <v>2100</v>
      </c>
      <c r="C1514" t="s">
        <v>217</v>
      </c>
      <c r="D1514" t="s">
        <v>3064</v>
      </c>
      <c r="E1514">
        <v>72</v>
      </c>
      <c r="G1514" t="s">
        <v>103</v>
      </c>
      <c r="H1514" t="s">
        <v>1248</v>
      </c>
      <c r="I1514" t="s">
        <v>3065</v>
      </c>
      <c r="J1514" t="s">
        <v>217</v>
      </c>
      <c r="K1514" t="s">
        <v>103</v>
      </c>
      <c r="M1514" t="b">
        <v>1</v>
      </c>
      <c r="N1514" t="s">
        <v>32</v>
      </c>
      <c r="O1514" t="s">
        <v>33</v>
      </c>
      <c r="Q1514">
        <v>125.08</v>
      </c>
      <c r="R1514">
        <v>2.9</v>
      </c>
      <c r="S1514" t="s">
        <v>106</v>
      </c>
      <c r="T1514">
        <v>50.6</v>
      </c>
      <c r="V1514">
        <v>100.2</v>
      </c>
      <c r="W1514">
        <v>77</v>
      </c>
      <c r="X1514">
        <v>9.4</v>
      </c>
      <c r="Y1514">
        <v>59.2</v>
      </c>
      <c r="Z1514">
        <v>1397715000</v>
      </c>
      <c r="AA1514">
        <v>35.861660000000001</v>
      </c>
      <c r="AB1514">
        <v>104.195397</v>
      </c>
    </row>
    <row r="1515" spans="1:28" hidden="1">
      <c r="A1515">
        <v>1434</v>
      </c>
      <c r="B1515">
        <v>2100</v>
      </c>
      <c r="C1515" t="s">
        <v>217</v>
      </c>
      <c r="D1515" t="s">
        <v>3066</v>
      </c>
      <c r="E1515">
        <v>49</v>
      </c>
      <c r="G1515" t="s">
        <v>103</v>
      </c>
      <c r="H1515" t="s">
        <v>215</v>
      </c>
      <c r="I1515" t="s">
        <v>287</v>
      </c>
      <c r="J1515" t="s">
        <v>217</v>
      </c>
      <c r="K1515" t="s">
        <v>127</v>
      </c>
      <c r="M1515" t="b">
        <v>1</v>
      </c>
      <c r="N1515" t="s">
        <v>42</v>
      </c>
      <c r="O1515" t="s">
        <v>88</v>
      </c>
      <c r="Q1515">
        <v>125.08</v>
      </c>
      <c r="R1515">
        <v>2.9</v>
      </c>
      <c r="S1515" t="s">
        <v>106</v>
      </c>
      <c r="T1515">
        <v>50.6</v>
      </c>
      <c r="V1515">
        <v>100.2</v>
      </c>
      <c r="W1515">
        <v>77</v>
      </c>
      <c r="X1515">
        <v>9.4</v>
      </c>
      <c r="Y1515">
        <v>59.2</v>
      </c>
      <c r="Z1515">
        <v>1397715000</v>
      </c>
      <c r="AA1515">
        <v>35.861660000000001</v>
      </c>
      <c r="AB1515">
        <v>104.195397</v>
      </c>
    </row>
    <row r="1516" spans="1:28" hidden="1">
      <c r="A1516">
        <v>1434</v>
      </c>
      <c r="B1516">
        <v>2100</v>
      </c>
      <c r="C1516" t="s">
        <v>288</v>
      </c>
      <c r="D1516" t="s">
        <v>3067</v>
      </c>
      <c r="E1516">
        <v>57</v>
      </c>
      <c r="G1516" t="s">
        <v>103</v>
      </c>
      <c r="H1516" t="s">
        <v>736</v>
      </c>
      <c r="I1516" t="s">
        <v>418</v>
      </c>
      <c r="J1516" t="s">
        <v>288</v>
      </c>
      <c r="K1516" t="s">
        <v>395</v>
      </c>
      <c r="M1516" t="b">
        <v>0</v>
      </c>
      <c r="N1516" t="s">
        <v>42</v>
      </c>
      <c r="O1516" t="s">
        <v>33</v>
      </c>
      <c r="Q1516">
        <v>125.08</v>
      </c>
      <c r="R1516">
        <v>2.9</v>
      </c>
      <c r="S1516" t="s">
        <v>106</v>
      </c>
      <c r="T1516">
        <v>50.6</v>
      </c>
      <c r="V1516">
        <v>100.2</v>
      </c>
      <c r="W1516">
        <v>77</v>
      </c>
      <c r="X1516">
        <v>9.4</v>
      </c>
      <c r="Y1516">
        <v>59.2</v>
      </c>
      <c r="Z1516">
        <v>1397715000</v>
      </c>
      <c r="AA1516">
        <v>35.861660000000001</v>
      </c>
      <c r="AB1516">
        <v>104.195397</v>
      </c>
    </row>
    <row r="1517" spans="1:28" hidden="1">
      <c r="A1517">
        <v>1516</v>
      </c>
      <c r="B1517">
        <v>2000</v>
      </c>
      <c r="C1517" t="s">
        <v>469</v>
      </c>
      <c r="D1517" t="s">
        <v>3068</v>
      </c>
      <c r="E1517">
        <v>80</v>
      </c>
      <c r="G1517" t="s">
        <v>77</v>
      </c>
      <c r="H1517" t="s">
        <v>290</v>
      </c>
      <c r="I1517" t="s">
        <v>2294</v>
      </c>
      <c r="J1517" t="s">
        <v>469</v>
      </c>
      <c r="K1517" t="s">
        <v>77</v>
      </c>
      <c r="M1517" t="b">
        <v>0</v>
      </c>
      <c r="N1517" t="s">
        <v>32</v>
      </c>
      <c r="O1517" t="s">
        <v>88</v>
      </c>
      <c r="Q1517">
        <v>180.44</v>
      </c>
      <c r="R1517">
        <v>7.7</v>
      </c>
      <c r="S1517" t="s">
        <v>81</v>
      </c>
      <c r="T1517">
        <v>28.1</v>
      </c>
      <c r="V1517">
        <v>113</v>
      </c>
      <c r="W1517">
        <v>69.400000000000006</v>
      </c>
      <c r="X1517">
        <v>11.2</v>
      </c>
      <c r="Y1517">
        <v>49.7</v>
      </c>
      <c r="Z1517">
        <v>1366417754</v>
      </c>
      <c r="AA1517">
        <v>20.593684</v>
      </c>
      <c r="AB1517">
        <v>78.962879999999998</v>
      </c>
    </row>
    <row r="1518" spans="1:28" hidden="1">
      <c r="A1518">
        <v>1516</v>
      </c>
      <c r="B1518">
        <v>2000</v>
      </c>
      <c r="C1518" t="s">
        <v>26</v>
      </c>
      <c r="D1518" t="s">
        <v>3069</v>
      </c>
      <c r="E1518">
        <v>94</v>
      </c>
      <c r="G1518" t="s">
        <v>203</v>
      </c>
      <c r="H1518" t="s">
        <v>204</v>
      </c>
      <c r="I1518" t="s">
        <v>426</v>
      </c>
      <c r="J1518" t="s">
        <v>26</v>
      </c>
      <c r="K1518" t="s">
        <v>874</v>
      </c>
      <c r="M1518" t="b">
        <v>1</v>
      </c>
      <c r="N1518" t="s">
        <v>42</v>
      </c>
      <c r="O1518" t="s">
        <v>33</v>
      </c>
      <c r="Q1518">
        <v>119.62</v>
      </c>
      <c r="R1518">
        <v>1.7</v>
      </c>
      <c r="S1518" t="s">
        <v>206</v>
      </c>
      <c r="T1518">
        <v>60</v>
      </c>
      <c r="V1518">
        <v>101.2</v>
      </c>
      <c r="W1518">
        <v>81.3</v>
      </c>
      <c r="X1518">
        <v>25.5</v>
      </c>
      <c r="Y1518">
        <v>30.6</v>
      </c>
      <c r="Z1518">
        <v>66834405</v>
      </c>
      <c r="AA1518">
        <v>55.378050999999999</v>
      </c>
      <c r="AB1518">
        <v>-3.4359730000000002</v>
      </c>
    </row>
    <row r="1519" spans="1:28" hidden="1">
      <c r="A1519">
        <v>1516</v>
      </c>
      <c r="B1519">
        <v>2000</v>
      </c>
      <c r="C1519" t="s">
        <v>45</v>
      </c>
      <c r="D1519" t="s">
        <v>3070</v>
      </c>
      <c r="E1519">
        <v>49</v>
      </c>
      <c r="G1519" t="s">
        <v>203</v>
      </c>
      <c r="H1519" t="s">
        <v>204</v>
      </c>
      <c r="I1519" t="s">
        <v>3071</v>
      </c>
      <c r="J1519" t="s">
        <v>45</v>
      </c>
      <c r="K1519" t="s">
        <v>203</v>
      </c>
      <c r="M1519" t="b">
        <v>1</v>
      </c>
      <c r="N1519" t="s">
        <v>419</v>
      </c>
      <c r="O1519" t="s">
        <v>33</v>
      </c>
      <c r="Q1519">
        <v>119.62</v>
      </c>
      <c r="R1519">
        <v>1.7</v>
      </c>
      <c r="S1519" t="s">
        <v>206</v>
      </c>
      <c r="T1519">
        <v>60</v>
      </c>
      <c r="V1519">
        <v>101.2</v>
      </c>
      <c r="W1519">
        <v>81.3</v>
      </c>
      <c r="X1519">
        <v>25.5</v>
      </c>
      <c r="Y1519">
        <v>30.6</v>
      </c>
      <c r="Z1519">
        <v>66834405</v>
      </c>
      <c r="AA1519">
        <v>55.378050999999999</v>
      </c>
      <c r="AB1519">
        <v>-3.4359730000000002</v>
      </c>
    </row>
    <row r="1520" spans="1:28" hidden="1">
      <c r="A1520">
        <v>1516</v>
      </c>
      <c r="B1520">
        <v>2000</v>
      </c>
      <c r="C1520" t="s">
        <v>54</v>
      </c>
      <c r="D1520" t="s">
        <v>3072</v>
      </c>
      <c r="E1520">
        <v>77</v>
      </c>
      <c r="G1520" t="s">
        <v>3073</v>
      </c>
      <c r="H1520" t="s">
        <v>3073</v>
      </c>
      <c r="I1520" t="s">
        <v>3074</v>
      </c>
      <c r="J1520" t="s">
        <v>54</v>
      </c>
      <c r="K1520" t="s">
        <v>203</v>
      </c>
      <c r="M1520" t="b">
        <v>1</v>
      </c>
      <c r="N1520" t="s">
        <v>42</v>
      </c>
      <c r="O1520" t="s">
        <v>33</v>
      </c>
    </row>
    <row r="1521" spans="1:28" hidden="1">
      <c r="A1521">
        <v>1516</v>
      </c>
      <c r="B1521">
        <v>2000</v>
      </c>
      <c r="C1521" t="s">
        <v>45</v>
      </c>
      <c r="D1521" t="s">
        <v>3075</v>
      </c>
      <c r="E1521">
        <v>62</v>
      </c>
      <c r="G1521" t="s">
        <v>389</v>
      </c>
      <c r="H1521" t="s">
        <v>390</v>
      </c>
      <c r="I1521" t="s">
        <v>572</v>
      </c>
      <c r="J1521" t="s">
        <v>45</v>
      </c>
      <c r="K1521" t="s">
        <v>389</v>
      </c>
      <c r="M1521" t="b">
        <v>1</v>
      </c>
      <c r="N1521" t="s">
        <v>42</v>
      </c>
      <c r="O1521" t="s">
        <v>33</v>
      </c>
      <c r="Q1521">
        <v>116.48</v>
      </c>
      <c r="R1521">
        <v>2.8</v>
      </c>
      <c r="S1521" t="s">
        <v>392</v>
      </c>
      <c r="T1521">
        <v>64.099999999999994</v>
      </c>
      <c r="V1521">
        <v>100.7</v>
      </c>
      <c r="W1521">
        <v>79</v>
      </c>
      <c r="X1521">
        <v>14.9</v>
      </c>
      <c r="Y1521">
        <v>46.1</v>
      </c>
      <c r="Z1521">
        <v>10669709</v>
      </c>
      <c r="AA1521">
        <v>49.817492000000001</v>
      </c>
      <c r="AB1521">
        <v>15.472962000000001</v>
      </c>
    </row>
    <row r="1522" spans="1:28" hidden="1">
      <c r="A1522">
        <v>1516</v>
      </c>
      <c r="B1522">
        <v>2000</v>
      </c>
      <c r="C1522" t="s">
        <v>288</v>
      </c>
      <c r="D1522" t="s">
        <v>3076</v>
      </c>
      <c r="E1522">
        <v>66</v>
      </c>
      <c r="G1522" t="s">
        <v>148</v>
      </c>
      <c r="I1522" t="s">
        <v>418</v>
      </c>
      <c r="J1522" t="s">
        <v>288</v>
      </c>
      <c r="K1522" t="s">
        <v>148</v>
      </c>
      <c r="M1522" t="b">
        <v>1</v>
      </c>
      <c r="N1522" t="s">
        <v>42</v>
      </c>
      <c r="O1522" t="s">
        <v>33</v>
      </c>
      <c r="Q1522">
        <v>112.85</v>
      </c>
      <c r="R1522">
        <v>1.4</v>
      </c>
      <c r="S1522" t="s">
        <v>151</v>
      </c>
      <c r="T1522">
        <v>70.2</v>
      </c>
      <c r="V1522">
        <v>104</v>
      </c>
      <c r="W1522">
        <v>80.900000000000006</v>
      </c>
      <c r="X1522">
        <v>11.5</v>
      </c>
      <c r="Y1522">
        <v>48.8</v>
      </c>
      <c r="Z1522">
        <v>83132799</v>
      </c>
      <c r="AA1522">
        <v>51.165691000000002</v>
      </c>
      <c r="AB1522">
        <v>10.451525999999999</v>
      </c>
    </row>
    <row r="1523" spans="1:28" hidden="1">
      <c r="A1523">
        <v>1516</v>
      </c>
      <c r="B1523">
        <v>2000</v>
      </c>
      <c r="C1523" t="s">
        <v>217</v>
      </c>
      <c r="D1523" t="s">
        <v>3077</v>
      </c>
      <c r="E1523">
        <v>44</v>
      </c>
      <c r="G1523" t="s">
        <v>103</v>
      </c>
      <c r="H1523" t="s">
        <v>2646</v>
      </c>
      <c r="I1523" t="s">
        <v>312</v>
      </c>
      <c r="J1523" t="s">
        <v>217</v>
      </c>
      <c r="K1523" t="s">
        <v>103</v>
      </c>
      <c r="M1523" t="b">
        <v>1</v>
      </c>
      <c r="N1523" t="s">
        <v>419</v>
      </c>
      <c r="O1523" t="s">
        <v>33</v>
      </c>
      <c r="Q1523">
        <v>125.08</v>
      </c>
      <c r="R1523">
        <v>2.9</v>
      </c>
      <c r="S1523" t="s">
        <v>106</v>
      </c>
      <c r="T1523">
        <v>50.6</v>
      </c>
      <c r="V1523">
        <v>100.2</v>
      </c>
      <c r="W1523">
        <v>77</v>
      </c>
      <c r="X1523">
        <v>9.4</v>
      </c>
      <c r="Y1523">
        <v>59.2</v>
      </c>
      <c r="Z1523">
        <v>1397715000</v>
      </c>
      <c r="AA1523">
        <v>35.861660000000001</v>
      </c>
      <c r="AB1523">
        <v>104.195397</v>
      </c>
    </row>
    <row r="1524" spans="1:28" hidden="1">
      <c r="A1524">
        <v>1516</v>
      </c>
      <c r="B1524">
        <v>2000</v>
      </c>
      <c r="C1524" t="s">
        <v>217</v>
      </c>
      <c r="D1524" t="s">
        <v>3078</v>
      </c>
      <c r="E1524">
        <v>52</v>
      </c>
      <c r="G1524" t="s">
        <v>103</v>
      </c>
      <c r="H1524" t="s">
        <v>215</v>
      </c>
      <c r="I1524" t="s">
        <v>3079</v>
      </c>
      <c r="J1524" t="s">
        <v>217</v>
      </c>
      <c r="K1524" t="s">
        <v>103</v>
      </c>
      <c r="M1524" t="b">
        <v>1</v>
      </c>
      <c r="N1524" t="s">
        <v>42</v>
      </c>
      <c r="O1524" t="s">
        <v>33</v>
      </c>
      <c r="Q1524">
        <v>125.08</v>
      </c>
      <c r="R1524">
        <v>2.9</v>
      </c>
      <c r="S1524" t="s">
        <v>106</v>
      </c>
      <c r="T1524">
        <v>50.6</v>
      </c>
      <c r="V1524">
        <v>100.2</v>
      </c>
      <c r="W1524">
        <v>77</v>
      </c>
      <c r="X1524">
        <v>9.4</v>
      </c>
      <c r="Y1524">
        <v>59.2</v>
      </c>
      <c r="Z1524">
        <v>1397715000</v>
      </c>
      <c r="AA1524">
        <v>35.861660000000001</v>
      </c>
      <c r="AB1524">
        <v>104.195397</v>
      </c>
    </row>
    <row r="1525" spans="1:28" hidden="1">
      <c r="A1525">
        <v>1516</v>
      </c>
      <c r="B1525">
        <v>2000</v>
      </c>
      <c r="C1525" t="s">
        <v>75</v>
      </c>
      <c r="D1525" t="s">
        <v>3080</v>
      </c>
      <c r="E1525">
        <v>71</v>
      </c>
      <c r="G1525" t="s">
        <v>429</v>
      </c>
      <c r="H1525" t="s">
        <v>430</v>
      </c>
      <c r="I1525" t="s">
        <v>75</v>
      </c>
      <c r="J1525" t="s">
        <v>75</v>
      </c>
      <c r="K1525" t="s">
        <v>429</v>
      </c>
      <c r="M1525" t="b">
        <v>0</v>
      </c>
      <c r="N1525" t="s">
        <v>32</v>
      </c>
      <c r="O1525" t="s">
        <v>33</v>
      </c>
      <c r="Q1525">
        <v>113.27</v>
      </c>
      <c r="R1525">
        <v>0.7</v>
      </c>
      <c r="S1525" t="s">
        <v>431</v>
      </c>
      <c r="T1525">
        <v>49.3</v>
      </c>
      <c r="V1525">
        <v>99.8</v>
      </c>
      <c r="W1525">
        <v>76.900000000000006</v>
      </c>
      <c r="X1525">
        <v>14.9</v>
      </c>
      <c r="Y1525">
        <v>29.5</v>
      </c>
      <c r="Z1525">
        <v>69625582</v>
      </c>
      <c r="AA1525">
        <v>15.870032</v>
      </c>
      <c r="AB1525">
        <v>100.992541</v>
      </c>
    </row>
    <row r="1526" spans="1:28" hidden="1">
      <c r="A1526">
        <v>1516</v>
      </c>
      <c r="B1526">
        <v>2000</v>
      </c>
      <c r="C1526" t="s">
        <v>75</v>
      </c>
      <c r="D1526" t="s">
        <v>3081</v>
      </c>
      <c r="E1526">
        <v>69</v>
      </c>
      <c r="G1526" t="s">
        <v>103</v>
      </c>
      <c r="H1526" t="s">
        <v>104</v>
      </c>
      <c r="I1526" t="s">
        <v>3082</v>
      </c>
      <c r="J1526" t="s">
        <v>75</v>
      </c>
      <c r="K1526" t="s">
        <v>103</v>
      </c>
      <c r="M1526" t="b">
        <v>1</v>
      </c>
      <c r="N1526" t="s">
        <v>42</v>
      </c>
      <c r="O1526" t="s">
        <v>33</v>
      </c>
      <c r="Q1526">
        <v>125.08</v>
      </c>
      <c r="R1526">
        <v>2.9</v>
      </c>
      <c r="S1526" t="s">
        <v>106</v>
      </c>
      <c r="T1526">
        <v>50.6</v>
      </c>
      <c r="V1526">
        <v>100.2</v>
      </c>
      <c r="W1526">
        <v>77</v>
      </c>
      <c r="X1526">
        <v>9.4</v>
      </c>
      <c r="Y1526">
        <v>59.2</v>
      </c>
      <c r="Z1526">
        <v>1397715000</v>
      </c>
      <c r="AA1526">
        <v>35.861660000000001</v>
      </c>
      <c r="AB1526">
        <v>104.195397</v>
      </c>
    </row>
    <row r="1527" spans="1:28" hidden="1">
      <c r="A1527">
        <v>1516</v>
      </c>
      <c r="B1527">
        <v>2000</v>
      </c>
      <c r="C1527" t="s">
        <v>101</v>
      </c>
      <c r="D1527" t="s">
        <v>3083</v>
      </c>
      <c r="E1527">
        <v>88</v>
      </c>
      <c r="G1527" t="s">
        <v>339</v>
      </c>
      <c r="H1527" t="s">
        <v>339</v>
      </c>
      <c r="I1527" t="s">
        <v>163</v>
      </c>
      <c r="J1527" t="s">
        <v>101</v>
      </c>
      <c r="K1527" t="s">
        <v>164</v>
      </c>
      <c r="M1527" t="b">
        <v>0</v>
      </c>
      <c r="N1527" t="s">
        <v>419</v>
      </c>
      <c r="O1527" t="s">
        <v>88</v>
      </c>
      <c r="S1527" t="s">
        <v>343</v>
      </c>
      <c r="Z1527">
        <v>38964</v>
      </c>
      <c r="AA1527">
        <v>43.738417599999998</v>
      </c>
      <c r="AB1527">
        <v>7.4246157999999998</v>
      </c>
    </row>
    <row r="1528" spans="1:28" hidden="1">
      <c r="A1528">
        <v>1516</v>
      </c>
      <c r="B1528">
        <v>2000</v>
      </c>
      <c r="C1528" t="s">
        <v>75</v>
      </c>
      <c r="D1528" t="s">
        <v>3084</v>
      </c>
      <c r="E1528">
        <v>85</v>
      </c>
      <c r="G1528" t="s">
        <v>38</v>
      </c>
      <c r="H1528" t="s">
        <v>581</v>
      </c>
      <c r="I1528" t="s">
        <v>3085</v>
      </c>
      <c r="J1528" t="s">
        <v>75</v>
      </c>
      <c r="K1528" t="s">
        <v>38</v>
      </c>
      <c r="M1528" t="b">
        <v>1</v>
      </c>
      <c r="N1528" t="s">
        <v>42</v>
      </c>
      <c r="O1528" t="s">
        <v>33</v>
      </c>
      <c r="Q1528">
        <v>117.24</v>
      </c>
      <c r="R1528">
        <v>7.5</v>
      </c>
      <c r="S1528" t="s">
        <v>44</v>
      </c>
      <c r="T1528">
        <v>88.2</v>
      </c>
      <c r="V1528">
        <v>101.8</v>
      </c>
      <c r="W1528">
        <v>78.5</v>
      </c>
      <c r="X1528">
        <v>9.6</v>
      </c>
      <c r="Y1528">
        <v>36.6</v>
      </c>
      <c r="Z1528">
        <v>328239523</v>
      </c>
      <c r="AA1528">
        <v>37.090240000000001</v>
      </c>
      <c r="AB1528">
        <v>-95.712890999999999</v>
      </c>
    </row>
    <row r="1529" spans="1:28" hidden="1">
      <c r="A1529">
        <v>1516</v>
      </c>
      <c r="B1529">
        <v>2000</v>
      </c>
      <c r="C1529" t="s">
        <v>288</v>
      </c>
      <c r="D1529" t="s">
        <v>3086</v>
      </c>
      <c r="E1529">
        <v>51</v>
      </c>
      <c r="G1529" t="s">
        <v>339</v>
      </c>
      <c r="H1529" t="s">
        <v>339</v>
      </c>
      <c r="I1529" t="s">
        <v>418</v>
      </c>
      <c r="J1529" t="s">
        <v>288</v>
      </c>
      <c r="K1529" t="s">
        <v>156</v>
      </c>
      <c r="M1529" t="b">
        <v>0</v>
      </c>
      <c r="N1529" t="s">
        <v>42</v>
      </c>
      <c r="O1529" t="s">
        <v>33</v>
      </c>
      <c r="S1529" t="s">
        <v>343</v>
      </c>
      <c r="Z1529">
        <v>38964</v>
      </c>
      <c r="AA1529">
        <v>43.738417599999998</v>
      </c>
      <c r="AB1529">
        <v>7.4246157999999998</v>
      </c>
    </row>
    <row r="1530" spans="1:28" hidden="1">
      <c r="A1530">
        <v>1516</v>
      </c>
      <c r="B1530">
        <v>2000</v>
      </c>
      <c r="C1530" t="s">
        <v>221</v>
      </c>
      <c r="D1530" t="s">
        <v>3087</v>
      </c>
      <c r="E1530">
        <v>68</v>
      </c>
      <c r="G1530" t="s">
        <v>38</v>
      </c>
      <c r="H1530" t="s">
        <v>3088</v>
      </c>
      <c r="I1530" t="s">
        <v>223</v>
      </c>
      <c r="J1530" t="s">
        <v>221</v>
      </c>
      <c r="K1530" t="s">
        <v>38</v>
      </c>
      <c r="M1530" t="b">
        <v>0</v>
      </c>
      <c r="N1530" t="s">
        <v>42</v>
      </c>
      <c r="O1530" t="s">
        <v>88</v>
      </c>
      <c r="Q1530">
        <v>117.24</v>
      </c>
      <c r="R1530">
        <v>7.5</v>
      </c>
      <c r="S1530" t="s">
        <v>44</v>
      </c>
      <c r="T1530">
        <v>88.2</v>
      </c>
      <c r="V1530">
        <v>101.8</v>
      </c>
      <c r="W1530">
        <v>78.5</v>
      </c>
      <c r="X1530">
        <v>9.6</v>
      </c>
      <c r="Y1530">
        <v>36.6</v>
      </c>
      <c r="Z1530">
        <v>328239523</v>
      </c>
      <c r="AA1530">
        <v>37.090240000000001</v>
      </c>
      <c r="AB1530">
        <v>-95.712890999999999</v>
      </c>
    </row>
    <row r="1531" spans="1:28" hidden="1">
      <c r="A1531">
        <v>1516</v>
      </c>
      <c r="B1531">
        <v>2000</v>
      </c>
      <c r="C1531" t="s">
        <v>236</v>
      </c>
      <c r="D1531" t="s">
        <v>3089</v>
      </c>
      <c r="E1531">
        <v>47</v>
      </c>
      <c r="G1531" t="s">
        <v>203</v>
      </c>
      <c r="H1531" t="s">
        <v>204</v>
      </c>
      <c r="I1531" t="s">
        <v>240</v>
      </c>
      <c r="J1531" t="s">
        <v>236</v>
      </c>
      <c r="K1531" t="s">
        <v>238</v>
      </c>
      <c r="M1531" t="b">
        <v>0</v>
      </c>
      <c r="N1531" t="s">
        <v>42</v>
      </c>
      <c r="O1531" t="s">
        <v>33</v>
      </c>
      <c r="Q1531">
        <v>119.62</v>
      </c>
      <c r="R1531">
        <v>1.7</v>
      </c>
      <c r="S1531" t="s">
        <v>206</v>
      </c>
      <c r="T1531">
        <v>60</v>
      </c>
      <c r="V1531">
        <v>101.2</v>
      </c>
      <c r="W1531">
        <v>81.3</v>
      </c>
      <c r="X1531">
        <v>25.5</v>
      </c>
      <c r="Y1531">
        <v>30.6</v>
      </c>
      <c r="Z1531">
        <v>66834405</v>
      </c>
      <c r="AA1531">
        <v>55.378050999999999</v>
      </c>
      <c r="AB1531">
        <v>-3.4359730000000002</v>
      </c>
    </row>
    <row r="1532" spans="1:28" hidden="1">
      <c r="A1532">
        <v>1516</v>
      </c>
      <c r="B1532">
        <v>2000</v>
      </c>
      <c r="C1532" t="s">
        <v>45</v>
      </c>
      <c r="D1532" t="s">
        <v>3090</v>
      </c>
      <c r="E1532">
        <v>58</v>
      </c>
      <c r="G1532" t="s">
        <v>103</v>
      </c>
      <c r="H1532" t="s">
        <v>104</v>
      </c>
      <c r="I1532" t="s">
        <v>45</v>
      </c>
      <c r="J1532" t="s">
        <v>45</v>
      </c>
      <c r="K1532" t="s">
        <v>103</v>
      </c>
      <c r="M1532" t="b">
        <v>1</v>
      </c>
      <c r="N1532" t="s">
        <v>42</v>
      </c>
      <c r="O1532" t="s">
        <v>33</v>
      </c>
      <c r="Q1532">
        <v>125.08</v>
      </c>
      <c r="R1532">
        <v>2.9</v>
      </c>
      <c r="S1532" t="s">
        <v>106</v>
      </c>
      <c r="T1532">
        <v>50.6</v>
      </c>
      <c r="V1532">
        <v>100.2</v>
      </c>
      <c r="W1532">
        <v>77</v>
      </c>
      <c r="X1532">
        <v>9.4</v>
      </c>
      <c r="Y1532">
        <v>59.2</v>
      </c>
      <c r="Z1532">
        <v>1397715000</v>
      </c>
      <c r="AA1532">
        <v>35.861660000000001</v>
      </c>
      <c r="AB1532">
        <v>104.195397</v>
      </c>
    </row>
    <row r="1533" spans="1:28" hidden="1">
      <c r="A1533">
        <v>1516</v>
      </c>
      <c r="B1533">
        <v>2000</v>
      </c>
      <c r="C1533" t="s">
        <v>217</v>
      </c>
      <c r="D1533" t="s">
        <v>3091</v>
      </c>
      <c r="E1533">
        <v>62</v>
      </c>
      <c r="G1533" t="s">
        <v>172</v>
      </c>
      <c r="H1533" t="s">
        <v>172</v>
      </c>
      <c r="I1533" t="s">
        <v>3092</v>
      </c>
      <c r="J1533" t="s">
        <v>217</v>
      </c>
      <c r="K1533" t="s">
        <v>172</v>
      </c>
      <c r="M1533" t="b">
        <v>1</v>
      </c>
      <c r="N1533" t="s">
        <v>42</v>
      </c>
      <c r="O1533" t="s">
        <v>33</v>
      </c>
    </row>
    <row r="1534" spans="1:28" hidden="1">
      <c r="A1534">
        <v>1516</v>
      </c>
      <c r="B1534">
        <v>2000</v>
      </c>
      <c r="C1534" t="s">
        <v>63</v>
      </c>
      <c r="D1534" t="s">
        <v>3093</v>
      </c>
      <c r="E1534">
        <v>64</v>
      </c>
      <c r="G1534" t="s">
        <v>103</v>
      </c>
      <c r="H1534" t="s">
        <v>104</v>
      </c>
      <c r="I1534" t="s">
        <v>3094</v>
      </c>
      <c r="J1534" t="s">
        <v>63</v>
      </c>
      <c r="K1534" t="s">
        <v>103</v>
      </c>
      <c r="M1534" t="b">
        <v>1</v>
      </c>
      <c r="N1534" t="s">
        <v>32</v>
      </c>
      <c r="O1534" t="s">
        <v>33</v>
      </c>
      <c r="Q1534">
        <v>125.08</v>
      </c>
      <c r="R1534">
        <v>2.9</v>
      </c>
      <c r="S1534" t="s">
        <v>106</v>
      </c>
      <c r="T1534">
        <v>50.6</v>
      </c>
      <c r="V1534">
        <v>100.2</v>
      </c>
      <c r="W1534">
        <v>77</v>
      </c>
      <c r="X1534">
        <v>9.4</v>
      </c>
      <c r="Y1534">
        <v>59.2</v>
      </c>
      <c r="Z1534">
        <v>1397715000</v>
      </c>
      <c r="AA1534">
        <v>35.861660000000001</v>
      </c>
      <c r="AB1534">
        <v>104.195397</v>
      </c>
    </row>
    <row r="1535" spans="1:28" hidden="1">
      <c r="A1535">
        <v>1516</v>
      </c>
      <c r="B1535">
        <v>2000</v>
      </c>
      <c r="C1535" t="s">
        <v>54</v>
      </c>
      <c r="D1535" t="s">
        <v>3095</v>
      </c>
      <c r="E1535">
        <v>55</v>
      </c>
      <c r="G1535" t="s">
        <v>38</v>
      </c>
      <c r="H1535" t="s">
        <v>2706</v>
      </c>
      <c r="I1535" t="s">
        <v>1152</v>
      </c>
      <c r="J1535" t="s">
        <v>54</v>
      </c>
      <c r="K1535" t="s">
        <v>38</v>
      </c>
      <c r="M1535" t="b">
        <v>1</v>
      </c>
      <c r="N1535" t="s">
        <v>192</v>
      </c>
      <c r="O1535" t="s">
        <v>33</v>
      </c>
      <c r="Q1535">
        <v>117.24</v>
      </c>
      <c r="R1535">
        <v>7.5</v>
      </c>
      <c r="S1535" t="s">
        <v>44</v>
      </c>
      <c r="T1535">
        <v>88.2</v>
      </c>
      <c r="V1535">
        <v>101.8</v>
      </c>
      <c r="W1535">
        <v>78.5</v>
      </c>
      <c r="X1535">
        <v>9.6</v>
      </c>
      <c r="Y1535">
        <v>36.6</v>
      </c>
      <c r="Z1535">
        <v>328239523</v>
      </c>
      <c r="AA1535">
        <v>37.090240000000001</v>
      </c>
      <c r="AB1535">
        <v>-95.712890999999999</v>
      </c>
    </row>
    <row r="1536" spans="1:28" hidden="1">
      <c r="A1536">
        <v>1516</v>
      </c>
      <c r="B1536">
        <v>2000</v>
      </c>
      <c r="C1536" t="s">
        <v>478</v>
      </c>
      <c r="D1536" t="s">
        <v>3096</v>
      </c>
      <c r="E1536">
        <v>60</v>
      </c>
      <c r="G1536" t="s">
        <v>38</v>
      </c>
      <c r="H1536" t="s">
        <v>3097</v>
      </c>
      <c r="I1536" t="s">
        <v>3098</v>
      </c>
      <c r="J1536" t="s">
        <v>478</v>
      </c>
      <c r="K1536" t="s">
        <v>38</v>
      </c>
      <c r="M1536" t="b">
        <v>1</v>
      </c>
      <c r="N1536" t="s">
        <v>32</v>
      </c>
      <c r="O1536" t="s">
        <v>33</v>
      </c>
      <c r="P1536" t="s">
        <v>2196</v>
      </c>
      <c r="Q1536">
        <v>117.24</v>
      </c>
      <c r="R1536">
        <v>7.5</v>
      </c>
      <c r="S1536" t="s">
        <v>44</v>
      </c>
      <c r="T1536">
        <v>88.2</v>
      </c>
      <c r="V1536">
        <v>101.8</v>
      </c>
      <c r="W1536">
        <v>78.5</v>
      </c>
      <c r="X1536">
        <v>9.6</v>
      </c>
      <c r="Y1536">
        <v>36.6</v>
      </c>
      <c r="Z1536">
        <v>328239523</v>
      </c>
      <c r="AA1536">
        <v>37.090240000000001</v>
      </c>
      <c r="AB1536">
        <v>-95.712890999999999</v>
      </c>
    </row>
    <row r="1537" spans="1:28" hidden="1">
      <c r="A1537">
        <v>1516</v>
      </c>
      <c r="B1537">
        <v>2000</v>
      </c>
      <c r="C1537" t="s">
        <v>221</v>
      </c>
      <c r="D1537" t="s">
        <v>3099</v>
      </c>
      <c r="E1537">
        <v>77</v>
      </c>
      <c r="G1537" t="s">
        <v>38</v>
      </c>
      <c r="H1537" t="s">
        <v>65</v>
      </c>
      <c r="I1537" t="s">
        <v>223</v>
      </c>
      <c r="J1537" t="s">
        <v>221</v>
      </c>
      <c r="K1537" t="s">
        <v>38</v>
      </c>
      <c r="M1537" t="b">
        <v>0</v>
      </c>
      <c r="N1537" t="s">
        <v>42</v>
      </c>
      <c r="O1537" t="s">
        <v>88</v>
      </c>
      <c r="Q1537">
        <v>117.24</v>
      </c>
      <c r="R1537">
        <v>7.5</v>
      </c>
      <c r="S1537" t="s">
        <v>44</v>
      </c>
      <c r="T1537">
        <v>88.2</v>
      </c>
      <c r="V1537">
        <v>101.8</v>
      </c>
      <c r="W1537">
        <v>78.5</v>
      </c>
      <c r="X1537">
        <v>9.6</v>
      </c>
      <c r="Y1537">
        <v>36.6</v>
      </c>
      <c r="Z1537">
        <v>328239523</v>
      </c>
      <c r="AA1537">
        <v>37.090240000000001</v>
      </c>
      <c r="AB1537">
        <v>-95.712890999999999</v>
      </c>
    </row>
    <row r="1538" spans="1:28" hidden="1">
      <c r="A1538">
        <v>1516</v>
      </c>
      <c r="B1538">
        <v>2000</v>
      </c>
      <c r="C1538" t="s">
        <v>45</v>
      </c>
      <c r="D1538" t="s">
        <v>3100</v>
      </c>
      <c r="E1538">
        <v>57</v>
      </c>
      <c r="G1538" t="s">
        <v>342</v>
      </c>
      <c r="H1538" t="s">
        <v>1093</v>
      </c>
      <c r="I1538" t="s">
        <v>1343</v>
      </c>
      <c r="J1538" t="s">
        <v>45</v>
      </c>
      <c r="K1538" t="s">
        <v>342</v>
      </c>
      <c r="M1538" t="b">
        <v>1</v>
      </c>
      <c r="N1538" t="s">
        <v>42</v>
      </c>
      <c r="O1538" t="s">
        <v>33</v>
      </c>
      <c r="Q1538">
        <v>108.15</v>
      </c>
      <c r="R1538">
        <v>0.8</v>
      </c>
      <c r="S1538" t="s">
        <v>532</v>
      </c>
      <c r="T1538">
        <v>63.4</v>
      </c>
      <c r="V1538">
        <v>104.9</v>
      </c>
      <c r="W1538">
        <v>82.8</v>
      </c>
      <c r="X1538">
        <v>23.1</v>
      </c>
      <c r="Y1538">
        <v>25.3</v>
      </c>
      <c r="Z1538">
        <v>9053300</v>
      </c>
      <c r="AA1538">
        <v>31.046050999999999</v>
      </c>
      <c r="AB1538">
        <v>34.851612000000003</v>
      </c>
    </row>
    <row r="1539" spans="1:28" hidden="1">
      <c r="A1539">
        <v>1516</v>
      </c>
      <c r="B1539">
        <v>2000</v>
      </c>
      <c r="C1539" t="s">
        <v>288</v>
      </c>
      <c r="D1539" t="s">
        <v>3101</v>
      </c>
      <c r="E1539">
        <v>77</v>
      </c>
      <c r="G1539" t="s">
        <v>1634</v>
      </c>
      <c r="H1539" t="s">
        <v>3102</v>
      </c>
      <c r="I1539" t="s">
        <v>3103</v>
      </c>
      <c r="J1539" t="s">
        <v>288</v>
      </c>
      <c r="K1539" t="s">
        <v>1634</v>
      </c>
      <c r="M1539" t="b">
        <v>1</v>
      </c>
      <c r="N1539" t="s">
        <v>32</v>
      </c>
      <c r="O1539" t="s">
        <v>33</v>
      </c>
      <c r="Q1539">
        <v>112.33</v>
      </c>
      <c r="R1539">
        <v>1</v>
      </c>
      <c r="S1539" t="s">
        <v>1637</v>
      </c>
      <c r="T1539">
        <v>88.2</v>
      </c>
      <c r="V1539">
        <v>100.2</v>
      </c>
      <c r="W1539">
        <v>81.7</v>
      </c>
      <c r="X1539">
        <v>20.8</v>
      </c>
      <c r="Y1539">
        <v>36.6</v>
      </c>
      <c r="Z1539">
        <v>5520314</v>
      </c>
      <c r="AA1539">
        <v>61.924109999999999</v>
      </c>
      <c r="AB1539">
        <v>25.748151</v>
      </c>
    </row>
    <row r="1540" spans="1:28" hidden="1">
      <c r="A1540">
        <v>1516</v>
      </c>
      <c r="B1540">
        <v>2000</v>
      </c>
      <c r="C1540" t="s">
        <v>45</v>
      </c>
      <c r="D1540" t="s">
        <v>3104</v>
      </c>
      <c r="E1540">
        <v>50</v>
      </c>
      <c r="G1540" t="s">
        <v>172</v>
      </c>
      <c r="H1540" t="s">
        <v>172</v>
      </c>
      <c r="I1540" t="s">
        <v>216</v>
      </c>
      <c r="J1540" t="s">
        <v>45</v>
      </c>
      <c r="K1540" t="s">
        <v>172</v>
      </c>
      <c r="M1540" t="b">
        <v>1</v>
      </c>
      <c r="N1540" t="s">
        <v>42</v>
      </c>
      <c r="O1540" t="s">
        <v>33</v>
      </c>
    </row>
    <row r="1541" spans="1:28" hidden="1">
      <c r="A1541">
        <v>1516</v>
      </c>
      <c r="B1541">
        <v>2000</v>
      </c>
      <c r="C1541" t="s">
        <v>45</v>
      </c>
      <c r="D1541" t="s">
        <v>3105</v>
      </c>
      <c r="E1541">
        <v>57</v>
      </c>
      <c r="G1541" t="s">
        <v>103</v>
      </c>
      <c r="H1541" t="s">
        <v>1887</v>
      </c>
      <c r="I1541" t="s">
        <v>3106</v>
      </c>
      <c r="J1541" t="s">
        <v>45</v>
      </c>
      <c r="K1541" t="s">
        <v>103</v>
      </c>
      <c r="M1541" t="b">
        <v>1</v>
      </c>
      <c r="N1541" t="s">
        <v>42</v>
      </c>
      <c r="O1541" t="s">
        <v>33</v>
      </c>
      <c r="Q1541">
        <v>125.08</v>
      </c>
      <c r="R1541">
        <v>2.9</v>
      </c>
      <c r="S1541" t="s">
        <v>106</v>
      </c>
      <c r="T1541">
        <v>50.6</v>
      </c>
      <c r="V1541">
        <v>100.2</v>
      </c>
      <c r="W1541">
        <v>77</v>
      </c>
      <c r="X1541">
        <v>9.4</v>
      </c>
      <c r="Y1541">
        <v>59.2</v>
      </c>
      <c r="Z1541">
        <v>1397715000</v>
      </c>
      <c r="AA1541">
        <v>35.861660000000001</v>
      </c>
      <c r="AB1541">
        <v>104.195397</v>
      </c>
    </row>
    <row r="1542" spans="1:28" hidden="1">
      <c r="A1542">
        <v>1516</v>
      </c>
      <c r="B1542">
        <v>2000</v>
      </c>
      <c r="C1542" t="s">
        <v>45</v>
      </c>
      <c r="D1542" t="s">
        <v>3107</v>
      </c>
      <c r="E1542">
        <v>40</v>
      </c>
      <c r="G1542" t="s">
        <v>103</v>
      </c>
      <c r="H1542" t="s">
        <v>143</v>
      </c>
      <c r="I1542" t="s">
        <v>144</v>
      </c>
      <c r="J1542" t="s">
        <v>45</v>
      </c>
      <c r="K1542" t="s">
        <v>103</v>
      </c>
      <c r="M1542" t="b">
        <v>1</v>
      </c>
      <c r="N1542" t="s">
        <v>42</v>
      </c>
      <c r="O1542" t="s">
        <v>33</v>
      </c>
      <c r="Q1542">
        <v>125.08</v>
      </c>
      <c r="R1542">
        <v>2.9</v>
      </c>
      <c r="S1542" t="s">
        <v>106</v>
      </c>
      <c r="T1542">
        <v>50.6</v>
      </c>
      <c r="V1542">
        <v>100.2</v>
      </c>
      <c r="W1542">
        <v>77</v>
      </c>
      <c r="X1542">
        <v>9.4</v>
      </c>
      <c r="Y1542">
        <v>59.2</v>
      </c>
      <c r="Z1542">
        <v>1397715000</v>
      </c>
      <c r="AA1542">
        <v>35.861660000000001</v>
      </c>
      <c r="AB1542">
        <v>104.195397</v>
      </c>
    </row>
    <row r="1543" spans="1:28" hidden="1">
      <c r="A1543">
        <v>1516</v>
      </c>
      <c r="B1543">
        <v>2000</v>
      </c>
      <c r="C1543" t="s">
        <v>217</v>
      </c>
      <c r="D1543" t="s">
        <v>3108</v>
      </c>
      <c r="E1543">
        <v>58</v>
      </c>
      <c r="G1543" t="s">
        <v>103</v>
      </c>
      <c r="H1543" t="s">
        <v>279</v>
      </c>
      <c r="I1543" t="s">
        <v>3018</v>
      </c>
      <c r="J1543" t="s">
        <v>217</v>
      </c>
      <c r="K1543" t="s">
        <v>103</v>
      </c>
      <c r="M1543" t="b">
        <v>0</v>
      </c>
      <c r="N1543" t="s">
        <v>42</v>
      </c>
      <c r="O1543" t="s">
        <v>33</v>
      </c>
      <c r="Q1543">
        <v>125.08</v>
      </c>
      <c r="R1543">
        <v>2.9</v>
      </c>
      <c r="S1543" t="s">
        <v>106</v>
      </c>
      <c r="T1543">
        <v>50.6</v>
      </c>
      <c r="V1543">
        <v>100.2</v>
      </c>
      <c r="W1543">
        <v>77</v>
      </c>
      <c r="X1543">
        <v>9.4</v>
      </c>
      <c r="Y1543">
        <v>59.2</v>
      </c>
      <c r="Z1543">
        <v>1397715000</v>
      </c>
      <c r="AA1543">
        <v>35.861660000000001</v>
      </c>
      <c r="AB1543">
        <v>104.195397</v>
      </c>
    </row>
    <row r="1544" spans="1:28" hidden="1">
      <c r="A1544">
        <v>1516</v>
      </c>
      <c r="B1544">
        <v>2000</v>
      </c>
      <c r="C1544" t="s">
        <v>250</v>
      </c>
      <c r="D1544" t="s">
        <v>3109</v>
      </c>
      <c r="E1544">
        <v>61</v>
      </c>
      <c r="G1544" t="s">
        <v>103</v>
      </c>
      <c r="H1544" t="s">
        <v>3110</v>
      </c>
      <c r="I1544" t="s">
        <v>3111</v>
      </c>
      <c r="J1544" t="s">
        <v>250</v>
      </c>
      <c r="K1544" t="s">
        <v>103</v>
      </c>
      <c r="M1544" t="b">
        <v>1</v>
      </c>
      <c r="N1544" t="s">
        <v>42</v>
      </c>
      <c r="O1544" t="s">
        <v>33</v>
      </c>
      <c r="Q1544">
        <v>125.08</v>
      </c>
      <c r="R1544">
        <v>2.9</v>
      </c>
      <c r="S1544" t="s">
        <v>106</v>
      </c>
      <c r="T1544">
        <v>50.6</v>
      </c>
      <c r="V1544">
        <v>100.2</v>
      </c>
      <c r="W1544">
        <v>77</v>
      </c>
      <c r="X1544">
        <v>9.4</v>
      </c>
      <c r="Y1544">
        <v>59.2</v>
      </c>
      <c r="Z1544">
        <v>1397715000</v>
      </c>
      <c r="AA1544">
        <v>35.861660000000001</v>
      </c>
      <c r="AB1544">
        <v>104.195397</v>
      </c>
    </row>
    <row r="1545" spans="1:28" hidden="1">
      <c r="A1545">
        <v>1516</v>
      </c>
      <c r="B1545">
        <v>2000</v>
      </c>
      <c r="C1545" t="s">
        <v>217</v>
      </c>
      <c r="D1545" t="s">
        <v>3112</v>
      </c>
      <c r="E1545">
        <v>64</v>
      </c>
      <c r="G1545" t="s">
        <v>429</v>
      </c>
      <c r="H1545" t="s">
        <v>430</v>
      </c>
      <c r="I1545" t="s">
        <v>808</v>
      </c>
      <c r="J1545" t="s">
        <v>217</v>
      </c>
      <c r="K1545" t="s">
        <v>77</v>
      </c>
      <c r="M1545" t="b">
        <v>0</v>
      </c>
      <c r="N1545" t="s">
        <v>42</v>
      </c>
      <c r="O1545" t="s">
        <v>33</v>
      </c>
      <c r="Q1545">
        <v>113.27</v>
      </c>
      <c r="R1545">
        <v>0.7</v>
      </c>
      <c r="S1545" t="s">
        <v>431</v>
      </c>
      <c r="T1545">
        <v>49.3</v>
      </c>
      <c r="V1545">
        <v>99.8</v>
      </c>
      <c r="W1545">
        <v>76.900000000000006</v>
      </c>
      <c r="X1545">
        <v>14.9</v>
      </c>
      <c r="Y1545">
        <v>29.5</v>
      </c>
      <c r="Z1545">
        <v>69625582</v>
      </c>
      <c r="AA1545">
        <v>15.870032</v>
      </c>
      <c r="AB1545">
        <v>100.992541</v>
      </c>
    </row>
    <row r="1546" spans="1:28" hidden="1">
      <c r="A1546">
        <v>1516</v>
      </c>
      <c r="B1546">
        <v>2000</v>
      </c>
      <c r="C1546" t="s">
        <v>221</v>
      </c>
      <c r="D1546" t="s">
        <v>3113</v>
      </c>
      <c r="E1546">
        <v>73</v>
      </c>
      <c r="G1546" t="s">
        <v>127</v>
      </c>
      <c r="H1546" t="s">
        <v>1686</v>
      </c>
      <c r="I1546" t="s">
        <v>223</v>
      </c>
      <c r="J1546" t="s">
        <v>221</v>
      </c>
      <c r="K1546" t="s">
        <v>127</v>
      </c>
      <c r="M1546" t="b">
        <v>1</v>
      </c>
      <c r="N1546" t="s">
        <v>32</v>
      </c>
      <c r="O1546" t="s">
        <v>33</v>
      </c>
      <c r="Q1546">
        <v>116.76</v>
      </c>
      <c r="R1546">
        <v>1.9</v>
      </c>
      <c r="S1546" t="s">
        <v>132</v>
      </c>
      <c r="T1546">
        <v>68.900000000000006</v>
      </c>
      <c r="V1546">
        <v>100.9</v>
      </c>
      <c r="W1546">
        <v>81.900000000000006</v>
      </c>
      <c r="X1546">
        <v>12.8</v>
      </c>
      <c r="Y1546">
        <v>24.5</v>
      </c>
      <c r="Z1546">
        <v>36991981</v>
      </c>
      <c r="AA1546">
        <v>56.130366000000002</v>
      </c>
      <c r="AB1546">
        <v>-106.346771</v>
      </c>
    </row>
    <row r="1547" spans="1:28" hidden="1">
      <c r="A1547">
        <v>1516</v>
      </c>
      <c r="B1547">
        <v>2000</v>
      </c>
      <c r="C1547" t="s">
        <v>54</v>
      </c>
      <c r="D1547" t="s">
        <v>3114</v>
      </c>
      <c r="E1547">
        <v>63</v>
      </c>
      <c r="G1547" t="s">
        <v>342</v>
      </c>
      <c r="H1547" t="s">
        <v>1093</v>
      </c>
      <c r="I1547" t="s">
        <v>231</v>
      </c>
      <c r="J1547" t="s">
        <v>54</v>
      </c>
      <c r="K1547" t="s">
        <v>263</v>
      </c>
      <c r="M1547" t="b">
        <v>1</v>
      </c>
      <c r="N1547" t="s">
        <v>42</v>
      </c>
      <c r="O1547" t="s">
        <v>33</v>
      </c>
      <c r="Q1547">
        <v>108.15</v>
      </c>
      <c r="R1547">
        <v>0.8</v>
      </c>
      <c r="S1547" t="s">
        <v>532</v>
      </c>
      <c r="T1547">
        <v>63.4</v>
      </c>
      <c r="V1547">
        <v>104.9</v>
      </c>
      <c r="W1547">
        <v>82.8</v>
      </c>
      <c r="X1547">
        <v>23.1</v>
      </c>
      <c r="Y1547">
        <v>25.3</v>
      </c>
      <c r="Z1547">
        <v>9053300</v>
      </c>
      <c r="AA1547">
        <v>31.046050999999999</v>
      </c>
      <c r="AB1547">
        <v>34.851612000000003</v>
      </c>
    </row>
    <row r="1548" spans="1:28" hidden="1">
      <c r="A1548">
        <v>1516</v>
      </c>
      <c r="B1548">
        <v>2000</v>
      </c>
      <c r="C1548" t="s">
        <v>68</v>
      </c>
      <c r="D1548" t="s">
        <v>3115</v>
      </c>
      <c r="E1548">
        <v>73</v>
      </c>
      <c r="G1548" t="s">
        <v>38</v>
      </c>
      <c r="H1548" t="s">
        <v>83</v>
      </c>
      <c r="I1548" t="s">
        <v>68</v>
      </c>
      <c r="J1548" t="s">
        <v>68</v>
      </c>
      <c r="K1548" t="s">
        <v>38</v>
      </c>
      <c r="M1548" t="b">
        <v>0</v>
      </c>
      <c r="N1548" t="s">
        <v>42</v>
      </c>
      <c r="O1548" t="s">
        <v>33</v>
      </c>
      <c r="Q1548">
        <v>117.24</v>
      </c>
      <c r="R1548">
        <v>7.5</v>
      </c>
      <c r="S1548" t="s">
        <v>44</v>
      </c>
      <c r="T1548">
        <v>88.2</v>
      </c>
      <c r="V1548">
        <v>101.8</v>
      </c>
      <c r="W1548">
        <v>78.5</v>
      </c>
      <c r="X1548">
        <v>9.6</v>
      </c>
      <c r="Y1548">
        <v>36.6</v>
      </c>
      <c r="Z1548">
        <v>328239523</v>
      </c>
      <c r="AA1548">
        <v>37.090240000000001</v>
      </c>
      <c r="AB1548">
        <v>-95.712890999999999</v>
      </c>
    </row>
    <row r="1549" spans="1:28" hidden="1">
      <c r="A1549">
        <v>1516</v>
      </c>
      <c r="B1549">
        <v>2000</v>
      </c>
      <c r="C1549" t="s">
        <v>217</v>
      </c>
      <c r="D1549" t="s">
        <v>3116</v>
      </c>
      <c r="E1549">
        <v>59</v>
      </c>
      <c r="G1549" t="s">
        <v>103</v>
      </c>
      <c r="H1549" t="s">
        <v>1514</v>
      </c>
      <c r="I1549" t="s">
        <v>3117</v>
      </c>
      <c r="J1549" t="s">
        <v>217</v>
      </c>
      <c r="K1549" t="s">
        <v>103</v>
      </c>
      <c r="M1549" t="b">
        <v>1</v>
      </c>
      <c r="N1549" t="s">
        <v>42</v>
      </c>
      <c r="O1549" t="s">
        <v>33</v>
      </c>
      <c r="Q1549">
        <v>125.08</v>
      </c>
      <c r="R1549">
        <v>2.9</v>
      </c>
      <c r="S1549" t="s">
        <v>106</v>
      </c>
      <c r="T1549">
        <v>50.6</v>
      </c>
      <c r="V1549">
        <v>100.2</v>
      </c>
      <c r="W1549">
        <v>77</v>
      </c>
      <c r="X1549">
        <v>9.4</v>
      </c>
      <c r="Y1549">
        <v>59.2</v>
      </c>
      <c r="Z1549">
        <v>1397715000</v>
      </c>
      <c r="AA1549">
        <v>35.861660000000001</v>
      </c>
      <c r="AB1549">
        <v>104.195397</v>
      </c>
    </row>
    <row r="1550" spans="1:28" hidden="1">
      <c r="A1550">
        <v>1516</v>
      </c>
      <c r="B1550">
        <v>2000</v>
      </c>
      <c r="C1550" t="s">
        <v>308</v>
      </c>
      <c r="D1550" t="s">
        <v>3118</v>
      </c>
      <c r="E1550">
        <v>47</v>
      </c>
      <c r="G1550" t="s">
        <v>103</v>
      </c>
      <c r="H1550" t="s">
        <v>215</v>
      </c>
      <c r="I1550" t="s">
        <v>154</v>
      </c>
      <c r="J1550" t="s">
        <v>308</v>
      </c>
      <c r="K1550" t="s">
        <v>103</v>
      </c>
      <c r="M1550" t="b">
        <v>1</v>
      </c>
      <c r="N1550" t="s">
        <v>42</v>
      </c>
      <c r="O1550" t="s">
        <v>33</v>
      </c>
      <c r="Q1550">
        <v>125.08</v>
      </c>
      <c r="R1550">
        <v>2.9</v>
      </c>
      <c r="S1550" t="s">
        <v>106</v>
      </c>
      <c r="T1550">
        <v>50.6</v>
      </c>
      <c r="V1550">
        <v>100.2</v>
      </c>
      <c r="W1550">
        <v>77</v>
      </c>
      <c r="X1550">
        <v>9.4</v>
      </c>
      <c r="Y1550">
        <v>59.2</v>
      </c>
      <c r="Z1550">
        <v>1397715000</v>
      </c>
      <c r="AA1550">
        <v>35.861660000000001</v>
      </c>
      <c r="AB1550">
        <v>104.195397</v>
      </c>
    </row>
    <row r="1551" spans="1:28" hidden="1">
      <c r="A1551">
        <v>1516</v>
      </c>
      <c r="B1551">
        <v>2000</v>
      </c>
      <c r="C1551" t="s">
        <v>54</v>
      </c>
      <c r="D1551" t="s">
        <v>3119</v>
      </c>
      <c r="E1551">
        <v>75</v>
      </c>
      <c r="G1551" t="s">
        <v>395</v>
      </c>
      <c r="H1551" t="s">
        <v>395</v>
      </c>
      <c r="I1551" t="s">
        <v>231</v>
      </c>
      <c r="J1551" t="s">
        <v>54</v>
      </c>
      <c r="K1551" t="s">
        <v>395</v>
      </c>
      <c r="M1551" t="b">
        <v>0</v>
      </c>
      <c r="N1551" t="s">
        <v>32</v>
      </c>
      <c r="O1551" t="s">
        <v>33</v>
      </c>
      <c r="Q1551">
        <v>114.41</v>
      </c>
      <c r="R1551">
        <v>0.6</v>
      </c>
      <c r="S1551" t="s">
        <v>451</v>
      </c>
      <c r="T1551">
        <v>84.8</v>
      </c>
      <c r="V1551">
        <v>100.6</v>
      </c>
      <c r="W1551">
        <v>83.1</v>
      </c>
      <c r="X1551">
        <v>13.1</v>
      </c>
      <c r="Y1551">
        <v>21</v>
      </c>
      <c r="Z1551">
        <v>5703569</v>
      </c>
      <c r="AA1551">
        <v>1.3520829999999999</v>
      </c>
      <c r="AB1551">
        <v>103.819836</v>
      </c>
    </row>
    <row r="1552" spans="1:28" hidden="1">
      <c r="A1552">
        <v>1516</v>
      </c>
      <c r="B1552">
        <v>2000</v>
      </c>
      <c r="C1552" t="s">
        <v>236</v>
      </c>
      <c r="D1552" t="s">
        <v>3120</v>
      </c>
      <c r="E1552">
        <v>69</v>
      </c>
      <c r="G1552" t="s">
        <v>238</v>
      </c>
      <c r="H1552" t="s">
        <v>3121</v>
      </c>
      <c r="I1552" t="s">
        <v>240</v>
      </c>
      <c r="J1552" t="s">
        <v>236</v>
      </c>
      <c r="K1552" t="s">
        <v>238</v>
      </c>
      <c r="M1552" t="b">
        <v>1</v>
      </c>
      <c r="N1552" t="s">
        <v>42</v>
      </c>
      <c r="O1552" t="s">
        <v>33</v>
      </c>
      <c r="Q1552">
        <v>119.8</v>
      </c>
      <c r="R1552">
        <v>1.6</v>
      </c>
      <c r="S1552" t="s">
        <v>243</v>
      </c>
      <c r="T1552">
        <v>113.1</v>
      </c>
      <c r="V1552">
        <v>100.3</v>
      </c>
      <c r="W1552">
        <v>82.7</v>
      </c>
      <c r="X1552">
        <v>23</v>
      </c>
      <c r="Y1552">
        <v>47.4</v>
      </c>
      <c r="Z1552">
        <v>25766605</v>
      </c>
      <c r="AA1552">
        <v>-25.274398000000001</v>
      </c>
      <c r="AB1552">
        <v>133.775136</v>
      </c>
    </row>
    <row r="1553" spans="1:28" hidden="1">
      <c r="A1553">
        <v>1516</v>
      </c>
      <c r="B1553">
        <v>2000</v>
      </c>
      <c r="C1553" t="s">
        <v>45</v>
      </c>
      <c r="D1553" t="s">
        <v>3122</v>
      </c>
      <c r="E1553">
        <v>48</v>
      </c>
      <c r="G1553" t="s">
        <v>38</v>
      </c>
      <c r="H1553" t="s">
        <v>3123</v>
      </c>
      <c r="I1553" t="s">
        <v>1663</v>
      </c>
      <c r="J1553" t="s">
        <v>45</v>
      </c>
      <c r="K1553" t="s">
        <v>38</v>
      </c>
      <c r="M1553" t="b">
        <v>1</v>
      </c>
      <c r="N1553" t="s">
        <v>42</v>
      </c>
      <c r="O1553" t="s">
        <v>33</v>
      </c>
      <c r="Q1553">
        <v>117.24</v>
      </c>
      <c r="R1553">
        <v>7.5</v>
      </c>
      <c r="S1553" t="s">
        <v>44</v>
      </c>
      <c r="T1553">
        <v>88.2</v>
      </c>
      <c r="V1553">
        <v>101.8</v>
      </c>
      <c r="W1553">
        <v>78.5</v>
      </c>
      <c r="X1553">
        <v>9.6</v>
      </c>
      <c r="Y1553">
        <v>36.6</v>
      </c>
      <c r="Z1553">
        <v>328239523</v>
      </c>
      <c r="AA1553">
        <v>37.090240000000001</v>
      </c>
      <c r="AB1553">
        <v>-95.712890999999999</v>
      </c>
    </row>
    <row r="1554" spans="1:28" hidden="1">
      <c r="A1554">
        <v>1516</v>
      </c>
      <c r="B1554">
        <v>2000</v>
      </c>
      <c r="C1554" t="s">
        <v>308</v>
      </c>
      <c r="D1554" t="s">
        <v>3124</v>
      </c>
      <c r="E1554">
        <v>69</v>
      </c>
      <c r="G1554" t="s">
        <v>38</v>
      </c>
      <c r="H1554" t="s">
        <v>1081</v>
      </c>
      <c r="I1554" t="s">
        <v>1193</v>
      </c>
      <c r="J1554" t="s">
        <v>308</v>
      </c>
      <c r="K1554" t="s">
        <v>38</v>
      </c>
      <c r="M1554" t="b">
        <v>0</v>
      </c>
      <c r="N1554" t="s">
        <v>419</v>
      </c>
      <c r="O1554" t="s">
        <v>88</v>
      </c>
      <c r="Q1554">
        <v>117.24</v>
      </c>
      <c r="R1554">
        <v>7.5</v>
      </c>
      <c r="S1554" t="s">
        <v>44</v>
      </c>
      <c r="T1554">
        <v>88.2</v>
      </c>
      <c r="V1554">
        <v>101.8</v>
      </c>
      <c r="W1554">
        <v>78.5</v>
      </c>
      <c r="X1554">
        <v>9.6</v>
      </c>
      <c r="Y1554">
        <v>36.6</v>
      </c>
      <c r="Z1554">
        <v>328239523</v>
      </c>
      <c r="AA1554">
        <v>37.090240000000001</v>
      </c>
      <c r="AB1554">
        <v>-95.712890999999999</v>
      </c>
    </row>
    <row r="1555" spans="1:28" hidden="1">
      <c r="A1555">
        <v>1516</v>
      </c>
      <c r="B1555">
        <v>2000</v>
      </c>
      <c r="C1555" t="s">
        <v>469</v>
      </c>
      <c r="D1555" t="s">
        <v>3125</v>
      </c>
      <c r="E1555">
        <v>53</v>
      </c>
      <c r="G1555" t="s">
        <v>77</v>
      </c>
      <c r="H1555" t="s">
        <v>1374</v>
      </c>
      <c r="I1555" t="s">
        <v>3027</v>
      </c>
      <c r="J1555" t="s">
        <v>469</v>
      </c>
      <c r="K1555" t="s">
        <v>77</v>
      </c>
      <c r="M1555" t="b">
        <v>1</v>
      </c>
      <c r="N1555" t="s">
        <v>32</v>
      </c>
      <c r="O1555" t="s">
        <v>33</v>
      </c>
      <c r="Q1555">
        <v>180.44</v>
      </c>
      <c r="R1555">
        <v>7.7</v>
      </c>
      <c r="S1555" t="s">
        <v>81</v>
      </c>
      <c r="T1555">
        <v>28.1</v>
      </c>
      <c r="V1555">
        <v>113</v>
      </c>
      <c r="W1555">
        <v>69.400000000000006</v>
      </c>
      <c r="X1555">
        <v>11.2</v>
      </c>
      <c r="Y1555">
        <v>49.7</v>
      </c>
      <c r="Z1555">
        <v>1366417754</v>
      </c>
      <c r="AA1555">
        <v>20.593684</v>
      </c>
      <c r="AB1555">
        <v>78.962879999999998</v>
      </c>
    </row>
    <row r="1556" spans="1:28" hidden="1">
      <c r="A1556">
        <v>1516</v>
      </c>
      <c r="B1556">
        <v>2000</v>
      </c>
      <c r="C1556" t="s">
        <v>236</v>
      </c>
      <c r="D1556" t="s">
        <v>3126</v>
      </c>
      <c r="E1556">
        <v>46</v>
      </c>
      <c r="G1556" t="s">
        <v>238</v>
      </c>
      <c r="H1556" t="s">
        <v>3121</v>
      </c>
      <c r="I1556" t="s">
        <v>240</v>
      </c>
      <c r="J1556" t="s">
        <v>236</v>
      </c>
      <c r="K1556" t="s">
        <v>238</v>
      </c>
      <c r="M1556" t="b">
        <v>0</v>
      </c>
      <c r="N1556" t="s">
        <v>42</v>
      </c>
      <c r="O1556" t="s">
        <v>88</v>
      </c>
      <c r="Q1556">
        <v>119.8</v>
      </c>
      <c r="R1556">
        <v>1.6</v>
      </c>
      <c r="S1556" t="s">
        <v>243</v>
      </c>
      <c r="T1556">
        <v>113.1</v>
      </c>
      <c r="V1556">
        <v>100.3</v>
      </c>
      <c r="W1556">
        <v>82.7</v>
      </c>
      <c r="X1556">
        <v>23</v>
      </c>
      <c r="Y1556">
        <v>47.4</v>
      </c>
      <c r="Z1556">
        <v>25766605</v>
      </c>
      <c r="AA1556">
        <v>-25.274398000000001</v>
      </c>
      <c r="AB1556">
        <v>133.775136</v>
      </c>
    </row>
    <row r="1557" spans="1:28" hidden="1">
      <c r="A1557">
        <v>1516</v>
      </c>
      <c r="B1557">
        <v>2000</v>
      </c>
      <c r="C1557" t="s">
        <v>236</v>
      </c>
      <c r="D1557" t="s">
        <v>3127</v>
      </c>
      <c r="E1557">
        <v>36</v>
      </c>
      <c r="G1557" t="s">
        <v>238</v>
      </c>
      <c r="H1557" t="s">
        <v>492</v>
      </c>
      <c r="I1557" t="s">
        <v>240</v>
      </c>
      <c r="J1557" t="s">
        <v>236</v>
      </c>
      <c r="K1557" t="s">
        <v>238</v>
      </c>
      <c r="M1557" t="b">
        <v>0</v>
      </c>
      <c r="N1557" t="s">
        <v>42</v>
      </c>
      <c r="O1557" t="s">
        <v>88</v>
      </c>
      <c r="Q1557">
        <v>119.8</v>
      </c>
      <c r="R1557">
        <v>1.6</v>
      </c>
      <c r="S1557" t="s">
        <v>243</v>
      </c>
      <c r="T1557">
        <v>113.1</v>
      </c>
      <c r="V1557">
        <v>100.3</v>
      </c>
      <c r="W1557">
        <v>82.7</v>
      </c>
      <c r="X1557">
        <v>23</v>
      </c>
      <c r="Y1557">
        <v>47.4</v>
      </c>
      <c r="Z1557">
        <v>25766605</v>
      </c>
      <c r="AA1557">
        <v>-25.274398000000001</v>
      </c>
      <c r="AB1557">
        <v>133.775136</v>
      </c>
    </row>
    <row r="1558" spans="1:28" hidden="1">
      <c r="A1558">
        <v>1516</v>
      </c>
      <c r="B1558">
        <v>2000</v>
      </c>
      <c r="C1558" t="s">
        <v>54</v>
      </c>
      <c r="D1558" t="s">
        <v>3128</v>
      </c>
      <c r="E1558">
        <v>87</v>
      </c>
      <c r="G1558" t="s">
        <v>38</v>
      </c>
      <c r="H1558" t="s">
        <v>3129</v>
      </c>
      <c r="I1558" t="s">
        <v>3130</v>
      </c>
      <c r="J1558" t="s">
        <v>54</v>
      </c>
      <c r="K1558" t="s">
        <v>38</v>
      </c>
      <c r="M1558" t="b">
        <v>1</v>
      </c>
      <c r="N1558" t="s">
        <v>42</v>
      </c>
      <c r="O1558" t="s">
        <v>33</v>
      </c>
      <c r="Q1558">
        <v>117.24</v>
      </c>
      <c r="R1558">
        <v>7.5</v>
      </c>
      <c r="S1558" t="s">
        <v>44</v>
      </c>
      <c r="T1558">
        <v>88.2</v>
      </c>
      <c r="V1558">
        <v>101.8</v>
      </c>
      <c r="W1558">
        <v>78.5</v>
      </c>
      <c r="X1558">
        <v>9.6</v>
      </c>
      <c r="Y1558">
        <v>36.6</v>
      </c>
      <c r="Z1558">
        <v>328239523</v>
      </c>
      <c r="AA1558">
        <v>37.090240000000001</v>
      </c>
      <c r="AB1558">
        <v>-95.712890999999999</v>
      </c>
    </row>
    <row r="1559" spans="1:28" hidden="1">
      <c r="A1559">
        <v>1516</v>
      </c>
      <c r="B1559">
        <v>2000</v>
      </c>
      <c r="C1559" t="s">
        <v>217</v>
      </c>
      <c r="D1559" t="s">
        <v>3131</v>
      </c>
      <c r="E1559">
        <v>71</v>
      </c>
      <c r="G1559" t="s">
        <v>77</v>
      </c>
      <c r="H1559" t="s">
        <v>137</v>
      </c>
      <c r="I1559" t="s">
        <v>2294</v>
      </c>
      <c r="J1559" t="s">
        <v>217</v>
      </c>
      <c r="K1559" t="s">
        <v>77</v>
      </c>
      <c r="M1559" t="b">
        <v>1</v>
      </c>
      <c r="N1559" t="s">
        <v>32</v>
      </c>
      <c r="O1559" t="s">
        <v>33</v>
      </c>
      <c r="Q1559">
        <v>180.44</v>
      </c>
      <c r="R1559">
        <v>7.7</v>
      </c>
      <c r="S1559" t="s">
        <v>81</v>
      </c>
      <c r="T1559">
        <v>28.1</v>
      </c>
      <c r="V1559">
        <v>113</v>
      </c>
      <c r="W1559">
        <v>69.400000000000006</v>
      </c>
      <c r="X1559">
        <v>11.2</v>
      </c>
      <c r="Y1559">
        <v>49.7</v>
      </c>
      <c r="Z1559">
        <v>1366417754</v>
      </c>
      <c r="AA1559">
        <v>20.593684</v>
      </c>
      <c r="AB1559">
        <v>78.962879999999998</v>
      </c>
    </row>
    <row r="1560" spans="1:28" hidden="1">
      <c r="A1560">
        <v>1516</v>
      </c>
      <c r="B1560">
        <v>2000</v>
      </c>
      <c r="C1560" t="s">
        <v>63</v>
      </c>
      <c r="D1560" t="s">
        <v>3132</v>
      </c>
      <c r="E1560">
        <v>66</v>
      </c>
      <c r="G1560" t="s">
        <v>1108</v>
      </c>
      <c r="H1560" t="s">
        <v>3133</v>
      </c>
      <c r="I1560" t="s">
        <v>3134</v>
      </c>
      <c r="J1560" t="s">
        <v>63</v>
      </c>
      <c r="K1560" t="s">
        <v>1108</v>
      </c>
      <c r="M1560" t="b">
        <v>1</v>
      </c>
      <c r="N1560" t="s">
        <v>42</v>
      </c>
      <c r="O1560" t="s">
        <v>33</v>
      </c>
      <c r="Q1560">
        <v>114.11</v>
      </c>
      <c r="R1560">
        <v>2.2000000000000002</v>
      </c>
      <c r="S1560" t="s">
        <v>1110</v>
      </c>
      <c r="T1560">
        <v>67.8</v>
      </c>
      <c r="V1560">
        <v>100</v>
      </c>
      <c r="W1560">
        <v>77.599999999999994</v>
      </c>
      <c r="X1560">
        <v>17.399999999999999</v>
      </c>
      <c r="Y1560">
        <v>40.799999999999997</v>
      </c>
      <c r="Z1560">
        <v>37970874</v>
      </c>
      <c r="AA1560">
        <v>51.919438</v>
      </c>
      <c r="AB1560">
        <v>19.145136000000001</v>
      </c>
    </row>
    <row r="1561" spans="1:28" hidden="1">
      <c r="A1561">
        <v>1516</v>
      </c>
      <c r="B1561">
        <v>2000</v>
      </c>
      <c r="C1561" t="s">
        <v>217</v>
      </c>
      <c r="D1561" t="s">
        <v>3135</v>
      </c>
      <c r="E1561">
        <v>30</v>
      </c>
      <c r="I1561" t="s">
        <v>3136</v>
      </c>
      <c r="J1561" t="s">
        <v>217</v>
      </c>
      <c r="K1561" t="s">
        <v>389</v>
      </c>
      <c r="M1561" t="b">
        <v>0</v>
      </c>
      <c r="N1561" t="s">
        <v>192</v>
      </c>
      <c r="O1561" t="s">
        <v>33</v>
      </c>
    </row>
    <row r="1562" spans="1:28" hidden="1">
      <c r="A1562">
        <v>1516</v>
      </c>
      <c r="B1562">
        <v>2000</v>
      </c>
      <c r="C1562" t="s">
        <v>26</v>
      </c>
      <c r="D1562" t="s">
        <v>3137</v>
      </c>
      <c r="E1562">
        <v>67</v>
      </c>
      <c r="G1562" t="s">
        <v>148</v>
      </c>
      <c r="H1562" t="s">
        <v>3138</v>
      </c>
      <c r="I1562" t="s">
        <v>2158</v>
      </c>
      <c r="J1562" t="s">
        <v>26</v>
      </c>
      <c r="K1562" t="s">
        <v>148</v>
      </c>
      <c r="M1562" t="b">
        <v>0</v>
      </c>
      <c r="N1562" t="s">
        <v>419</v>
      </c>
      <c r="O1562" t="s">
        <v>88</v>
      </c>
      <c r="Q1562">
        <v>112.85</v>
      </c>
      <c r="R1562">
        <v>1.4</v>
      </c>
      <c r="S1562" t="s">
        <v>151</v>
      </c>
      <c r="T1562">
        <v>70.2</v>
      </c>
      <c r="V1562">
        <v>104</v>
      </c>
      <c r="W1562">
        <v>80.900000000000006</v>
      </c>
      <c r="X1562">
        <v>11.5</v>
      </c>
      <c r="Y1562">
        <v>48.8</v>
      </c>
      <c r="Z1562">
        <v>83132799</v>
      </c>
      <c r="AA1562">
        <v>51.165691000000002</v>
      </c>
      <c r="AB1562">
        <v>10.451525999999999</v>
      </c>
    </row>
    <row r="1563" spans="1:28" hidden="1">
      <c r="A1563">
        <v>1516</v>
      </c>
      <c r="B1563">
        <v>2000</v>
      </c>
      <c r="C1563" t="s">
        <v>45</v>
      </c>
      <c r="D1563" t="s">
        <v>3139</v>
      </c>
      <c r="E1563">
        <v>69</v>
      </c>
      <c r="G1563" t="s">
        <v>252</v>
      </c>
      <c r="H1563" t="s">
        <v>253</v>
      </c>
      <c r="I1563" t="s">
        <v>3140</v>
      </c>
      <c r="J1563" t="s">
        <v>45</v>
      </c>
      <c r="K1563" t="s">
        <v>252</v>
      </c>
      <c r="M1563" t="b">
        <v>1</v>
      </c>
      <c r="N1563" t="s">
        <v>42</v>
      </c>
      <c r="O1563" t="s">
        <v>33</v>
      </c>
      <c r="Q1563">
        <v>151.18</v>
      </c>
      <c r="R1563">
        <v>3</v>
      </c>
      <c r="S1563" t="s">
        <v>255</v>
      </c>
      <c r="T1563">
        <v>36.299999999999997</v>
      </c>
      <c r="V1563">
        <v>106.4</v>
      </c>
      <c r="W1563">
        <v>71.5</v>
      </c>
      <c r="X1563">
        <v>10.199999999999999</v>
      </c>
      <c r="Y1563">
        <v>30.1</v>
      </c>
      <c r="Z1563">
        <v>270203917</v>
      </c>
      <c r="AA1563">
        <v>-0.78927499999999995</v>
      </c>
      <c r="AB1563">
        <v>113.92132700000001</v>
      </c>
    </row>
    <row r="1564" spans="1:28" hidden="1">
      <c r="A1564">
        <v>1516</v>
      </c>
      <c r="B1564">
        <v>2000</v>
      </c>
      <c r="C1564" t="s">
        <v>478</v>
      </c>
      <c r="D1564" t="s">
        <v>3141</v>
      </c>
      <c r="E1564">
        <v>77</v>
      </c>
      <c r="G1564" t="s">
        <v>127</v>
      </c>
      <c r="H1564" t="s">
        <v>128</v>
      </c>
      <c r="I1564" t="s">
        <v>478</v>
      </c>
      <c r="J1564" t="s">
        <v>478</v>
      </c>
      <c r="K1564" t="s">
        <v>127</v>
      </c>
      <c r="M1564" t="b">
        <v>1</v>
      </c>
      <c r="N1564" t="s">
        <v>192</v>
      </c>
      <c r="O1564" t="s">
        <v>33</v>
      </c>
      <c r="Q1564">
        <v>116.76</v>
      </c>
      <c r="R1564">
        <v>1.9</v>
      </c>
      <c r="S1564" t="s">
        <v>132</v>
      </c>
      <c r="T1564">
        <v>68.900000000000006</v>
      </c>
      <c r="V1564">
        <v>100.9</v>
      </c>
      <c r="W1564">
        <v>81.900000000000006</v>
      </c>
      <c r="X1564">
        <v>12.8</v>
      </c>
      <c r="Y1564">
        <v>24.5</v>
      </c>
      <c r="Z1564">
        <v>36991981</v>
      </c>
      <c r="AA1564">
        <v>56.130366000000002</v>
      </c>
      <c r="AB1564">
        <v>-106.346771</v>
      </c>
    </row>
    <row r="1565" spans="1:28" hidden="1">
      <c r="A1565">
        <v>1516</v>
      </c>
      <c r="B1565">
        <v>2000</v>
      </c>
      <c r="C1565" t="s">
        <v>54</v>
      </c>
      <c r="D1565" t="s">
        <v>3142</v>
      </c>
      <c r="E1565">
        <v>76</v>
      </c>
      <c r="G1565" t="s">
        <v>429</v>
      </c>
      <c r="H1565" t="s">
        <v>430</v>
      </c>
      <c r="I1565" t="s">
        <v>231</v>
      </c>
      <c r="J1565" t="s">
        <v>54</v>
      </c>
      <c r="K1565" t="s">
        <v>429</v>
      </c>
      <c r="M1565" t="b">
        <v>1</v>
      </c>
      <c r="N1565" t="s">
        <v>419</v>
      </c>
      <c r="O1565" t="s">
        <v>33</v>
      </c>
      <c r="Q1565">
        <v>113.27</v>
      </c>
      <c r="R1565">
        <v>0.7</v>
      </c>
      <c r="S1565" t="s">
        <v>431</v>
      </c>
      <c r="T1565">
        <v>49.3</v>
      </c>
      <c r="V1565">
        <v>99.8</v>
      </c>
      <c r="W1565">
        <v>76.900000000000006</v>
      </c>
      <c r="X1565">
        <v>14.9</v>
      </c>
      <c r="Y1565">
        <v>29.5</v>
      </c>
      <c r="Z1565">
        <v>69625582</v>
      </c>
      <c r="AA1565">
        <v>15.870032</v>
      </c>
      <c r="AB1565">
        <v>100.992541</v>
      </c>
    </row>
    <row r="1566" spans="1:28" hidden="1">
      <c r="A1566">
        <v>1516</v>
      </c>
      <c r="B1566">
        <v>2000</v>
      </c>
      <c r="C1566" t="s">
        <v>54</v>
      </c>
      <c r="D1566" t="s">
        <v>3143</v>
      </c>
      <c r="E1566">
        <v>83</v>
      </c>
      <c r="G1566" t="s">
        <v>3144</v>
      </c>
      <c r="H1566" t="s">
        <v>3145</v>
      </c>
      <c r="I1566" t="s">
        <v>3146</v>
      </c>
      <c r="J1566" t="s">
        <v>54</v>
      </c>
      <c r="K1566" t="s">
        <v>3144</v>
      </c>
      <c r="M1566" t="b">
        <v>1</v>
      </c>
      <c r="N1566" t="s">
        <v>32</v>
      </c>
      <c r="O1566" t="s">
        <v>33</v>
      </c>
      <c r="Q1566">
        <v>123.78</v>
      </c>
      <c r="R1566">
        <v>3.8</v>
      </c>
      <c r="S1566" t="s">
        <v>3147</v>
      </c>
      <c r="T1566">
        <v>49.4</v>
      </c>
      <c r="V1566">
        <v>85.2</v>
      </c>
      <c r="W1566">
        <v>75.400000000000006</v>
      </c>
      <c r="X1566">
        <v>14.6</v>
      </c>
      <c r="Y1566">
        <v>20</v>
      </c>
      <c r="Z1566">
        <v>19356544</v>
      </c>
      <c r="AA1566">
        <v>45.943161000000003</v>
      </c>
      <c r="AB1566">
        <v>24.966760000000001</v>
      </c>
    </row>
    <row r="1567" spans="1:28" hidden="1">
      <c r="A1567">
        <v>1516</v>
      </c>
      <c r="B1567">
        <v>2000</v>
      </c>
      <c r="C1567" t="s">
        <v>236</v>
      </c>
      <c r="D1567" t="s">
        <v>3148</v>
      </c>
      <c r="E1567">
        <v>37</v>
      </c>
      <c r="G1567" t="s">
        <v>38</v>
      </c>
      <c r="H1567" t="s">
        <v>65</v>
      </c>
      <c r="I1567" t="s">
        <v>240</v>
      </c>
      <c r="J1567" t="s">
        <v>236</v>
      </c>
      <c r="K1567" t="s">
        <v>238</v>
      </c>
      <c r="M1567" t="b">
        <v>0</v>
      </c>
      <c r="N1567" t="s">
        <v>42</v>
      </c>
      <c r="O1567" t="s">
        <v>88</v>
      </c>
      <c r="Q1567">
        <v>117.24</v>
      </c>
      <c r="R1567">
        <v>7.5</v>
      </c>
      <c r="S1567" t="s">
        <v>44</v>
      </c>
      <c r="T1567">
        <v>88.2</v>
      </c>
      <c r="V1567">
        <v>101.8</v>
      </c>
      <c r="W1567">
        <v>78.5</v>
      </c>
      <c r="X1567">
        <v>9.6</v>
      </c>
      <c r="Y1567">
        <v>36.6</v>
      </c>
      <c r="Z1567">
        <v>328239523</v>
      </c>
      <c r="AA1567">
        <v>37.090240000000001</v>
      </c>
      <c r="AB1567">
        <v>-95.712890999999999</v>
      </c>
    </row>
    <row r="1568" spans="1:28" hidden="1">
      <c r="A1568">
        <v>1516</v>
      </c>
      <c r="B1568">
        <v>2000</v>
      </c>
      <c r="C1568" t="s">
        <v>217</v>
      </c>
      <c r="D1568" t="s">
        <v>3149</v>
      </c>
      <c r="E1568">
        <v>82</v>
      </c>
      <c r="G1568" t="s">
        <v>38</v>
      </c>
      <c r="H1568" t="s">
        <v>3150</v>
      </c>
      <c r="I1568" t="s">
        <v>3151</v>
      </c>
      <c r="J1568" t="s">
        <v>217</v>
      </c>
      <c r="K1568" t="s">
        <v>38</v>
      </c>
      <c r="M1568" t="b">
        <v>1</v>
      </c>
      <c r="N1568" t="s">
        <v>42</v>
      </c>
      <c r="O1568" t="s">
        <v>33</v>
      </c>
      <c r="Q1568">
        <v>117.24</v>
      </c>
      <c r="R1568">
        <v>7.5</v>
      </c>
      <c r="S1568" t="s">
        <v>44</v>
      </c>
      <c r="T1568">
        <v>88.2</v>
      </c>
      <c r="V1568">
        <v>101.8</v>
      </c>
      <c r="W1568">
        <v>78.5</v>
      </c>
      <c r="X1568">
        <v>9.6</v>
      </c>
      <c r="Y1568">
        <v>36.6</v>
      </c>
      <c r="Z1568">
        <v>328239523</v>
      </c>
      <c r="AA1568">
        <v>37.090240000000001</v>
      </c>
      <c r="AB1568">
        <v>-95.712890999999999</v>
      </c>
    </row>
    <row r="1569" spans="1:28" hidden="1">
      <c r="A1569">
        <v>1516</v>
      </c>
      <c r="B1569">
        <v>2000</v>
      </c>
      <c r="C1569" t="s">
        <v>26</v>
      </c>
      <c r="D1569" t="s">
        <v>3152</v>
      </c>
      <c r="E1569">
        <v>46</v>
      </c>
      <c r="I1569" t="s">
        <v>216</v>
      </c>
      <c r="J1569" t="s">
        <v>26</v>
      </c>
      <c r="K1569" t="s">
        <v>389</v>
      </c>
      <c r="M1569" t="b">
        <v>1</v>
      </c>
      <c r="N1569" t="s">
        <v>192</v>
      </c>
      <c r="O1569" t="s">
        <v>33</v>
      </c>
    </row>
    <row r="1570" spans="1:28" hidden="1">
      <c r="A1570">
        <v>1516</v>
      </c>
      <c r="B1570">
        <v>2000</v>
      </c>
      <c r="C1570" t="s">
        <v>45</v>
      </c>
      <c r="D1570" t="s">
        <v>3153</v>
      </c>
      <c r="E1570">
        <v>57</v>
      </c>
      <c r="G1570" t="s">
        <v>103</v>
      </c>
      <c r="H1570" t="s">
        <v>176</v>
      </c>
      <c r="I1570" t="s">
        <v>3154</v>
      </c>
      <c r="J1570" t="s">
        <v>45</v>
      </c>
      <c r="K1570" t="s">
        <v>103</v>
      </c>
      <c r="M1570" t="b">
        <v>1</v>
      </c>
      <c r="N1570" t="s">
        <v>42</v>
      </c>
      <c r="O1570" t="s">
        <v>33</v>
      </c>
      <c r="Q1570">
        <v>125.08</v>
      </c>
      <c r="R1570">
        <v>2.9</v>
      </c>
      <c r="S1570" t="s">
        <v>106</v>
      </c>
      <c r="T1570">
        <v>50.6</v>
      </c>
      <c r="V1570">
        <v>100.2</v>
      </c>
      <c r="W1570">
        <v>77</v>
      </c>
      <c r="X1570">
        <v>9.4</v>
      </c>
      <c r="Y1570">
        <v>59.2</v>
      </c>
      <c r="Z1570">
        <v>1397715000</v>
      </c>
      <c r="AA1570">
        <v>35.861660000000001</v>
      </c>
      <c r="AB1570">
        <v>104.195397</v>
      </c>
    </row>
    <row r="1571" spans="1:28" hidden="1">
      <c r="A1571">
        <v>1516</v>
      </c>
      <c r="B1571">
        <v>2000</v>
      </c>
      <c r="C1571" t="s">
        <v>45</v>
      </c>
      <c r="D1571" t="s">
        <v>3155</v>
      </c>
      <c r="E1571">
        <v>57</v>
      </c>
      <c r="G1571" t="s">
        <v>103</v>
      </c>
      <c r="H1571" t="s">
        <v>143</v>
      </c>
      <c r="I1571" t="s">
        <v>3106</v>
      </c>
      <c r="J1571" t="s">
        <v>45</v>
      </c>
      <c r="K1571" t="s">
        <v>103</v>
      </c>
      <c r="M1571" t="b">
        <v>1</v>
      </c>
      <c r="N1571" t="s">
        <v>42</v>
      </c>
      <c r="O1571" t="s">
        <v>33</v>
      </c>
      <c r="Q1571">
        <v>125.08</v>
      </c>
      <c r="R1571">
        <v>2.9</v>
      </c>
      <c r="S1571" t="s">
        <v>106</v>
      </c>
      <c r="T1571">
        <v>50.6</v>
      </c>
      <c r="V1571">
        <v>100.2</v>
      </c>
      <c r="W1571">
        <v>77</v>
      </c>
      <c r="X1571">
        <v>9.4</v>
      </c>
      <c r="Y1571">
        <v>59.2</v>
      </c>
      <c r="Z1571">
        <v>1397715000</v>
      </c>
      <c r="AA1571">
        <v>35.861660000000001</v>
      </c>
      <c r="AB1571">
        <v>104.195397</v>
      </c>
    </row>
    <row r="1572" spans="1:28" hidden="1">
      <c r="A1572">
        <v>1516</v>
      </c>
      <c r="B1572">
        <v>2000</v>
      </c>
      <c r="C1572" t="s">
        <v>217</v>
      </c>
      <c r="D1572" t="s">
        <v>3156</v>
      </c>
      <c r="E1572">
        <v>73</v>
      </c>
      <c r="G1572" t="s">
        <v>103</v>
      </c>
      <c r="H1572" t="s">
        <v>3157</v>
      </c>
      <c r="I1572" t="s">
        <v>893</v>
      </c>
      <c r="J1572" t="s">
        <v>217</v>
      </c>
      <c r="K1572" t="s">
        <v>103</v>
      </c>
      <c r="M1572" t="b">
        <v>1</v>
      </c>
      <c r="N1572" t="s">
        <v>42</v>
      </c>
      <c r="O1572" t="s">
        <v>33</v>
      </c>
      <c r="Q1572">
        <v>125.08</v>
      </c>
      <c r="R1572">
        <v>2.9</v>
      </c>
      <c r="S1572" t="s">
        <v>106</v>
      </c>
      <c r="T1572">
        <v>50.6</v>
      </c>
      <c r="V1572">
        <v>100.2</v>
      </c>
      <c r="W1572">
        <v>77</v>
      </c>
      <c r="X1572">
        <v>9.4</v>
      </c>
      <c r="Y1572">
        <v>59.2</v>
      </c>
      <c r="Z1572">
        <v>1397715000</v>
      </c>
      <c r="AA1572">
        <v>35.861660000000001</v>
      </c>
      <c r="AB1572">
        <v>104.195397</v>
      </c>
    </row>
    <row r="1573" spans="1:28" hidden="1">
      <c r="A1573">
        <v>1516</v>
      </c>
      <c r="B1573">
        <v>2000</v>
      </c>
      <c r="C1573" t="s">
        <v>45</v>
      </c>
      <c r="D1573" t="s">
        <v>3158</v>
      </c>
      <c r="E1573">
        <v>48</v>
      </c>
      <c r="G1573" t="s">
        <v>103</v>
      </c>
      <c r="H1573" t="s">
        <v>143</v>
      </c>
      <c r="I1573" t="s">
        <v>572</v>
      </c>
      <c r="J1573" t="s">
        <v>45</v>
      </c>
      <c r="K1573" t="s">
        <v>103</v>
      </c>
      <c r="M1573" t="b">
        <v>1</v>
      </c>
      <c r="N1573" t="s">
        <v>42</v>
      </c>
      <c r="O1573" t="s">
        <v>33</v>
      </c>
      <c r="Q1573">
        <v>125.08</v>
      </c>
      <c r="R1573">
        <v>2.9</v>
      </c>
      <c r="S1573" t="s">
        <v>106</v>
      </c>
      <c r="T1573">
        <v>50.6</v>
      </c>
      <c r="V1573">
        <v>100.2</v>
      </c>
      <c r="W1573">
        <v>77</v>
      </c>
      <c r="X1573">
        <v>9.4</v>
      </c>
      <c r="Y1573">
        <v>59.2</v>
      </c>
      <c r="Z1573">
        <v>1397715000</v>
      </c>
      <c r="AA1573">
        <v>35.861660000000001</v>
      </c>
      <c r="AB1573">
        <v>104.195397</v>
      </c>
    </row>
    <row r="1574" spans="1:28" hidden="1">
      <c r="A1574">
        <v>1516</v>
      </c>
      <c r="B1574">
        <v>2000</v>
      </c>
      <c r="C1574" t="s">
        <v>250</v>
      </c>
      <c r="D1574" t="s">
        <v>3159</v>
      </c>
      <c r="E1574">
        <v>46</v>
      </c>
      <c r="G1574" t="s">
        <v>103</v>
      </c>
      <c r="H1574" t="s">
        <v>176</v>
      </c>
      <c r="I1574" t="s">
        <v>3160</v>
      </c>
      <c r="J1574" t="s">
        <v>250</v>
      </c>
      <c r="K1574" t="s">
        <v>103</v>
      </c>
      <c r="M1574" t="b">
        <v>1</v>
      </c>
      <c r="N1574" t="s">
        <v>42</v>
      </c>
      <c r="O1574" t="s">
        <v>33</v>
      </c>
      <c r="Q1574">
        <v>125.08</v>
      </c>
      <c r="R1574">
        <v>2.9</v>
      </c>
      <c r="S1574" t="s">
        <v>106</v>
      </c>
      <c r="T1574">
        <v>50.6</v>
      </c>
      <c r="V1574">
        <v>100.2</v>
      </c>
      <c r="W1574">
        <v>77</v>
      </c>
      <c r="X1574">
        <v>9.4</v>
      </c>
      <c r="Y1574">
        <v>59.2</v>
      </c>
      <c r="Z1574">
        <v>1397715000</v>
      </c>
      <c r="AA1574">
        <v>35.861660000000001</v>
      </c>
      <c r="AB1574">
        <v>104.195397</v>
      </c>
    </row>
    <row r="1575" spans="1:28" hidden="1">
      <c r="A1575">
        <v>1516</v>
      </c>
      <c r="B1575">
        <v>2000</v>
      </c>
      <c r="C1575" t="s">
        <v>288</v>
      </c>
      <c r="D1575" t="s">
        <v>3161</v>
      </c>
      <c r="E1575">
        <v>59</v>
      </c>
      <c r="G1575" t="s">
        <v>103</v>
      </c>
      <c r="H1575" t="s">
        <v>215</v>
      </c>
      <c r="I1575" t="s">
        <v>288</v>
      </c>
      <c r="J1575" t="s">
        <v>288</v>
      </c>
      <c r="K1575" t="s">
        <v>103</v>
      </c>
      <c r="M1575" t="b">
        <v>1</v>
      </c>
      <c r="N1575" t="s">
        <v>32</v>
      </c>
      <c r="O1575" t="s">
        <v>33</v>
      </c>
      <c r="Q1575">
        <v>125.08</v>
      </c>
      <c r="R1575">
        <v>2.9</v>
      </c>
      <c r="S1575" t="s">
        <v>106</v>
      </c>
      <c r="T1575">
        <v>50.6</v>
      </c>
      <c r="V1575">
        <v>100.2</v>
      </c>
      <c r="W1575">
        <v>77</v>
      </c>
      <c r="X1575">
        <v>9.4</v>
      </c>
      <c r="Y1575">
        <v>59.2</v>
      </c>
      <c r="Z1575">
        <v>1397715000</v>
      </c>
      <c r="AA1575">
        <v>35.861660000000001</v>
      </c>
      <c r="AB1575">
        <v>104.195397</v>
      </c>
    </row>
    <row r="1576" spans="1:28" hidden="1">
      <c r="A1576">
        <v>1575</v>
      </c>
      <c r="B1576">
        <v>1900</v>
      </c>
      <c r="C1576" t="s">
        <v>75</v>
      </c>
      <c r="D1576" t="s">
        <v>3162</v>
      </c>
      <c r="E1576">
        <v>74</v>
      </c>
      <c r="G1576" t="s">
        <v>282</v>
      </c>
      <c r="H1576" t="s">
        <v>283</v>
      </c>
      <c r="I1576" t="s">
        <v>3163</v>
      </c>
      <c r="J1576" t="s">
        <v>75</v>
      </c>
      <c r="K1576" t="s">
        <v>282</v>
      </c>
      <c r="M1576" t="b">
        <v>0</v>
      </c>
      <c r="N1576" t="s">
        <v>32</v>
      </c>
      <c r="O1576" t="s">
        <v>33</v>
      </c>
      <c r="Q1576">
        <v>131.91</v>
      </c>
      <c r="R1576">
        <v>2.6</v>
      </c>
      <c r="S1576" t="s">
        <v>284</v>
      </c>
      <c r="T1576">
        <v>88.5</v>
      </c>
      <c r="V1576">
        <v>101.4</v>
      </c>
      <c r="W1576">
        <v>80</v>
      </c>
      <c r="X1576">
        <v>18.2</v>
      </c>
      <c r="Y1576">
        <v>34</v>
      </c>
      <c r="Z1576">
        <v>18952038</v>
      </c>
      <c r="AA1576">
        <v>-35.675147000000003</v>
      </c>
      <c r="AB1576">
        <v>-71.542968999999999</v>
      </c>
    </row>
    <row r="1577" spans="1:28" hidden="1">
      <c r="A1577">
        <v>1575</v>
      </c>
      <c r="B1577">
        <v>1900</v>
      </c>
      <c r="C1577" t="s">
        <v>250</v>
      </c>
      <c r="D1577" t="s">
        <v>3164</v>
      </c>
      <c r="E1577">
        <v>56</v>
      </c>
      <c r="G1577" t="s">
        <v>1634</v>
      </c>
      <c r="H1577" t="s">
        <v>3102</v>
      </c>
      <c r="I1577" t="s">
        <v>351</v>
      </c>
      <c r="J1577" t="s">
        <v>250</v>
      </c>
      <c r="K1577" t="s">
        <v>1634</v>
      </c>
      <c r="M1577" t="b">
        <v>1</v>
      </c>
      <c r="N1577" t="s">
        <v>32</v>
      </c>
      <c r="O1577" t="s">
        <v>33</v>
      </c>
      <c r="Q1577">
        <v>112.33</v>
      </c>
      <c r="R1577">
        <v>1</v>
      </c>
      <c r="S1577" t="s">
        <v>1637</v>
      </c>
      <c r="T1577">
        <v>88.2</v>
      </c>
      <c r="V1577">
        <v>100.2</v>
      </c>
      <c r="W1577">
        <v>81.7</v>
      </c>
      <c r="X1577">
        <v>20.8</v>
      </c>
      <c r="Y1577">
        <v>36.6</v>
      </c>
      <c r="Z1577">
        <v>5520314</v>
      </c>
      <c r="AA1577">
        <v>61.924109999999999</v>
      </c>
      <c r="AB1577">
        <v>25.748151</v>
      </c>
    </row>
    <row r="1578" spans="1:28" hidden="1">
      <c r="A1578">
        <v>1575</v>
      </c>
      <c r="B1578">
        <v>1900</v>
      </c>
      <c r="C1578" t="s">
        <v>478</v>
      </c>
      <c r="D1578" t="s">
        <v>3165</v>
      </c>
      <c r="E1578">
        <v>53</v>
      </c>
      <c r="G1578" t="s">
        <v>38</v>
      </c>
      <c r="H1578" t="s">
        <v>65</v>
      </c>
      <c r="I1578" t="s">
        <v>478</v>
      </c>
      <c r="J1578" t="s">
        <v>478</v>
      </c>
      <c r="K1578" t="s">
        <v>38</v>
      </c>
      <c r="M1578" t="b">
        <v>1</v>
      </c>
      <c r="N1578" t="s">
        <v>192</v>
      </c>
      <c r="O1578" t="s">
        <v>33</v>
      </c>
      <c r="Q1578">
        <v>117.24</v>
      </c>
      <c r="R1578">
        <v>7.5</v>
      </c>
      <c r="S1578" t="s">
        <v>44</v>
      </c>
      <c r="T1578">
        <v>88.2</v>
      </c>
      <c r="V1578">
        <v>101.8</v>
      </c>
      <c r="W1578">
        <v>78.5</v>
      </c>
      <c r="X1578">
        <v>9.6</v>
      </c>
      <c r="Y1578">
        <v>36.6</v>
      </c>
      <c r="Z1578">
        <v>328239523</v>
      </c>
      <c r="AA1578">
        <v>37.090240000000001</v>
      </c>
      <c r="AB1578">
        <v>-95.712890999999999</v>
      </c>
    </row>
    <row r="1579" spans="1:28" hidden="1">
      <c r="A1579">
        <v>1575</v>
      </c>
      <c r="B1579">
        <v>1900</v>
      </c>
      <c r="C1579" t="s">
        <v>54</v>
      </c>
      <c r="D1579" t="s">
        <v>3166</v>
      </c>
      <c r="E1579">
        <v>87</v>
      </c>
      <c r="G1579" t="s">
        <v>384</v>
      </c>
      <c r="H1579" t="s">
        <v>1650</v>
      </c>
      <c r="I1579" t="s">
        <v>383</v>
      </c>
      <c r="J1579" t="s">
        <v>54</v>
      </c>
      <c r="K1579" t="s">
        <v>384</v>
      </c>
      <c r="M1579" t="b">
        <v>1</v>
      </c>
      <c r="N1579" t="s">
        <v>42</v>
      </c>
      <c r="O1579" t="s">
        <v>33</v>
      </c>
      <c r="Q1579">
        <v>167.4</v>
      </c>
      <c r="R1579">
        <v>3.7</v>
      </c>
      <c r="S1579" t="s">
        <v>563</v>
      </c>
      <c r="T1579">
        <v>51.3</v>
      </c>
      <c r="V1579">
        <v>115.4</v>
      </c>
      <c r="W1579">
        <v>75.7</v>
      </c>
      <c r="X1579">
        <v>14.2</v>
      </c>
      <c r="Y1579">
        <v>65.099999999999994</v>
      </c>
      <c r="Z1579">
        <v>212559417</v>
      </c>
      <c r="AA1579">
        <v>-14.235004</v>
      </c>
      <c r="AB1579">
        <v>-51.925280000000001</v>
      </c>
    </row>
    <row r="1580" spans="1:28" hidden="1">
      <c r="A1580">
        <v>1575</v>
      </c>
      <c r="B1580">
        <v>1900</v>
      </c>
      <c r="C1580" t="s">
        <v>250</v>
      </c>
      <c r="D1580" t="s">
        <v>3167</v>
      </c>
      <c r="E1580">
        <v>55</v>
      </c>
      <c r="G1580" t="s">
        <v>263</v>
      </c>
      <c r="H1580" t="s">
        <v>3168</v>
      </c>
      <c r="I1580" t="s">
        <v>357</v>
      </c>
      <c r="J1580" t="s">
        <v>250</v>
      </c>
      <c r="K1580" t="s">
        <v>263</v>
      </c>
      <c r="M1580" t="b">
        <v>1</v>
      </c>
      <c r="N1580" t="s">
        <v>32</v>
      </c>
      <c r="O1580" t="s">
        <v>33</v>
      </c>
      <c r="Q1580">
        <v>180.75</v>
      </c>
      <c r="R1580">
        <v>4.5</v>
      </c>
      <c r="S1580" t="s">
        <v>276</v>
      </c>
      <c r="T1580">
        <v>81.900000000000006</v>
      </c>
      <c r="V1580">
        <v>102.6</v>
      </c>
      <c r="W1580">
        <v>72.7</v>
      </c>
      <c r="X1580">
        <v>11.4</v>
      </c>
      <c r="Y1580">
        <v>46.2</v>
      </c>
      <c r="Z1580">
        <v>144373535</v>
      </c>
      <c r="AA1580">
        <v>61.524009999999997</v>
      </c>
      <c r="AB1580">
        <v>105.31875599999999</v>
      </c>
    </row>
    <row r="1581" spans="1:28" hidden="1">
      <c r="A1581">
        <v>1575</v>
      </c>
      <c r="B1581">
        <v>1900</v>
      </c>
      <c r="C1581" t="s">
        <v>26</v>
      </c>
      <c r="D1581" t="s">
        <v>3169</v>
      </c>
      <c r="E1581">
        <v>82</v>
      </c>
      <c r="G1581" t="s">
        <v>164</v>
      </c>
      <c r="H1581" t="s">
        <v>1761</v>
      </c>
      <c r="I1581" t="s">
        <v>153</v>
      </c>
      <c r="J1581" t="s">
        <v>26</v>
      </c>
      <c r="K1581" t="s">
        <v>164</v>
      </c>
      <c r="M1581" t="b">
        <v>0</v>
      </c>
      <c r="N1581" t="s">
        <v>419</v>
      </c>
      <c r="O1581" t="s">
        <v>33</v>
      </c>
      <c r="Q1581">
        <v>110.62</v>
      </c>
      <c r="R1581">
        <v>0.6</v>
      </c>
      <c r="S1581" t="s">
        <v>539</v>
      </c>
      <c r="T1581">
        <v>61.9</v>
      </c>
      <c r="V1581">
        <v>101.9</v>
      </c>
      <c r="W1581">
        <v>82.9</v>
      </c>
      <c r="X1581">
        <v>24.3</v>
      </c>
      <c r="Y1581">
        <v>59.1</v>
      </c>
      <c r="Z1581">
        <v>60297396</v>
      </c>
      <c r="AA1581">
        <v>41.871940000000002</v>
      </c>
      <c r="AB1581">
        <v>12.56738</v>
      </c>
    </row>
    <row r="1582" spans="1:28" hidden="1">
      <c r="A1582">
        <v>1575</v>
      </c>
      <c r="B1582">
        <v>1900</v>
      </c>
      <c r="C1582" t="s">
        <v>26</v>
      </c>
      <c r="D1582" t="s">
        <v>3170</v>
      </c>
      <c r="E1582">
        <v>71</v>
      </c>
      <c r="G1582" t="s">
        <v>38</v>
      </c>
      <c r="H1582" t="s">
        <v>852</v>
      </c>
      <c r="I1582" t="s">
        <v>410</v>
      </c>
      <c r="J1582" t="s">
        <v>26</v>
      </c>
      <c r="K1582" t="s">
        <v>38</v>
      </c>
      <c r="M1582" t="b">
        <v>0</v>
      </c>
      <c r="N1582" t="s">
        <v>192</v>
      </c>
      <c r="O1582" t="s">
        <v>33</v>
      </c>
      <c r="Q1582">
        <v>117.24</v>
      </c>
      <c r="R1582">
        <v>7.5</v>
      </c>
      <c r="S1582" t="s">
        <v>44</v>
      </c>
      <c r="T1582">
        <v>88.2</v>
      </c>
      <c r="V1582">
        <v>101.8</v>
      </c>
      <c r="W1582">
        <v>78.5</v>
      </c>
      <c r="X1582">
        <v>9.6</v>
      </c>
      <c r="Y1582">
        <v>36.6</v>
      </c>
      <c r="Z1582">
        <v>328239523</v>
      </c>
      <c r="AA1582">
        <v>37.090240000000001</v>
      </c>
      <c r="AB1582">
        <v>-95.712890999999999</v>
      </c>
    </row>
    <row r="1583" spans="1:28" hidden="1">
      <c r="A1583">
        <v>1575</v>
      </c>
      <c r="B1583">
        <v>1900</v>
      </c>
      <c r="C1583" t="s">
        <v>26</v>
      </c>
      <c r="D1583" t="s">
        <v>3171</v>
      </c>
      <c r="E1583">
        <v>67</v>
      </c>
      <c r="I1583" t="s">
        <v>410</v>
      </c>
      <c r="J1583" t="s">
        <v>26</v>
      </c>
      <c r="K1583" t="s">
        <v>38</v>
      </c>
      <c r="M1583" t="b">
        <v>0</v>
      </c>
      <c r="N1583" t="s">
        <v>192</v>
      </c>
      <c r="O1583" t="s">
        <v>33</v>
      </c>
    </row>
    <row r="1584" spans="1:28" hidden="1">
      <c r="A1584">
        <v>1575</v>
      </c>
      <c r="B1584">
        <v>1900</v>
      </c>
      <c r="C1584" t="s">
        <v>26</v>
      </c>
      <c r="D1584" t="s">
        <v>3172</v>
      </c>
      <c r="E1584">
        <v>56</v>
      </c>
      <c r="G1584" t="s">
        <v>103</v>
      </c>
      <c r="H1584" t="s">
        <v>215</v>
      </c>
      <c r="I1584" t="s">
        <v>3053</v>
      </c>
      <c r="J1584" t="s">
        <v>26</v>
      </c>
      <c r="K1584" t="s">
        <v>103</v>
      </c>
      <c r="M1584" t="b">
        <v>1</v>
      </c>
      <c r="N1584" t="s">
        <v>42</v>
      </c>
      <c r="O1584" t="s">
        <v>33</v>
      </c>
      <c r="Q1584">
        <v>125.08</v>
      </c>
      <c r="R1584">
        <v>2.9</v>
      </c>
      <c r="S1584" t="s">
        <v>106</v>
      </c>
      <c r="T1584">
        <v>50.6</v>
      </c>
      <c r="V1584">
        <v>100.2</v>
      </c>
      <c r="W1584">
        <v>77</v>
      </c>
      <c r="X1584">
        <v>9.4</v>
      </c>
      <c r="Y1584">
        <v>59.2</v>
      </c>
      <c r="Z1584">
        <v>1397715000</v>
      </c>
      <c r="AA1584">
        <v>35.861660000000001</v>
      </c>
      <c r="AB1584">
        <v>104.195397</v>
      </c>
    </row>
    <row r="1585" spans="1:28" hidden="1">
      <c r="A1585">
        <v>1575</v>
      </c>
      <c r="B1585">
        <v>1900</v>
      </c>
      <c r="C1585" t="s">
        <v>217</v>
      </c>
      <c r="D1585" t="s">
        <v>3173</v>
      </c>
      <c r="E1585">
        <v>52</v>
      </c>
      <c r="G1585" t="s">
        <v>103</v>
      </c>
      <c r="H1585" t="s">
        <v>215</v>
      </c>
      <c r="I1585" t="s">
        <v>3079</v>
      </c>
      <c r="J1585" t="s">
        <v>217</v>
      </c>
      <c r="K1585" t="s">
        <v>103</v>
      </c>
      <c r="M1585" t="b">
        <v>1</v>
      </c>
      <c r="N1585" t="s">
        <v>42</v>
      </c>
      <c r="O1585" t="s">
        <v>33</v>
      </c>
      <c r="Q1585">
        <v>125.08</v>
      </c>
      <c r="R1585">
        <v>2.9</v>
      </c>
      <c r="S1585" t="s">
        <v>106</v>
      </c>
      <c r="T1585">
        <v>50.6</v>
      </c>
      <c r="V1585">
        <v>100.2</v>
      </c>
      <c r="W1585">
        <v>77</v>
      </c>
      <c r="X1585">
        <v>9.4</v>
      </c>
      <c r="Y1585">
        <v>59.2</v>
      </c>
      <c r="Z1585">
        <v>1397715000</v>
      </c>
      <c r="AA1585">
        <v>35.861660000000001</v>
      </c>
      <c r="AB1585">
        <v>104.195397</v>
      </c>
    </row>
    <row r="1586" spans="1:28" hidden="1">
      <c r="A1586">
        <v>1575</v>
      </c>
      <c r="B1586">
        <v>1900</v>
      </c>
      <c r="C1586" t="s">
        <v>250</v>
      </c>
      <c r="D1586" t="s">
        <v>3174</v>
      </c>
      <c r="G1586" t="s">
        <v>103</v>
      </c>
      <c r="H1586" t="s">
        <v>195</v>
      </c>
      <c r="I1586" t="s">
        <v>196</v>
      </c>
      <c r="J1586" t="s">
        <v>250</v>
      </c>
      <c r="K1586" t="s">
        <v>103</v>
      </c>
      <c r="M1586" t="b">
        <v>1</v>
      </c>
      <c r="N1586" t="s">
        <v>42</v>
      </c>
      <c r="O1586" t="s">
        <v>88</v>
      </c>
      <c r="Q1586">
        <v>125.08</v>
      </c>
      <c r="R1586">
        <v>2.9</v>
      </c>
      <c r="S1586" t="s">
        <v>106</v>
      </c>
      <c r="T1586">
        <v>50.6</v>
      </c>
      <c r="V1586">
        <v>100.2</v>
      </c>
      <c r="W1586">
        <v>77</v>
      </c>
      <c r="X1586">
        <v>9.4</v>
      </c>
      <c r="Y1586">
        <v>59.2</v>
      </c>
      <c r="Z1586">
        <v>1397715000</v>
      </c>
      <c r="AA1586">
        <v>35.861660000000001</v>
      </c>
      <c r="AB1586">
        <v>104.195397</v>
      </c>
    </row>
    <row r="1587" spans="1:28" hidden="1">
      <c r="A1587">
        <v>1575</v>
      </c>
      <c r="B1587">
        <v>1900</v>
      </c>
      <c r="C1587" t="s">
        <v>45</v>
      </c>
      <c r="D1587" t="s">
        <v>3175</v>
      </c>
      <c r="E1587">
        <v>57</v>
      </c>
      <c r="G1587" t="s">
        <v>103</v>
      </c>
      <c r="H1587" t="s">
        <v>1785</v>
      </c>
      <c r="I1587" t="s">
        <v>3176</v>
      </c>
      <c r="J1587" t="s">
        <v>45</v>
      </c>
      <c r="K1587" t="s">
        <v>103</v>
      </c>
      <c r="M1587" t="b">
        <v>1</v>
      </c>
      <c r="N1587" t="s">
        <v>42</v>
      </c>
      <c r="O1587" t="s">
        <v>33</v>
      </c>
      <c r="Q1587">
        <v>125.08</v>
      </c>
      <c r="R1587">
        <v>2.9</v>
      </c>
      <c r="S1587" t="s">
        <v>106</v>
      </c>
      <c r="T1587">
        <v>50.6</v>
      </c>
      <c r="V1587">
        <v>100.2</v>
      </c>
      <c r="W1587">
        <v>77</v>
      </c>
      <c r="X1587">
        <v>9.4</v>
      </c>
      <c r="Y1587">
        <v>59.2</v>
      </c>
      <c r="Z1587">
        <v>1397715000</v>
      </c>
      <c r="AA1587">
        <v>35.861660000000001</v>
      </c>
      <c r="AB1587">
        <v>104.195397</v>
      </c>
    </row>
    <row r="1588" spans="1:28" hidden="1">
      <c r="A1588">
        <v>1575</v>
      </c>
      <c r="B1588">
        <v>1900</v>
      </c>
      <c r="C1588" t="s">
        <v>75</v>
      </c>
      <c r="D1588" t="s">
        <v>3177</v>
      </c>
      <c r="G1588" t="s">
        <v>429</v>
      </c>
      <c r="H1588" t="s">
        <v>430</v>
      </c>
      <c r="I1588" t="s">
        <v>75</v>
      </c>
      <c r="J1588" t="s">
        <v>75</v>
      </c>
      <c r="K1588" t="s">
        <v>429</v>
      </c>
      <c r="M1588" t="b">
        <v>0</v>
      </c>
      <c r="N1588" t="s">
        <v>32</v>
      </c>
      <c r="O1588" t="s">
        <v>33</v>
      </c>
      <c r="Q1588">
        <v>113.27</v>
      </c>
      <c r="R1588">
        <v>0.7</v>
      </c>
      <c r="S1588" t="s">
        <v>431</v>
      </c>
      <c r="T1588">
        <v>49.3</v>
      </c>
      <c r="V1588">
        <v>99.8</v>
      </c>
      <c r="W1588">
        <v>76.900000000000006</v>
      </c>
      <c r="X1588">
        <v>14.9</v>
      </c>
      <c r="Y1588">
        <v>29.5</v>
      </c>
      <c r="Z1588">
        <v>69625582</v>
      </c>
      <c r="AA1588">
        <v>15.870032</v>
      </c>
      <c r="AB1588">
        <v>100.992541</v>
      </c>
    </row>
    <row r="1589" spans="1:28" hidden="1">
      <c r="A1589">
        <v>1575</v>
      </c>
      <c r="B1589">
        <v>1900</v>
      </c>
      <c r="C1589" t="s">
        <v>75</v>
      </c>
      <c r="D1589" t="s">
        <v>3178</v>
      </c>
      <c r="E1589">
        <v>74</v>
      </c>
      <c r="G1589" t="s">
        <v>429</v>
      </c>
      <c r="H1589" t="s">
        <v>430</v>
      </c>
      <c r="I1589" t="s">
        <v>75</v>
      </c>
      <c r="J1589" t="s">
        <v>75</v>
      </c>
      <c r="K1589" t="s">
        <v>429</v>
      </c>
      <c r="M1589" t="b">
        <v>0</v>
      </c>
      <c r="N1589" t="s">
        <v>853</v>
      </c>
      <c r="O1589" t="s">
        <v>33</v>
      </c>
      <c r="Q1589">
        <v>113.27</v>
      </c>
      <c r="R1589">
        <v>0.7</v>
      </c>
      <c r="S1589" t="s">
        <v>431</v>
      </c>
      <c r="T1589">
        <v>49.3</v>
      </c>
      <c r="V1589">
        <v>99.8</v>
      </c>
      <c r="W1589">
        <v>76.900000000000006</v>
      </c>
      <c r="X1589">
        <v>14.9</v>
      </c>
      <c r="Y1589">
        <v>29.5</v>
      </c>
      <c r="Z1589">
        <v>69625582</v>
      </c>
      <c r="AA1589">
        <v>15.870032</v>
      </c>
      <c r="AB1589">
        <v>100.992541</v>
      </c>
    </row>
    <row r="1590" spans="1:28" hidden="1">
      <c r="A1590">
        <v>1575</v>
      </c>
      <c r="B1590">
        <v>1900</v>
      </c>
      <c r="C1590" t="s">
        <v>101</v>
      </c>
      <c r="D1590" t="s">
        <v>3179</v>
      </c>
      <c r="E1590">
        <v>60</v>
      </c>
      <c r="G1590" t="s">
        <v>38</v>
      </c>
      <c r="H1590" t="s">
        <v>3180</v>
      </c>
      <c r="I1590" t="s">
        <v>959</v>
      </c>
      <c r="J1590" t="s">
        <v>101</v>
      </c>
      <c r="K1590" t="s">
        <v>38</v>
      </c>
      <c r="M1590" t="b">
        <v>0</v>
      </c>
      <c r="N1590" t="s">
        <v>42</v>
      </c>
      <c r="O1590" t="s">
        <v>88</v>
      </c>
      <c r="Q1590">
        <v>117.24</v>
      </c>
      <c r="R1590">
        <v>7.5</v>
      </c>
      <c r="S1590" t="s">
        <v>44</v>
      </c>
      <c r="T1590">
        <v>88.2</v>
      </c>
      <c r="V1590">
        <v>101.8</v>
      </c>
      <c r="W1590">
        <v>78.5</v>
      </c>
      <c r="X1590">
        <v>9.6</v>
      </c>
      <c r="Y1590">
        <v>36.6</v>
      </c>
      <c r="Z1590">
        <v>328239523</v>
      </c>
      <c r="AA1590">
        <v>37.090240000000001</v>
      </c>
      <c r="AB1590">
        <v>-95.712890999999999</v>
      </c>
    </row>
    <row r="1591" spans="1:28" hidden="1">
      <c r="A1591">
        <v>1575</v>
      </c>
      <c r="B1591">
        <v>1900</v>
      </c>
      <c r="C1591" t="s">
        <v>101</v>
      </c>
      <c r="D1591" t="s">
        <v>3181</v>
      </c>
      <c r="E1591">
        <v>57</v>
      </c>
      <c r="G1591" t="s">
        <v>95</v>
      </c>
      <c r="H1591" t="s">
        <v>1527</v>
      </c>
      <c r="I1591" t="s">
        <v>3182</v>
      </c>
      <c r="J1591" t="s">
        <v>101</v>
      </c>
      <c r="K1591" t="s">
        <v>95</v>
      </c>
      <c r="M1591" t="b">
        <v>0</v>
      </c>
      <c r="N1591" t="s">
        <v>32</v>
      </c>
      <c r="O1591" t="s">
        <v>88</v>
      </c>
      <c r="Q1591">
        <v>110.96</v>
      </c>
      <c r="R1591">
        <v>0.7</v>
      </c>
      <c r="S1591" t="s">
        <v>98</v>
      </c>
      <c r="T1591">
        <v>88.9</v>
      </c>
      <c r="V1591">
        <v>102.7</v>
      </c>
      <c r="W1591">
        <v>83.3</v>
      </c>
      <c r="X1591">
        <v>14.2</v>
      </c>
      <c r="Y1591">
        <v>47</v>
      </c>
      <c r="Z1591">
        <v>47076781</v>
      </c>
      <c r="AA1591">
        <v>40.463667000000001</v>
      </c>
      <c r="AB1591">
        <v>-3.7492200000000002</v>
      </c>
    </row>
    <row r="1592" spans="1:28" hidden="1">
      <c r="A1592">
        <v>1575</v>
      </c>
      <c r="B1592">
        <v>1900</v>
      </c>
      <c r="C1592" t="s">
        <v>478</v>
      </c>
      <c r="D1592" t="s">
        <v>3183</v>
      </c>
      <c r="E1592">
        <v>67</v>
      </c>
      <c r="G1592" t="s">
        <v>38</v>
      </c>
      <c r="H1592" t="s">
        <v>794</v>
      </c>
      <c r="I1592" t="s">
        <v>3184</v>
      </c>
      <c r="J1592" t="s">
        <v>478</v>
      </c>
      <c r="K1592" t="s">
        <v>38</v>
      </c>
      <c r="M1592" t="b">
        <v>0</v>
      </c>
      <c r="N1592" t="s">
        <v>192</v>
      </c>
      <c r="O1592" t="s">
        <v>33</v>
      </c>
      <c r="Q1592">
        <v>117.24</v>
      </c>
      <c r="R1592">
        <v>7.5</v>
      </c>
      <c r="S1592" t="s">
        <v>44</v>
      </c>
      <c r="T1592">
        <v>88.2</v>
      </c>
      <c r="V1592">
        <v>101.8</v>
      </c>
      <c r="W1592">
        <v>78.5</v>
      </c>
      <c r="X1592">
        <v>9.6</v>
      </c>
      <c r="Y1592">
        <v>36.6</v>
      </c>
      <c r="Z1592">
        <v>328239523</v>
      </c>
      <c r="AA1592">
        <v>37.090240000000001</v>
      </c>
      <c r="AB1592">
        <v>-95.712890999999999</v>
      </c>
    </row>
    <row r="1593" spans="1:28">
      <c r="A1593">
        <v>1575</v>
      </c>
      <c r="B1593">
        <v>1900</v>
      </c>
      <c r="C1593" t="s">
        <v>54</v>
      </c>
      <c r="D1593" t="s">
        <v>3185</v>
      </c>
      <c r="E1593">
        <v>63</v>
      </c>
      <c r="F1593" t="str">
        <f>IF(E1593&gt;=90,"90-100",IF(E1593&gt;=80,"80-90",IF(E1593&gt;=70,"70-80",IF(E1593&gt;=60,"60-70",IF(E1593&gt;=50,"50-60",IF(E1593&gt;=40,"40-50",IF(E1593&gt;=30,"30-40","20-30")))))))</f>
        <v>60-70</v>
      </c>
      <c r="G1593" t="s">
        <v>38</v>
      </c>
      <c r="H1593" t="s">
        <v>3186</v>
      </c>
      <c r="I1593" t="s">
        <v>185</v>
      </c>
      <c r="J1593" t="s">
        <v>54</v>
      </c>
      <c r="K1593" t="s">
        <v>38</v>
      </c>
      <c r="L1593" t="s">
        <v>3187</v>
      </c>
      <c r="M1593" t="b">
        <v>1</v>
      </c>
      <c r="N1593" t="s">
        <v>419</v>
      </c>
      <c r="O1593" t="s">
        <v>4867</v>
      </c>
      <c r="P1593" t="s">
        <v>146</v>
      </c>
      <c r="Q1593">
        <v>117.24</v>
      </c>
      <c r="R1593">
        <v>7.5</v>
      </c>
      <c r="S1593" t="s">
        <v>44</v>
      </c>
      <c r="T1593">
        <v>88.2</v>
      </c>
      <c r="U1593" t="str">
        <f>IF(T1593&gt;=100,"above 100",IF(T1593&gt;=80,"80-100",IF(T1593&gt;=60,"60-80",IF(T1593&gt;=40,"40-60",IF(T1593&gt;=20,"20-60","0-20")))))</f>
        <v>80-100</v>
      </c>
      <c r="V1593">
        <v>101.8</v>
      </c>
      <c r="W1593">
        <v>78.5</v>
      </c>
      <c r="X1593">
        <v>9.6</v>
      </c>
      <c r="Y1593">
        <v>36.6</v>
      </c>
      <c r="Z1593">
        <v>328239523</v>
      </c>
      <c r="AA1593">
        <v>37.090240000000001</v>
      </c>
      <c r="AB1593">
        <v>-95.712890999999999</v>
      </c>
    </row>
    <row r="1594" spans="1:28" hidden="1">
      <c r="A1594">
        <v>1575</v>
      </c>
      <c r="B1594">
        <v>1900</v>
      </c>
      <c r="C1594" t="s">
        <v>288</v>
      </c>
      <c r="D1594" t="s">
        <v>3188</v>
      </c>
      <c r="E1594">
        <v>53</v>
      </c>
      <c r="G1594" t="s">
        <v>103</v>
      </c>
      <c r="H1594" t="s">
        <v>3189</v>
      </c>
      <c r="I1594" t="s">
        <v>440</v>
      </c>
      <c r="J1594" t="s">
        <v>288</v>
      </c>
      <c r="K1594" t="s">
        <v>103</v>
      </c>
      <c r="M1594" t="b">
        <v>1</v>
      </c>
      <c r="N1594" t="s">
        <v>42</v>
      </c>
      <c r="O1594" t="s">
        <v>33</v>
      </c>
      <c r="Q1594">
        <v>125.08</v>
      </c>
      <c r="R1594">
        <v>2.9</v>
      </c>
      <c r="S1594" t="s">
        <v>106</v>
      </c>
      <c r="T1594">
        <v>50.6</v>
      </c>
      <c r="V1594">
        <v>100.2</v>
      </c>
      <c r="W1594">
        <v>77</v>
      </c>
      <c r="X1594">
        <v>9.4</v>
      </c>
      <c r="Y1594">
        <v>59.2</v>
      </c>
      <c r="Z1594">
        <v>1397715000</v>
      </c>
      <c r="AA1594">
        <v>35.861660000000001</v>
      </c>
      <c r="AB1594">
        <v>104.195397</v>
      </c>
    </row>
    <row r="1595" spans="1:28" hidden="1">
      <c r="A1595">
        <v>1575</v>
      </c>
      <c r="B1595">
        <v>1900</v>
      </c>
      <c r="C1595" t="s">
        <v>36</v>
      </c>
      <c r="D1595" t="s">
        <v>3190</v>
      </c>
      <c r="G1595" t="s">
        <v>148</v>
      </c>
      <c r="H1595" t="s">
        <v>3191</v>
      </c>
      <c r="I1595" t="s">
        <v>506</v>
      </c>
      <c r="J1595" t="s">
        <v>36</v>
      </c>
      <c r="K1595" t="s">
        <v>148</v>
      </c>
      <c r="M1595" t="b">
        <v>0</v>
      </c>
      <c r="N1595" t="s">
        <v>32</v>
      </c>
      <c r="O1595" t="s">
        <v>33</v>
      </c>
      <c r="Q1595">
        <v>112.85</v>
      </c>
      <c r="R1595">
        <v>1.4</v>
      </c>
      <c r="S1595" t="s">
        <v>151</v>
      </c>
      <c r="T1595">
        <v>70.2</v>
      </c>
      <c r="V1595">
        <v>104</v>
      </c>
      <c r="W1595">
        <v>80.900000000000006</v>
      </c>
      <c r="X1595">
        <v>11.5</v>
      </c>
      <c r="Y1595">
        <v>48.8</v>
      </c>
      <c r="Z1595">
        <v>83132799</v>
      </c>
      <c r="AA1595">
        <v>51.165691000000002</v>
      </c>
      <c r="AB1595">
        <v>10.451525999999999</v>
      </c>
    </row>
    <row r="1596" spans="1:28" hidden="1">
      <c r="A1596">
        <v>1575</v>
      </c>
      <c r="B1596">
        <v>1900</v>
      </c>
      <c r="C1596" t="s">
        <v>75</v>
      </c>
      <c r="D1596" t="s">
        <v>3192</v>
      </c>
      <c r="E1596">
        <v>73</v>
      </c>
      <c r="G1596" t="s">
        <v>1267</v>
      </c>
      <c r="H1596" t="s">
        <v>1268</v>
      </c>
      <c r="I1596" t="s">
        <v>3193</v>
      </c>
      <c r="J1596" t="s">
        <v>75</v>
      </c>
      <c r="K1596" t="s">
        <v>1267</v>
      </c>
      <c r="M1596" t="b">
        <v>0</v>
      </c>
      <c r="N1596" t="s">
        <v>32</v>
      </c>
      <c r="O1596" t="s">
        <v>33</v>
      </c>
      <c r="Q1596">
        <v>234.44</v>
      </c>
      <c r="R1596">
        <v>15.2</v>
      </c>
      <c r="S1596" t="s">
        <v>1270</v>
      </c>
      <c r="T1596">
        <v>23.9</v>
      </c>
      <c r="V1596">
        <v>93.2</v>
      </c>
      <c r="W1596">
        <v>77.400000000000006</v>
      </c>
      <c r="X1596">
        <v>17.899999999999999</v>
      </c>
      <c r="Y1596">
        <v>42.3</v>
      </c>
      <c r="Z1596">
        <v>83429615</v>
      </c>
      <c r="AA1596">
        <v>38.963745000000003</v>
      </c>
      <c r="AB1596">
        <v>35.243321999999999</v>
      </c>
    </row>
    <row r="1597" spans="1:28" hidden="1">
      <c r="A1597">
        <v>1575</v>
      </c>
      <c r="B1597">
        <v>1900</v>
      </c>
      <c r="C1597" t="s">
        <v>75</v>
      </c>
      <c r="D1597" t="s">
        <v>3194</v>
      </c>
      <c r="E1597">
        <v>68</v>
      </c>
      <c r="G1597" t="s">
        <v>1267</v>
      </c>
      <c r="H1597" t="s">
        <v>1268</v>
      </c>
      <c r="I1597" t="s">
        <v>3193</v>
      </c>
      <c r="J1597" t="s">
        <v>75</v>
      </c>
      <c r="K1597" t="s">
        <v>1267</v>
      </c>
      <c r="M1597" t="b">
        <v>0</v>
      </c>
      <c r="N1597" t="s">
        <v>32</v>
      </c>
      <c r="O1597" t="s">
        <v>33</v>
      </c>
      <c r="Q1597">
        <v>234.44</v>
      </c>
      <c r="R1597">
        <v>15.2</v>
      </c>
      <c r="S1597" t="s">
        <v>1270</v>
      </c>
      <c r="T1597">
        <v>23.9</v>
      </c>
      <c r="V1597">
        <v>93.2</v>
      </c>
      <c r="W1597">
        <v>77.400000000000006</v>
      </c>
      <c r="X1597">
        <v>17.899999999999999</v>
      </c>
      <c r="Y1597">
        <v>42.3</v>
      </c>
      <c r="Z1597">
        <v>83429615</v>
      </c>
      <c r="AA1597">
        <v>38.963745000000003</v>
      </c>
      <c r="AB1597">
        <v>35.243321999999999</v>
      </c>
    </row>
    <row r="1598" spans="1:28" hidden="1">
      <c r="A1598">
        <v>1575</v>
      </c>
      <c r="B1598">
        <v>1900</v>
      </c>
      <c r="C1598" t="s">
        <v>75</v>
      </c>
      <c r="D1598" t="s">
        <v>3195</v>
      </c>
      <c r="E1598">
        <v>90</v>
      </c>
      <c r="G1598" t="s">
        <v>1378</v>
      </c>
      <c r="H1598" t="s">
        <v>1379</v>
      </c>
      <c r="I1598" t="s">
        <v>3196</v>
      </c>
      <c r="J1598" t="s">
        <v>75</v>
      </c>
      <c r="K1598" t="s">
        <v>1378</v>
      </c>
      <c r="M1598" t="b">
        <v>1</v>
      </c>
      <c r="N1598" t="s">
        <v>32</v>
      </c>
      <c r="O1598" t="s">
        <v>33</v>
      </c>
      <c r="Q1598">
        <v>232.75</v>
      </c>
      <c r="R1598">
        <v>53.5</v>
      </c>
      <c r="S1598" t="s">
        <v>1380</v>
      </c>
      <c r="T1598">
        <v>90</v>
      </c>
      <c r="V1598">
        <v>109.7</v>
      </c>
      <c r="W1598">
        <v>76.5</v>
      </c>
      <c r="X1598">
        <v>10.1</v>
      </c>
      <c r="Y1598">
        <v>106.3</v>
      </c>
      <c r="Z1598">
        <v>44938712</v>
      </c>
      <c r="AA1598">
        <v>-38.416097000000001</v>
      </c>
      <c r="AB1598">
        <v>-63.616672000000001</v>
      </c>
    </row>
    <row r="1599" spans="1:28" hidden="1">
      <c r="A1599">
        <v>1575</v>
      </c>
      <c r="B1599">
        <v>1900</v>
      </c>
      <c r="C1599" t="s">
        <v>221</v>
      </c>
      <c r="D1599" t="s">
        <v>3197</v>
      </c>
      <c r="E1599">
        <v>65</v>
      </c>
      <c r="G1599" t="s">
        <v>172</v>
      </c>
      <c r="H1599" t="s">
        <v>172</v>
      </c>
      <c r="I1599" t="s">
        <v>223</v>
      </c>
      <c r="J1599" t="s">
        <v>221</v>
      </c>
      <c r="K1599" t="s">
        <v>172</v>
      </c>
      <c r="M1599" t="b">
        <v>0</v>
      </c>
      <c r="N1599" t="s">
        <v>192</v>
      </c>
      <c r="O1599" t="s">
        <v>33</v>
      </c>
    </row>
    <row r="1600" spans="1:28" hidden="1">
      <c r="A1600">
        <v>1575</v>
      </c>
      <c r="B1600">
        <v>1900</v>
      </c>
      <c r="C1600" t="s">
        <v>26</v>
      </c>
      <c r="D1600" t="s">
        <v>3198</v>
      </c>
      <c r="E1600">
        <v>59</v>
      </c>
      <c r="G1600" t="s">
        <v>103</v>
      </c>
      <c r="H1600" t="s">
        <v>3199</v>
      </c>
      <c r="I1600" t="s">
        <v>2158</v>
      </c>
      <c r="J1600" t="s">
        <v>26</v>
      </c>
      <c r="K1600" t="s">
        <v>127</v>
      </c>
      <c r="M1600" t="b">
        <v>1</v>
      </c>
      <c r="N1600" t="s">
        <v>42</v>
      </c>
      <c r="O1600" t="s">
        <v>33</v>
      </c>
      <c r="Q1600">
        <v>125.08</v>
      </c>
      <c r="R1600">
        <v>2.9</v>
      </c>
      <c r="S1600" t="s">
        <v>106</v>
      </c>
      <c r="T1600">
        <v>50.6</v>
      </c>
      <c r="V1600">
        <v>100.2</v>
      </c>
      <c r="W1600">
        <v>77</v>
      </c>
      <c r="X1600">
        <v>9.4</v>
      </c>
      <c r="Y1600">
        <v>59.2</v>
      </c>
      <c r="Z1600">
        <v>1397715000</v>
      </c>
      <c r="AA1600">
        <v>35.861660000000001</v>
      </c>
      <c r="AB1600">
        <v>104.195397</v>
      </c>
    </row>
    <row r="1601" spans="1:28" hidden="1">
      <c r="A1601">
        <v>1575</v>
      </c>
      <c r="B1601">
        <v>1900</v>
      </c>
      <c r="C1601" t="s">
        <v>217</v>
      </c>
      <c r="D1601" t="s">
        <v>3200</v>
      </c>
      <c r="E1601">
        <v>81</v>
      </c>
      <c r="G1601" t="s">
        <v>77</v>
      </c>
      <c r="H1601" t="s">
        <v>248</v>
      </c>
      <c r="I1601" t="s">
        <v>1673</v>
      </c>
      <c r="J1601" t="s">
        <v>217</v>
      </c>
      <c r="K1601" t="s">
        <v>77</v>
      </c>
      <c r="M1601" t="b">
        <v>0</v>
      </c>
      <c r="N1601" t="s">
        <v>32</v>
      </c>
      <c r="O1601" t="s">
        <v>33</v>
      </c>
      <c r="Q1601">
        <v>180.44</v>
      </c>
      <c r="R1601">
        <v>7.7</v>
      </c>
      <c r="S1601" t="s">
        <v>81</v>
      </c>
      <c r="T1601">
        <v>28.1</v>
      </c>
      <c r="V1601">
        <v>113</v>
      </c>
      <c r="W1601">
        <v>69.400000000000006</v>
      </c>
      <c r="X1601">
        <v>11.2</v>
      </c>
      <c r="Y1601">
        <v>49.7</v>
      </c>
      <c r="Z1601">
        <v>1366417754</v>
      </c>
      <c r="AA1601">
        <v>20.593684</v>
      </c>
      <c r="AB1601">
        <v>78.962879999999998</v>
      </c>
    </row>
    <row r="1602" spans="1:28" hidden="1">
      <c r="A1602">
        <v>1575</v>
      </c>
      <c r="B1602">
        <v>1900</v>
      </c>
      <c r="C1602" t="s">
        <v>75</v>
      </c>
      <c r="D1602" t="s">
        <v>3201</v>
      </c>
      <c r="E1602">
        <v>39</v>
      </c>
      <c r="G1602" t="s">
        <v>156</v>
      </c>
      <c r="H1602" t="s">
        <v>3202</v>
      </c>
      <c r="I1602" t="s">
        <v>1671</v>
      </c>
      <c r="J1602" t="s">
        <v>75</v>
      </c>
      <c r="K1602" t="s">
        <v>833</v>
      </c>
      <c r="M1602" t="b">
        <v>0</v>
      </c>
      <c r="N1602" t="s">
        <v>42</v>
      </c>
      <c r="O1602" t="s">
        <v>88</v>
      </c>
      <c r="Q1602">
        <v>99.55</v>
      </c>
      <c r="R1602">
        <v>0.4</v>
      </c>
      <c r="S1602" t="s">
        <v>159</v>
      </c>
      <c r="T1602">
        <v>59.6</v>
      </c>
      <c r="V1602">
        <v>105.2</v>
      </c>
      <c r="W1602">
        <v>83.6</v>
      </c>
      <c r="X1602">
        <v>10.1</v>
      </c>
      <c r="Y1602">
        <v>28.8</v>
      </c>
      <c r="Z1602">
        <v>8574832</v>
      </c>
      <c r="AA1602">
        <v>46.818187999999999</v>
      </c>
      <c r="AB1602">
        <v>8.2275120000000008</v>
      </c>
    </row>
    <row r="1603" spans="1:28" hidden="1">
      <c r="A1603">
        <v>1575</v>
      </c>
      <c r="B1603">
        <v>1900</v>
      </c>
      <c r="C1603" t="s">
        <v>54</v>
      </c>
      <c r="D1603" t="s">
        <v>3203</v>
      </c>
      <c r="E1603">
        <v>81</v>
      </c>
      <c r="G1603" t="s">
        <v>70</v>
      </c>
      <c r="H1603" t="s">
        <v>71</v>
      </c>
      <c r="I1603" t="s">
        <v>3204</v>
      </c>
      <c r="J1603" t="s">
        <v>54</v>
      </c>
      <c r="K1603" t="s">
        <v>70</v>
      </c>
      <c r="M1603" t="b">
        <v>1</v>
      </c>
      <c r="N1603" t="s">
        <v>419</v>
      </c>
      <c r="O1603" t="s">
        <v>33</v>
      </c>
      <c r="Q1603">
        <v>141.54</v>
      </c>
      <c r="R1603">
        <v>3.6</v>
      </c>
      <c r="S1603" t="s">
        <v>74</v>
      </c>
      <c r="T1603">
        <v>40.200000000000003</v>
      </c>
      <c r="V1603">
        <v>105.8</v>
      </c>
      <c r="W1603">
        <v>75</v>
      </c>
      <c r="X1603">
        <v>13.1</v>
      </c>
      <c r="Y1603">
        <v>55.1</v>
      </c>
      <c r="Z1603">
        <v>126014024</v>
      </c>
      <c r="AA1603">
        <v>23.634501</v>
      </c>
      <c r="AB1603">
        <v>-102.552784</v>
      </c>
    </row>
    <row r="1604" spans="1:28">
      <c r="A1604">
        <v>1575</v>
      </c>
      <c r="B1604">
        <v>1900</v>
      </c>
      <c r="C1604" t="s">
        <v>45</v>
      </c>
      <c r="D1604" t="s">
        <v>3205</v>
      </c>
      <c r="E1604">
        <v>55</v>
      </c>
      <c r="F1604" t="str">
        <f>IF(E1604&gt;=90,"90-100",IF(E1604&gt;=80,"80-90",IF(E1604&gt;=70,"70-80",IF(E1604&gt;=60,"60-70",IF(E1604&gt;=50,"50-60",IF(E1604&gt;=40,"40-50",IF(E1604&gt;=30,"30-40","20-30")))))))</f>
        <v>50-60</v>
      </c>
      <c r="G1604" t="s">
        <v>38</v>
      </c>
      <c r="H1604" t="s">
        <v>90</v>
      </c>
      <c r="I1604" t="s">
        <v>3206</v>
      </c>
      <c r="J1604" t="s">
        <v>45</v>
      </c>
      <c r="K1604" t="s">
        <v>38</v>
      </c>
      <c r="L1604" t="s">
        <v>3207</v>
      </c>
      <c r="M1604" t="b">
        <v>1</v>
      </c>
      <c r="N1604" t="s">
        <v>42</v>
      </c>
      <c r="O1604" t="s">
        <v>4867</v>
      </c>
      <c r="P1604" t="s">
        <v>3208</v>
      </c>
      <c r="Q1604">
        <v>117.24</v>
      </c>
      <c r="R1604">
        <v>7.5</v>
      </c>
      <c r="S1604" t="s">
        <v>44</v>
      </c>
      <c r="T1604">
        <v>88.2</v>
      </c>
      <c r="U1604" t="str">
        <f>IF(T1604&gt;=100,"above 100",IF(T1604&gt;=80,"80-100",IF(T1604&gt;=60,"60-80",IF(T1604&gt;=40,"40-60",IF(T1604&gt;=20,"20-60","0-20")))))</f>
        <v>80-100</v>
      </c>
      <c r="V1604">
        <v>101.8</v>
      </c>
      <c r="W1604">
        <v>78.5</v>
      </c>
      <c r="X1604">
        <v>9.6</v>
      </c>
      <c r="Y1604">
        <v>36.6</v>
      </c>
      <c r="Z1604">
        <v>328239523</v>
      </c>
      <c r="AA1604">
        <v>37.090240000000001</v>
      </c>
      <c r="AB1604">
        <v>-95.712890999999999</v>
      </c>
    </row>
    <row r="1605" spans="1:28" hidden="1">
      <c r="A1605">
        <v>1575</v>
      </c>
      <c r="B1605">
        <v>1900</v>
      </c>
      <c r="C1605" t="s">
        <v>217</v>
      </c>
      <c r="D1605" t="s">
        <v>3209</v>
      </c>
      <c r="E1605">
        <v>64</v>
      </c>
      <c r="G1605" t="s">
        <v>103</v>
      </c>
      <c r="H1605" t="s">
        <v>3210</v>
      </c>
      <c r="I1605" t="s">
        <v>287</v>
      </c>
      <c r="J1605" t="s">
        <v>217</v>
      </c>
      <c r="K1605" t="s">
        <v>103</v>
      </c>
      <c r="M1605" t="b">
        <v>1</v>
      </c>
      <c r="N1605" t="s">
        <v>32</v>
      </c>
      <c r="O1605" t="s">
        <v>33</v>
      </c>
      <c r="Q1605">
        <v>125.08</v>
      </c>
      <c r="R1605">
        <v>2.9</v>
      </c>
      <c r="S1605" t="s">
        <v>106</v>
      </c>
      <c r="T1605">
        <v>50.6</v>
      </c>
      <c r="V1605">
        <v>100.2</v>
      </c>
      <c r="W1605">
        <v>77</v>
      </c>
      <c r="X1605">
        <v>9.4</v>
      </c>
      <c r="Y1605">
        <v>59.2</v>
      </c>
      <c r="Z1605">
        <v>1397715000</v>
      </c>
      <c r="AA1605">
        <v>35.861660000000001</v>
      </c>
      <c r="AB1605">
        <v>104.195397</v>
      </c>
    </row>
    <row r="1606" spans="1:28" hidden="1">
      <c r="A1606">
        <v>1575</v>
      </c>
      <c r="B1606">
        <v>1900</v>
      </c>
      <c r="C1606" t="s">
        <v>221</v>
      </c>
      <c r="D1606" t="s">
        <v>3211</v>
      </c>
      <c r="E1606">
        <v>63</v>
      </c>
      <c r="G1606" t="s">
        <v>38</v>
      </c>
      <c r="H1606" t="s">
        <v>170</v>
      </c>
      <c r="I1606" t="s">
        <v>3212</v>
      </c>
      <c r="J1606" t="s">
        <v>221</v>
      </c>
      <c r="K1606" t="s">
        <v>38</v>
      </c>
      <c r="M1606" t="b">
        <v>0</v>
      </c>
      <c r="N1606" t="s">
        <v>42</v>
      </c>
      <c r="O1606" t="s">
        <v>33</v>
      </c>
      <c r="Q1606">
        <v>117.24</v>
      </c>
      <c r="R1606">
        <v>7.5</v>
      </c>
      <c r="S1606" t="s">
        <v>44</v>
      </c>
      <c r="T1606">
        <v>88.2</v>
      </c>
      <c r="V1606">
        <v>101.8</v>
      </c>
      <c r="W1606">
        <v>78.5</v>
      </c>
      <c r="X1606">
        <v>9.6</v>
      </c>
      <c r="Y1606">
        <v>36.6</v>
      </c>
      <c r="Z1606">
        <v>328239523</v>
      </c>
      <c r="AA1606">
        <v>37.090240000000001</v>
      </c>
      <c r="AB1606">
        <v>-95.712890999999999</v>
      </c>
    </row>
    <row r="1607" spans="1:28" hidden="1">
      <c r="A1607">
        <v>1575</v>
      </c>
      <c r="B1607">
        <v>1900</v>
      </c>
      <c r="C1607" t="s">
        <v>221</v>
      </c>
      <c r="D1607" t="s">
        <v>3213</v>
      </c>
      <c r="E1607">
        <v>72</v>
      </c>
      <c r="G1607" t="s">
        <v>172</v>
      </c>
      <c r="H1607" t="s">
        <v>172</v>
      </c>
      <c r="I1607" t="s">
        <v>223</v>
      </c>
      <c r="J1607" t="s">
        <v>221</v>
      </c>
      <c r="K1607" t="s">
        <v>172</v>
      </c>
      <c r="M1607" t="b">
        <v>1</v>
      </c>
      <c r="N1607" t="s">
        <v>42</v>
      </c>
      <c r="O1607" t="s">
        <v>33</v>
      </c>
    </row>
    <row r="1608" spans="1:28" hidden="1">
      <c r="A1608">
        <v>1575</v>
      </c>
      <c r="B1608">
        <v>1900</v>
      </c>
      <c r="C1608" t="s">
        <v>54</v>
      </c>
      <c r="D1608" t="s">
        <v>3214</v>
      </c>
      <c r="E1608">
        <v>64</v>
      </c>
      <c r="G1608" t="s">
        <v>38</v>
      </c>
      <c r="H1608" t="s">
        <v>505</v>
      </c>
      <c r="I1608" t="s">
        <v>613</v>
      </c>
      <c r="J1608" t="s">
        <v>54</v>
      </c>
      <c r="K1608" t="s">
        <v>38</v>
      </c>
      <c r="M1608" t="b">
        <v>1</v>
      </c>
      <c r="N1608" t="s">
        <v>32</v>
      </c>
      <c r="O1608" t="s">
        <v>33</v>
      </c>
      <c r="P1608" t="s">
        <v>468</v>
      </c>
      <c r="Q1608">
        <v>117.24</v>
      </c>
      <c r="R1608">
        <v>7.5</v>
      </c>
      <c r="S1608" t="s">
        <v>44</v>
      </c>
      <c r="T1608">
        <v>88.2</v>
      </c>
      <c r="V1608">
        <v>101.8</v>
      </c>
      <c r="W1608">
        <v>78.5</v>
      </c>
      <c r="X1608">
        <v>9.6</v>
      </c>
      <c r="Y1608">
        <v>36.6</v>
      </c>
      <c r="Z1608">
        <v>328239523</v>
      </c>
      <c r="AA1608">
        <v>37.090240000000001</v>
      </c>
      <c r="AB1608">
        <v>-95.712890999999999</v>
      </c>
    </row>
    <row r="1609" spans="1:28" hidden="1">
      <c r="A1609">
        <v>1575</v>
      </c>
      <c r="B1609">
        <v>1900</v>
      </c>
      <c r="C1609" t="s">
        <v>54</v>
      </c>
      <c r="D1609" t="s">
        <v>3215</v>
      </c>
      <c r="E1609">
        <v>77</v>
      </c>
      <c r="G1609" t="s">
        <v>38</v>
      </c>
      <c r="H1609" t="s">
        <v>3216</v>
      </c>
      <c r="I1609" t="s">
        <v>231</v>
      </c>
      <c r="J1609" t="s">
        <v>54</v>
      </c>
      <c r="K1609" t="s">
        <v>38</v>
      </c>
      <c r="M1609" t="b">
        <v>1</v>
      </c>
      <c r="N1609" t="s">
        <v>32</v>
      </c>
      <c r="O1609" t="s">
        <v>33</v>
      </c>
      <c r="Q1609">
        <v>117.24</v>
      </c>
      <c r="R1609">
        <v>7.5</v>
      </c>
      <c r="S1609" t="s">
        <v>44</v>
      </c>
      <c r="T1609">
        <v>88.2</v>
      </c>
      <c r="V1609">
        <v>101.8</v>
      </c>
      <c r="W1609">
        <v>78.5</v>
      </c>
      <c r="X1609">
        <v>9.6</v>
      </c>
      <c r="Y1609">
        <v>36.6</v>
      </c>
      <c r="Z1609">
        <v>328239523</v>
      </c>
      <c r="AA1609">
        <v>37.090240000000001</v>
      </c>
      <c r="AB1609">
        <v>-95.712890999999999</v>
      </c>
    </row>
    <row r="1610" spans="1:28" hidden="1">
      <c r="A1610">
        <v>1575</v>
      </c>
      <c r="B1610">
        <v>1900</v>
      </c>
      <c r="C1610" t="s">
        <v>54</v>
      </c>
      <c r="D1610" t="s">
        <v>3217</v>
      </c>
      <c r="E1610">
        <v>45</v>
      </c>
      <c r="G1610" t="s">
        <v>203</v>
      </c>
      <c r="H1610" t="s">
        <v>204</v>
      </c>
      <c r="I1610" t="s">
        <v>75</v>
      </c>
      <c r="J1610" t="s">
        <v>54</v>
      </c>
      <c r="K1610" t="s">
        <v>1108</v>
      </c>
      <c r="M1610" t="b">
        <v>0</v>
      </c>
      <c r="N1610" t="s">
        <v>32</v>
      </c>
      <c r="O1610" t="s">
        <v>88</v>
      </c>
      <c r="Q1610">
        <v>119.62</v>
      </c>
      <c r="R1610">
        <v>1.7</v>
      </c>
      <c r="S1610" t="s">
        <v>206</v>
      </c>
      <c r="T1610">
        <v>60</v>
      </c>
      <c r="V1610">
        <v>101.2</v>
      </c>
      <c r="W1610">
        <v>81.3</v>
      </c>
      <c r="X1610">
        <v>25.5</v>
      </c>
      <c r="Y1610">
        <v>30.6</v>
      </c>
      <c r="Z1610">
        <v>66834405</v>
      </c>
      <c r="AA1610">
        <v>55.378050999999999</v>
      </c>
      <c r="AB1610">
        <v>-3.4359730000000002</v>
      </c>
    </row>
    <row r="1611" spans="1:28">
      <c r="A1611">
        <v>1575</v>
      </c>
      <c r="B1611">
        <v>1900</v>
      </c>
      <c r="C1611" t="s">
        <v>54</v>
      </c>
      <c r="D1611" t="s">
        <v>3218</v>
      </c>
      <c r="E1611">
        <v>60</v>
      </c>
      <c r="F1611" t="str">
        <f>IF(E1611&gt;=90,"90-100",IF(E1611&gt;=80,"80-90",IF(E1611&gt;=70,"70-80",IF(E1611&gt;=60,"60-70",IF(E1611&gt;=50,"50-60",IF(E1611&gt;=40,"40-50",IF(E1611&gt;=30,"30-40","20-30")))))))</f>
        <v>60-70</v>
      </c>
      <c r="G1611" t="s">
        <v>38</v>
      </c>
      <c r="H1611" t="s">
        <v>789</v>
      </c>
      <c r="I1611" t="s">
        <v>3219</v>
      </c>
      <c r="J1611" t="s">
        <v>54</v>
      </c>
      <c r="K1611" t="s">
        <v>38</v>
      </c>
      <c r="L1611" t="s">
        <v>3220</v>
      </c>
      <c r="M1611" t="b">
        <v>1</v>
      </c>
      <c r="N1611" t="s">
        <v>32</v>
      </c>
      <c r="O1611" t="s">
        <v>4867</v>
      </c>
      <c r="P1611" t="s">
        <v>146</v>
      </c>
      <c r="Q1611">
        <v>117.24</v>
      </c>
      <c r="R1611">
        <v>7.5</v>
      </c>
      <c r="S1611" t="s">
        <v>44</v>
      </c>
      <c r="T1611">
        <v>88.2</v>
      </c>
      <c r="U1611" t="str">
        <f>IF(T1611&gt;=100,"above 100",IF(T1611&gt;=80,"80-100",IF(T1611&gt;=60,"60-80",IF(T1611&gt;=40,"40-60",IF(T1611&gt;=20,"20-60","0-20")))))</f>
        <v>80-100</v>
      </c>
      <c r="V1611">
        <v>101.8</v>
      </c>
      <c r="W1611">
        <v>78.5</v>
      </c>
      <c r="X1611">
        <v>9.6</v>
      </c>
      <c r="Y1611">
        <v>36.6</v>
      </c>
      <c r="Z1611">
        <v>328239523</v>
      </c>
      <c r="AA1611">
        <v>37.090240000000001</v>
      </c>
      <c r="AB1611">
        <v>-95.712890999999999</v>
      </c>
    </row>
    <row r="1612" spans="1:28" hidden="1">
      <c r="A1612">
        <v>1575</v>
      </c>
      <c r="B1612">
        <v>1900</v>
      </c>
      <c r="C1612" t="s">
        <v>75</v>
      </c>
      <c r="D1612" t="s">
        <v>3221</v>
      </c>
      <c r="G1612" t="s">
        <v>429</v>
      </c>
      <c r="H1612" t="s">
        <v>430</v>
      </c>
      <c r="I1612" t="s">
        <v>75</v>
      </c>
      <c r="J1612" t="s">
        <v>75</v>
      </c>
      <c r="K1612" t="s">
        <v>429</v>
      </c>
      <c r="M1612" t="b">
        <v>0</v>
      </c>
      <c r="N1612" t="s">
        <v>192</v>
      </c>
      <c r="O1612" t="s">
        <v>33</v>
      </c>
      <c r="Q1612">
        <v>113.27</v>
      </c>
      <c r="R1612">
        <v>0.7</v>
      </c>
      <c r="S1612" t="s">
        <v>431</v>
      </c>
      <c r="T1612">
        <v>49.3</v>
      </c>
      <c r="V1612">
        <v>99.8</v>
      </c>
      <c r="W1612">
        <v>76.900000000000006</v>
      </c>
      <c r="X1612">
        <v>14.9</v>
      </c>
      <c r="Y1612">
        <v>29.5</v>
      </c>
      <c r="Z1612">
        <v>69625582</v>
      </c>
      <c r="AA1612">
        <v>15.870032</v>
      </c>
      <c r="AB1612">
        <v>100.992541</v>
      </c>
    </row>
    <row r="1613" spans="1:28">
      <c r="A1613">
        <v>1575</v>
      </c>
      <c r="B1613">
        <v>1900</v>
      </c>
      <c r="C1613" t="s">
        <v>101</v>
      </c>
      <c r="D1613" t="s">
        <v>3222</v>
      </c>
      <c r="E1613">
        <v>85</v>
      </c>
      <c r="F1613" t="str">
        <f>IF(E1613&gt;=90,"90-100",IF(E1613&gt;=80,"80-90",IF(E1613&gt;=70,"70-80",IF(E1613&gt;=60,"60-70",IF(E1613&gt;=50,"50-60",IF(E1613&gt;=40,"40-50",IF(E1613&gt;=30,"30-40","20-30")))))))</f>
        <v>80-90</v>
      </c>
      <c r="G1613" t="s">
        <v>38</v>
      </c>
      <c r="H1613" t="s">
        <v>3223</v>
      </c>
      <c r="I1613" t="s">
        <v>299</v>
      </c>
      <c r="J1613" t="s">
        <v>101</v>
      </c>
      <c r="K1613" t="s">
        <v>38</v>
      </c>
      <c r="L1613" t="s">
        <v>3224</v>
      </c>
      <c r="M1613" t="b">
        <v>0</v>
      </c>
      <c r="N1613" t="s">
        <v>42</v>
      </c>
      <c r="O1613" t="s">
        <v>4867</v>
      </c>
      <c r="P1613" t="s">
        <v>131</v>
      </c>
      <c r="Q1613">
        <v>117.24</v>
      </c>
      <c r="R1613">
        <v>7.5</v>
      </c>
      <c r="S1613" t="s">
        <v>44</v>
      </c>
      <c r="T1613">
        <v>88.2</v>
      </c>
      <c r="U1613" t="str">
        <f>IF(T1613&gt;=100,"above 100",IF(T1613&gt;=80,"80-100",IF(T1613&gt;=60,"60-80",IF(T1613&gt;=40,"40-60",IF(T1613&gt;=20,"20-60","0-20")))))</f>
        <v>80-100</v>
      </c>
      <c r="V1613">
        <v>101.8</v>
      </c>
      <c r="W1613">
        <v>78.5</v>
      </c>
      <c r="X1613">
        <v>9.6</v>
      </c>
      <c r="Y1613">
        <v>36.6</v>
      </c>
      <c r="Z1613">
        <v>328239523</v>
      </c>
      <c r="AA1613">
        <v>37.090240000000001</v>
      </c>
      <c r="AB1613">
        <v>-95.712890999999999</v>
      </c>
    </row>
    <row r="1614" spans="1:28" hidden="1">
      <c r="A1614">
        <v>1575</v>
      </c>
      <c r="B1614">
        <v>1900</v>
      </c>
      <c r="C1614" t="s">
        <v>221</v>
      </c>
      <c r="D1614" t="s">
        <v>3225</v>
      </c>
      <c r="E1614">
        <v>61</v>
      </c>
      <c r="G1614" t="s">
        <v>38</v>
      </c>
      <c r="H1614" t="s">
        <v>3226</v>
      </c>
      <c r="I1614" t="s">
        <v>223</v>
      </c>
      <c r="J1614" t="s">
        <v>221</v>
      </c>
      <c r="K1614" t="s">
        <v>38</v>
      </c>
      <c r="M1614" t="b">
        <v>1</v>
      </c>
      <c r="N1614" t="s">
        <v>419</v>
      </c>
      <c r="O1614" t="s">
        <v>33</v>
      </c>
      <c r="Q1614">
        <v>117.24</v>
      </c>
      <c r="R1614">
        <v>7.5</v>
      </c>
      <c r="S1614" t="s">
        <v>44</v>
      </c>
      <c r="T1614">
        <v>88.2</v>
      </c>
      <c r="V1614">
        <v>101.8</v>
      </c>
      <c r="W1614">
        <v>78.5</v>
      </c>
      <c r="X1614">
        <v>9.6</v>
      </c>
      <c r="Y1614">
        <v>36.6</v>
      </c>
      <c r="Z1614">
        <v>328239523</v>
      </c>
      <c r="AA1614">
        <v>37.090240000000001</v>
      </c>
      <c r="AB1614">
        <v>-95.712890999999999</v>
      </c>
    </row>
    <row r="1615" spans="1:28" hidden="1">
      <c r="A1615">
        <v>1575</v>
      </c>
      <c r="B1615">
        <v>1900</v>
      </c>
      <c r="C1615" t="s">
        <v>221</v>
      </c>
      <c r="D1615" t="s">
        <v>3227</v>
      </c>
      <c r="E1615">
        <v>56</v>
      </c>
      <c r="G1615" t="s">
        <v>103</v>
      </c>
      <c r="H1615" t="s">
        <v>143</v>
      </c>
      <c r="I1615" t="s">
        <v>223</v>
      </c>
      <c r="J1615" t="s">
        <v>221</v>
      </c>
      <c r="K1615" t="s">
        <v>172</v>
      </c>
      <c r="M1615" t="b">
        <v>1</v>
      </c>
      <c r="N1615" t="s">
        <v>419</v>
      </c>
      <c r="O1615" t="s">
        <v>33</v>
      </c>
      <c r="Q1615">
        <v>125.08</v>
      </c>
      <c r="R1615">
        <v>2.9</v>
      </c>
      <c r="S1615" t="s">
        <v>106</v>
      </c>
      <c r="T1615">
        <v>50.6</v>
      </c>
      <c r="V1615">
        <v>100.2</v>
      </c>
      <c r="W1615">
        <v>77</v>
      </c>
      <c r="X1615">
        <v>9.4</v>
      </c>
      <c r="Y1615">
        <v>59.2</v>
      </c>
      <c r="Z1615">
        <v>1397715000</v>
      </c>
      <c r="AA1615">
        <v>35.861660000000001</v>
      </c>
      <c r="AB1615">
        <v>104.195397</v>
      </c>
    </row>
    <row r="1616" spans="1:28" hidden="1">
      <c r="A1616">
        <v>1575</v>
      </c>
      <c r="B1616">
        <v>1900</v>
      </c>
      <c r="C1616" t="s">
        <v>101</v>
      </c>
      <c r="D1616" t="s">
        <v>3228</v>
      </c>
      <c r="E1616">
        <v>69</v>
      </c>
      <c r="G1616" t="s">
        <v>38</v>
      </c>
      <c r="H1616" t="s">
        <v>635</v>
      </c>
      <c r="I1616" t="s">
        <v>959</v>
      </c>
      <c r="J1616" t="s">
        <v>101</v>
      </c>
      <c r="K1616" t="s">
        <v>38</v>
      </c>
      <c r="M1616" t="b">
        <v>0</v>
      </c>
      <c r="N1616" t="s">
        <v>42</v>
      </c>
      <c r="O1616" t="s">
        <v>88</v>
      </c>
      <c r="Q1616">
        <v>117.24</v>
      </c>
      <c r="R1616">
        <v>7.5</v>
      </c>
      <c r="S1616" t="s">
        <v>44</v>
      </c>
      <c r="T1616">
        <v>88.2</v>
      </c>
      <c r="V1616">
        <v>101.8</v>
      </c>
      <c r="W1616">
        <v>78.5</v>
      </c>
      <c r="X1616">
        <v>9.6</v>
      </c>
      <c r="Y1616">
        <v>36.6</v>
      </c>
      <c r="Z1616">
        <v>328239523</v>
      </c>
      <c r="AA1616">
        <v>37.090240000000001</v>
      </c>
      <c r="AB1616">
        <v>-95.712890999999999</v>
      </c>
    </row>
    <row r="1617" spans="1:28" hidden="1">
      <c r="A1617">
        <v>1575</v>
      </c>
      <c r="B1617">
        <v>1900</v>
      </c>
      <c r="C1617" t="s">
        <v>68</v>
      </c>
      <c r="D1617" t="s">
        <v>3229</v>
      </c>
      <c r="E1617">
        <v>62</v>
      </c>
      <c r="G1617" t="s">
        <v>203</v>
      </c>
      <c r="H1617" t="s">
        <v>204</v>
      </c>
      <c r="I1617" t="s">
        <v>68</v>
      </c>
      <c r="J1617" t="s">
        <v>68</v>
      </c>
      <c r="K1617" t="s">
        <v>3230</v>
      </c>
      <c r="M1617" t="b">
        <v>1</v>
      </c>
      <c r="N1617" t="s">
        <v>42</v>
      </c>
      <c r="O1617" t="s">
        <v>33</v>
      </c>
      <c r="Q1617">
        <v>119.62</v>
      </c>
      <c r="R1617">
        <v>1.7</v>
      </c>
      <c r="S1617" t="s">
        <v>206</v>
      </c>
      <c r="T1617">
        <v>60</v>
      </c>
      <c r="V1617">
        <v>101.2</v>
      </c>
      <c r="W1617">
        <v>81.3</v>
      </c>
      <c r="X1617">
        <v>25.5</v>
      </c>
      <c r="Y1617">
        <v>30.6</v>
      </c>
      <c r="Z1617">
        <v>66834405</v>
      </c>
      <c r="AA1617">
        <v>55.378050999999999</v>
      </c>
      <c r="AB1617">
        <v>-3.4359730000000002</v>
      </c>
    </row>
    <row r="1618" spans="1:28" hidden="1">
      <c r="A1618">
        <v>1575</v>
      </c>
      <c r="B1618">
        <v>1900</v>
      </c>
      <c r="C1618" t="s">
        <v>26</v>
      </c>
      <c r="D1618" t="s">
        <v>3231</v>
      </c>
      <c r="E1618">
        <v>89</v>
      </c>
      <c r="G1618" t="s">
        <v>172</v>
      </c>
      <c r="H1618" t="s">
        <v>172</v>
      </c>
      <c r="I1618" t="s">
        <v>150</v>
      </c>
      <c r="J1618" t="s">
        <v>26</v>
      </c>
      <c r="K1618" t="s">
        <v>203</v>
      </c>
      <c r="M1618" t="b">
        <v>1</v>
      </c>
      <c r="N1618" t="s">
        <v>42</v>
      </c>
      <c r="O1618" t="s">
        <v>33</v>
      </c>
    </row>
    <row r="1619" spans="1:28" hidden="1">
      <c r="A1619">
        <v>1575</v>
      </c>
      <c r="B1619">
        <v>1900</v>
      </c>
      <c r="C1619" t="s">
        <v>45</v>
      </c>
      <c r="D1619" t="s">
        <v>3232</v>
      </c>
      <c r="E1619">
        <v>55</v>
      </c>
      <c r="G1619" t="s">
        <v>203</v>
      </c>
      <c r="H1619" t="s">
        <v>3233</v>
      </c>
      <c r="I1619" t="s">
        <v>3234</v>
      </c>
      <c r="J1619" t="s">
        <v>45</v>
      </c>
      <c r="K1619" t="s">
        <v>203</v>
      </c>
      <c r="M1619" t="b">
        <v>1</v>
      </c>
      <c r="N1619" t="s">
        <v>32</v>
      </c>
      <c r="O1619" t="s">
        <v>33</v>
      </c>
      <c r="Q1619">
        <v>119.62</v>
      </c>
      <c r="R1619">
        <v>1.7</v>
      </c>
      <c r="S1619" t="s">
        <v>206</v>
      </c>
      <c r="T1619">
        <v>60</v>
      </c>
      <c r="V1619">
        <v>101.2</v>
      </c>
      <c r="W1619">
        <v>81.3</v>
      </c>
      <c r="X1619">
        <v>25.5</v>
      </c>
      <c r="Y1619">
        <v>30.6</v>
      </c>
      <c r="Z1619">
        <v>66834405</v>
      </c>
      <c r="AA1619">
        <v>55.378050999999999</v>
      </c>
      <c r="AB1619">
        <v>-3.4359730000000002</v>
      </c>
    </row>
    <row r="1620" spans="1:28" hidden="1">
      <c r="A1620">
        <v>1575</v>
      </c>
      <c r="B1620">
        <v>1900</v>
      </c>
      <c r="C1620" t="s">
        <v>101</v>
      </c>
      <c r="D1620" t="s">
        <v>3235</v>
      </c>
      <c r="E1620">
        <v>74</v>
      </c>
      <c r="G1620" t="s">
        <v>198</v>
      </c>
      <c r="H1620" t="s">
        <v>199</v>
      </c>
      <c r="I1620" t="s">
        <v>861</v>
      </c>
      <c r="J1620" t="s">
        <v>101</v>
      </c>
      <c r="K1620" t="s">
        <v>198</v>
      </c>
      <c r="M1620" t="b">
        <v>1</v>
      </c>
      <c r="N1620" t="s">
        <v>32</v>
      </c>
      <c r="O1620" t="s">
        <v>33</v>
      </c>
      <c r="Q1620">
        <v>105.48</v>
      </c>
      <c r="R1620">
        <v>0.5</v>
      </c>
      <c r="S1620" t="s">
        <v>201</v>
      </c>
      <c r="T1620">
        <v>63.2</v>
      </c>
      <c r="V1620">
        <v>98.8</v>
      </c>
      <c r="W1620">
        <v>84.2</v>
      </c>
      <c r="X1620">
        <v>11.9</v>
      </c>
      <c r="Y1620">
        <v>46.7</v>
      </c>
      <c r="Z1620">
        <v>126226568</v>
      </c>
      <c r="AA1620">
        <v>36.204824000000002</v>
      </c>
      <c r="AB1620">
        <v>138.25292400000001</v>
      </c>
    </row>
    <row r="1621" spans="1:28" hidden="1">
      <c r="A1621">
        <v>1575</v>
      </c>
      <c r="B1621">
        <v>1900</v>
      </c>
      <c r="C1621" t="s">
        <v>217</v>
      </c>
      <c r="D1621" t="s">
        <v>3236</v>
      </c>
      <c r="E1621">
        <v>65</v>
      </c>
      <c r="G1621" t="s">
        <v>77</v>
      </c>
      <c r="H1621" t="s">
        <v>78</v>
      </c>
      <c r="I1621" t="s">
        <v>2380</v>
      </c>
      <c r="J1621" t="s">
        <v>217</v>
      </c>
      <c r="K1621" t="s">
        <v>77</v>
      </c>
      <c r="M1621" t="b">
        <v>0</v>
      </c>
      <c r="N1621" t="s">
        <v>42</v>
      </c>
      <c r="O1621" t="s">
        <v>33</v>
      </c>
      <c r="Q1621">
        <v>180.44</v>
      </c>
      <c r="R1621">
        <v>7.7</v>
      </c>
      <c r="S1621" t="s">
        <v>81</v>
      </c>
      <c r="T1621">
        <v>28.1</v>
      </c>
      <c r="V1621">
        <v>113</v>
      </c>
      <c r="W1621">
        <v>69.400000000000006</v>
      </c>
      <c r="X1621">
        <v>11.2</v>
      </c>
      <c r="Y1621">
        <v>49.7</v>
      </c>
      <c r="Z1621">
        <v>1366417754</v>
      </c>
      <c r="AA1621">
        <v>20.593684</v>
      </c>
      <c r="AB1621">
        <v>78.962879999999998</v>
      </c>
    </row>
    <row r="1622" spans="1:28" hidden="1">
      <c r="A1622">
        <v>1575</v>
      </c>
      <c r="B1622">
        <v>1900</v>
      </c>
      <c r="C1622" t="s">
        <v>217</v>
      </c>
      <c r="D1622" t="s">
        <v>3237</v>
      </c>
      <c r="E1622">
        <v>84</v>
      </c>
      <c r="G1622" t="s">
        <v>77</v>
      </c>
      <c r="H1622" t="s">
        <v>78</v>
      </c>
      <c r="I1622" t="s">
        <v>2380</v>
      </c>
      <c r="J1622" t="s">
        <v>217</v>
      </c>
      <c r="K1622" t="s">
        <v>77</v>
      </c>
      <c r="M1622" t="b">
        <v>0</v>
      </c>
      <c r="N1622" t="s">
        <v>42</v>
      </c>
      <c r="O1622" t="s">
        <v>33</v>
      </c>
      <c r="Q1622">
        <v>180.44</v>
      </c>
      <c r="R1622">
        <v>7.7</v>
      </c>
      <c r="S1622" t="s">
        <v>81</v>
      </c>
      <c r="T1622">
        <v>28.1</v>
      </c>
      <c r="V1622">
        <v>113</v>
      </c>
      <c r="W1622">
        <v>69.400000000000006</v>
      </c>
      <c r="X1622">
        <v>11.2</v>
      </c>
      <c r="Y1622">
        <v>49.7</v>
      </c>
      <c r="Z1622">
        <v>1366417754</v>
      </c>
      <c r="AA1622">
        <v>20.593684</v>
      </c>
      <c r="AB1622">
        <v>78.962879999999998</v>
      </c>
    </row>
    <row r="1623" spans="1:28">
      <c r="A1623">
        <v>1575</v>
      </c>
      <c r="B1623">
        <v>1900</v>
      </c>
      <c r="C1623" t="s">
        <v>54</v>
      </c>
      <c r="D1623" t="s">
        <v>3238</v>
      </c>
      <c r="E1623">
        <v>72</v>
      </c>
      <c r="F1623" t="str">
        <f>IF(E1623&gt;=90,"90-100",IF(E1623&gt;=80,"80-90",IF(E1623&gt;=70,"70-80",IF(E1623&gt;=60,"60-70",IF(E1623&gt;=50,"50-60",IF(E1623&gt;=40,"40-50",IF(E1623&gt;=30,"30-40","20-30")))))))</f>
        <v>70-80</v>
      </c>
      <c r="G1623" t="s">
        <v>38</v>
      </c>
      <c r="H1623" t="s">
        <v>307</v>
      </c>
      <c r="I1623" t="s">
        <v>1193</v>
      </c>
      <c r="J1623" t="s">
        <v>54</v>
      </c>
      <c r="K1623" t="s">
        <v>38</v>
      </c>
      <c r="L1623" t="s">
        <v>3239</v>
      </c>
      <c r="M1623" t="b">
        <v>0</v>
      </c>
      <c r="N1623" t="s">
        <v>42</v>
      </c>
      <c r="O1623" t="s">
        <v>4866</v>
      </c>
      <c r="P1623" t="s">
        <v>43</v>
      </c>
      <c r="Q1623">
        <v>117.24</v>
      </c>
      <c r="R1623">
        <v>7.5</v>
      </c>
      <c r="S1623" t="s">
        <v>44</v>
      </c>
      <c r="T1623">
        <v>88.2</v>
      </c>
      <c r="U1623" t="str">
        <f>IF(T1623&gt;=100,"above 100",IF(T1623&gt;=80,"80-100",IF(T1623&gt;=60,"60-80",IF(T1623&gt;=40,"40-60",IF(T1623&gt;=20,"20-60","0-20")))))</f>
        <v>80-100</v>
      </c>
      <c r="V1623">
        <v>101.8</v>
      </c>
      <c r="W1623">
        <v>78.5</v>
      </c>
      <c r="X1623">
        <v>9.6</v>
      </c>
      <c r="Y1623">
        <v>36.6</v>
      </c>
      <c r="Z1623">
        <v>328239523</v>
      </c>
      <c r="AA1623">
        <v>37.090240000000001</v>
      </c>
      <c r="AB1623">
        <v>-95.712890999999999</v>
      </c>
    </row>
    <row r="1624" spans="1:28" hidden="1">
      <c r="A1624">
        <v>1575</v>
      </c>
      <c r="B1624">
        <v>1900</v>
      </c>
      <c r="C1624" t="s">
        <v>26</v>
      </c>
      <c r="D1624" t="s">
        <v>3240</v>
      </c>
      <c r="E1624">
        <v>80</v>
      </c>
      <c r="G1624" t="s">
        <v>77</v>
      </c>
      <c r="H1624" t="s">
        <v>2709</v>
      </c>
      <c r="I1624" t="s">
        <v>3241</v>
      </c>
      <c r="J1624" t="s">
        <v>26</v>
      </c>
      <c r="K1624" t="s">
        <v>77</v>
      </c>
      <c r="M1624" t="b">
        <v>1</v>
      </c>
      <c r="N1624" t="s">
        <v>32</v>
      </c>
      <c r="O1624" t="s">
        <v>33</v>
      </c>
      <c r="Q1624">
        <v>180.44</v>
      </c>
      <c r="R1624">
        <v>7.7</v>
      </c>
      <c r="S1624" t="s">
        <v>81</v>
      </c>
      <c r="T1624">
        <v>28.1</v>
      </c>
      <c r="V1624">
        <v>113</v>
      </c>
      <c r="W1624">
        <v>69.400000000000006</v>
      </c>
      <c r="X1624">
        <v>11.2</v>
      </c>
      <c r="Y1624">
        <v>49.7</v>
      </c>
      <c r="Z1624">
        <v>1366417754</v>
      </c>
      <c r="AA1624">
        <v>20.593684</v>
      </c>
      <c r="AB1624">
        <v>78.962879999999998</v>
      </c>
    </row>
    <row r="1625" spans="1:28" hidden="1">
      <c r="A1625">
        <v>1575</v>
      </c>
      <c r="B1625">
        <v>1900</v>
      </c>
      <c r="C1625" t="s">
        <v>217</v>
      </c>
      <c r="D1625" t="s">
        <v>3242</v>
      </c>
      <c r="E1625">
        <v>66</v>
      </c>
      <c r="G1625" t="s">
        <v>103</v>
      </c>
      <c r="H1625" t="s">
        <v>104</v>
      </c>
      <c r="I1625" t="s">
        <v>1252</v>
      </c>
      <c r="J1625" t="s">
        <v>217</v>
      </c>
      <c r="K1625" t="s">
        <v>103</v>
      </c>
      <c r="M1625" t="b">
        <v>1</v>
      </c>
      <c r="N1625" t="s">
        <v>42</v>
      </c>
      <c r="O1625" t="s">
        <v>33</v>
      </c>
      <c r="Q1625">
        <v>125.08</v>
      </c>
      <c r="R1625">
        <v>2.9</v>
      </c>
      <c r="S1625" t="s">
        <v>106</v>
      </c>
      <c r="T1625">
        <v>50.6</v>
      </c>
      <c r="V1625">
        <v>100.2</v>
      </c>
      <c r="W1625">
        <v>77</v>
      </c>
      <c r="X1625">
        <v>9.4</v>
      </c>
      <c r="Y1625">
        <v>59.2</v>
      </c>
      <c r="Z1625">
        <v>1397715000</v>
      </c>
      <c r="AA1625">
        <v>35.861660000000001</v>
      </c>
      <c r="AB1625">
        <v>104.195397</v>
      </c>
    </row>
    <row r="1626" spans="1:28">
      <c r="A1626">
        <v>1575</v>
      </c>
      <c r="B1626">
        <v>1900</v>
      </c>
      <c r="C1626" t="s">
        <v>54</v>
      </c>
      <c r="D1626" t="s">
        <v>3243</v>
      </c>
      <c r="E1626">
        <v>53</v>
      </c>
      <c r="F1626" t="str">
        <f>IF(E1626&gt;=90,"90-100",IF(E1626&gt;=80,"80-90",IF(E1626&gt;=70,"70-80",IF(E1626&gt;=60,"60-70",IF(E1626&gt;=50,"50-60",IF(E1626&gt;=40,"40-50",IF(E1626&gt;=30,"30-40","20-30")))))))</f>
        <v>50-60</v>
      </c>
      <c r="G1626" t="s">
        <v>38</v>
      </c>
      <c r="H1626" t="s">
        <v>3244</v>
      </c>
      <c r="I1626" t="s">
        <v>185</v>
      </c>
      <c r="J1626" t="s">
        <v>54</v>
      </c>
      <c r="K1626" t="s">
        <v>38</v>
      </c>
      <c r="L1626" t="s">
        <v>3245</v>
      </c>
      <c r="M1626" t="b">
        <v>1</v>
      </c>
      <c r="N1626" t="s">
        <v>419</v>
      </c>
      <c r="O1626" t="s">
        <v>4867</v>
      </c>
      <c r="P1626" t="s">
        <v>468</v>
      </c>
      <c r="Q1626">
        <v>117.24</v>
      </c>
      <c r="R1626">
        <v>7.5</v>
      </c>
      <c r="S1626" t="s">
        <v>44</v>
      </c>
      <c r="T1626">
        <v>88.2</v>
      </c>
      <c r="U1626" t="str">
        <f>IF(T1626&gt;=100,"above 100",IF(T1626&gt;=80,"80-100",IF(T1626&gt;=60,"60-80",IF(T1626&gt;=40,"40-60",IF(T1626&gt;=20,"20-60","0-20")))))</f>
        <v>80-100</v>
      </c>
      <c r="V1626">
        <v>101.8</v>
      </c>
      <c r="W1626">
        <v>78.5</v>
      </c>
      <c r="X1626">
        <v>9.6</v>
      </c>
      <c r="Y1626">
        <v>36.6</v>
      </c>
      <c r="Z1626">
        <v>328239523</v>
      </c>
      <c r="AA1626">
        <v>37.090240000000001</v>
      </c>
      <c r="AB1626">
        <v>-95.712890999999999</v>
      </c>
    </row>
    <row r="1627" spans="1:28" hidden="1">
      <c r="A1627">
        <v>1575</v>
      </c>
      <c r="B1627">
        <v>1900</v>
      </c>
      <c r="C1627" t="s">
        <v>469</v>
      </c>
      <c r="D1627" t="s">
        <v>3246</v>
      </c>
      <c r="E1627">
        <v>81</v>
      </c>
      <c r="G1627" t="s">
        <v>38</v>
      </c>
      <c r="H1627" t="s">
        <v>257</v>
      </c>
      <c r="I1627" t="s">
        <v>3247</v>
      </c>
      <c r="J1627" t="s">
        <v>469</v>
      </c>
      <c r="K1627" t="s">
        <v>38</v>
      </c>
      <c r="M1627" t="b">
        <v>1</v>
      </c>
      <c r="N1627" t="s">
        <v>419</v>
      </c>
      <c r="O1627" t="s">
        <v>33</v>
      </c>
      <c r="Q1627">
        <v>117.24</v>
      </c>
      <c r="R1627">
        <v>7.5</v>
      </c>
      <c r="S1627" t="s">
        <v>44</v>
      </c>
      <c r="T1627">
        <v>88.2</v>
      </c>
      <c r="V1627">
        <v>101.8</v>
      </c>
      <c r="W1627">
        <v>78.5</v>
      </c>
      <c r="X1627">
        <v>9.6</v>
      </c>
      <c r="Y1627">
        <v>36.6</v>
      </c>
      <c r="Z1627">
        <v>328239523</v>
      </c>
      <c r="AA1627">
        <v>37.090240000000001</v>
      </c>
      <c r="AB1627">
        <v>-95.712890999999999</v>
      </c>
    </row>
    <row r="1628" spans="1:28" hidden="1">
      <c r="A1628">
        <v>1575</v>
      </c>
      <c r="B1628">
        <v>1900</v>
      </c>
      <c r="C1628" t="s">
        <v>250</v>
      </c>
      <c r="D1628" t="s">
        <v>3248</v>
      </c>
      <c r="G1628" t="s">
        <v>103</v>
      </c>
      <c r="H1628" t="s">
        <v>104</v>
      </c>
      <c r="I1628" t="s">
        <v>3249</v>
      </c>
      <c r="J1628" t="s">
        <v>250</v>
      </c>
      <c r="K1628" t="s">
        <v>103</v>
      </c>
      <c r="M1628" t="b">
        <v>1</v>
      </c>
      <c r="N1628" t="s">
        <v>32</v>
      </c>
      <c r="O1628" t="s">
        <v>33</v>
      </c>
      <c r="Q1628">
        <v>125.08</v>
      </c>
      <c r="R1628">
        <v>2.9</v>
      </c>
      <c r="S1628" t="s">
        <v>106</v>
      </c>
      <c r="T1628">
        <v>50.6</v>
      </c>
      <c r="V1628">
        <v>100.2</v>
      </c>
      <c r="W1628">
        <v>77</v>
      </c>
      <c r="X1628">
        <v>9.4</v>
      </c>
      <c r="Y1628">
        <v>59.2</v>
      </c>
      <c r="Z1628">
        <v>1397715000</v>
      </c>
      <c r="AA1628">
        <v>35.861660000000001</v>
      </c>
      <c r="AB1628">
        <v>104.195397</v>
      </c>
    </row>
    <row r="1629" spans="1:28" hidden="1">
      <c r="A1629">
        <v>1575</v>
      </c>
      <c r="B1629">
        <v>1900</v>
      </c>
      <c r="C1629" t="s">
        <v>217</v>
      </c>
      <c r="D1629" t="s">
        <v>3250</v>
      </c>
      <c r="E1629">
        <v>68</v>
      </c>
      <c r="G1629" t="s">
        <v>103</v>
      </c>
      <c r="H1629" t="s">
        <v>104</v>
      </c>
      <c r="I1629" t="s">
        <v>75</v>
      </c>
      <c r="J1629" t="s">
        <v>217</v>
      </c>
      <c r="K1629" t="s">
        <v>103</v>
      </c>
      <c r="M1629" t="b">
        <v>1</v>
      </c>
      <c r="N1629" t="s">
        <v>32</v>
      </c>
      <c r="O1629" t="s">
        <v>33</v>
      </c>
      <c r="Q1629">
        <v>125.08</v>
      </c>
      <c r="R1629">
        <v>2.9</v>
      </c>
      <c r="S1629" t="s">
        <v>106</v>
      </c>
      <c r="T1629">
        <v>50.6</v>
      </c>
      <c r="V1629">
        <v>100.2</v>
      </c>
      <c r="W1629">
        <v>77</v>
      </c>
      <c r="X1629">
        <v>9.4</v>
      </c>
      <c r="Y1629">
        <v>59.2</v>
      </c>
      <c r="Z1629">
        <v>1397715000</v>
      </c>
      <c r="AA1629">
        <v>35.861660000000001</v>
      </c>
      <c r="AB1629">
        <v>104.195397</v>
      </c>
    </row>
    <row r="1630" spans="1:28" hidden="1">
      <c r="A1630">
        <v>1575</v>
      </c>
      <c r="B1630">
        <v>1900</v>
      </c>
      <c r="C1630" t="s">
        <v>45</v>
      </c>
      <c r="D1630" t="s">
        <v>3251</v>
      </c>
      <c r="E1630">
        <v>60</v>
      </c>
      <c r="G1630" t="s">
        <v>103</v>
      </c>
      <c r="H1630" t="s">
        <v>1748</v>
      </c>
      <c r="I1630" t="s">
        <v>312</v>
      </c>
      <c r="J1630" t="s">
        <v>45</v>
      </c>
      <c r="K1630" t="s">
        <v>38</v>
      </c>
      <c r="M1630" t="b">
        <v>1</v>
      </c>
      <c r="N1630" t="s">
        <v>42</v>
      </c>
      <c r="O1630" t="s">
        <v>33</v>
      </c>
      <c r="Q1630">
        <v>125.08</v>
      </c>
      <c r="R1630">
        <v>2.9</v>
      </c>
      <c r="S1630" t="s">
        <v>106</v>
      </c>
      <c r="T1630">
        <v>50.6</v>
      </c>
      <c r="V1630">
        <v>100.2</v>
      </c>
      <c r="W1630">
        <v>77</v>
      </c>
      <c r="X1630">
        <v>9.4</v>
      </c>
      <c r="Y1630">
        <v>59.2</v>
      </c>
      <c r="Z1630">
        <v>1397715000</v>
      </c>
      <c r="AA1630">
        <v>35.861660000000001</v>
      </c>
      <c r="AB1630">
        <v>104.195397</v>
      </c>
    </row>
    <row r="1631" spans="1:28" hidden="1">
      <c r="A1631">
        <v>1575</v>
      </c>
      <c r="B1631">
        <v>1900</v>
      </c>
      <c r="C1631" t="s">
        <v>217</v>
      </c>
      <c r="D1631" t="s">
        <v>3252</v>
      </c>
      <c r="E1631">
        <v>95</v>
      </c>
      <c r="G1631" t="s">
        <v>810</v>
      </c>
      <c r="H1631" t="s">
        <v>3253</v>
      </c>
      <c r="I1631" t="s">
        <v>3151</v>
      </c>
      <c r="J1631" t="s">
        <v>217</v>
      </c>
      <c r="K1631" t="s">
        <v>810</v>
      </c>
      <c r="M1631" t="b">
        <v>1</v>
      </c>
      <c r="N1631" t="s">
        <v>42</v>
      </c>
      <c r="O1631" t="s">
        <v>33</v>
      </c>
    </row>
    <row r="1632" spans="1:28" hidden="1">
      <c r="A1632">
        <v>1575</v>
      </c>
      <c r="B1632">
        <v>1900</v>
      </c>
      <c r="C1632" t="s">
        <v>54</v>
      </c>
      <c r="D1632" t="s">
        <v>3254</v>
      </c>
      <c r="E1632">
        <v>73</v>
      </c>
      <c r="G1632" t="s">
        <v>252</v>
      </c>
      <c r="H1632" t="s">
        <v>3255</v>
      </c>
      <c r="I1632" t="s">
        <v>231</v>
      </c>
      <c r="J1632" t="s">
        <v>54</v>
      </c>
      <c r="K1632" t="s">
        <v>252</v>
      </c>
      <c r="M1632" t="b">
        <v>1</v>
      </c>
      <c r="N1632" t="s">
        <v>42</v>
      </c>
      <c r="O1632" t="s">
        <v>33</v>
      </c>
      <c r="Q1632">
        <v>151.18</v>
      </c>
      <c r="R1632">
        <v>3</v>
      </c>
      <c r="S1632" t="s">
        <v>255</v>
      </c>
      <c r="T1632">
        <v>36.299999999999997</v>
      </c>
      <c r="V1632">
        <v>106.4</v>
      </c>
      <c r="W1632">
        <v>71.5</v>
      </c>
      <c r="X1632">
        <v>10.199999999999999</v>
      </c>
      <c r="Y1632">
        <v>30.1</v>
      </c>
      <c r="Z1632">
        <v>270203917</v>
      </c>
      <c r="AA1632">
        <v>-0.78927499999999995</v>
      </c>
      <c r="AB1632">
        <v>113.92132700000001</v>
      </c>
    </row>
    <row r="1633" spans="1:28" hidden="1">
      <c r="A1633">
        <v>1575</v>
      </c>
      <c r="B1633">
        <v>1900</v>
      </c>
      <c r="C1633" t="s">
        <v>101</v>
      </c>
      <c r="D1633" t="s">
        <v>3256</v>
      </c>
      <c r="E1633">
        <v>63</v>
      </c>
      <c r="G1633" t="s">
        <v>38</v>
      </c>
      <c r="H1633" t="s">
        <v>331</v>
      </c>
      <c r="I1633" t="s">
        <v>959</v>
      </c>
      <c r="J1633" t="s">
        <v>101</v>
      </c>
      <c r="K1633" t="s">
        <v>38</v>
      </c>
      <c r="M1633" t="b">
        <v>0</v>
      </c>
      <c r="N1633" t="s">
        <v>42</v>
      </c>
      <c r="O1633" t="s">
        <v>88</v>
      </c>
      <c r="Q1633">
        <v>117.24</v>
      </c>
      <c r="R1633">
        <v>7.5</v>
      </c>
      <c r="S1633" t="s">
        <v>44</v>
      </c>
      <c r="T1633">
        <v>88.2</v>
      </c>
      <c r="V1633">
        <v>101.8</v>
      </c>
      <c r="W1633">
        <v>78.5</v>
      </c>
      <c r="X1633">
        <v>9.6</v>
      </c>
      <c r="Y1633">
        <v>36.6</v>
      </c>
      <c r="Z1633">
        <v>328239523</v>
      </c>
      <c r="AA1633">
        <v>37.090240000000001</v>
      </c>
      <c r="AB1633">
        <v>-95.712890999999999</v>
      </c>
    </row>
    <row r="1634" spans="1:28" hidden="1">
      <c r="A1634">
        <v>1575</v>
      </c>
      <c r="B1634">
        <v>1900</v>
      </c>
      <c r="C1634" t="s">
        <v>75</v>
      </c>
      <c r="D1634" t="s">
        <v>3257</v>
      </c>
      <c r="E1634">
        <v>70</v>
      </c>
      <c r="G1634" t="s">
        <v>726</v>
      </c>
      <c r="H1634" t="s">
        <v>727</v>
      </c>
      <c r="I1634" t="s">
        <v>75</v>
      </c>
      <c r="J1634" t="s">
        <v>75</v>
      </c>
      <c r="K1634" t="s">
        <v>726</v>
      </c>
      <c r="M1634" t="b">
        <v>0</v>
      </c>
      <c r="N1634" t="s">
        <v>42</v>
      </c>
      <c r="O1634" t="s">
        <v>88</v>
      </c>
      <c r="Q1634">
        <v>129.61000000000001</v>
      </c>
      <c r="R1634">
        <v>2.5</v>
      </c>
      <c r="S1634" t="s">
        <v>728</v>
      </c>
      <c r="T1634">
        <v>35.5</v>
      </c>
      <c r="V1634">
        <v>107.5</v>
      </c>
      <c r="W1634">
        <v>71.099999999999994</v>
      </c>
      <c r="X1634">
        <v>14</v>
      </c>
      <c r="Y1634">
        <v>43.1</v>
      </c>
      <c r="Z1634">
        <v>108116615</v>
      </c>
      <c r="AA1634">
        <v>12.879721</v>
      </c>
      <c r="AB1634">
        <v>121.774017</v>
      </c>
    </row>
    <row r="1635" spans="1:28" hidden="1">
      <c r="A1635">
        <v>1575</v>
      </c>
      <c r="B1635">
        <v>1900</v>
      </c>
      <c r="C1635" t="s">
        <v>217</v>
      </c>
      <c r="D1635" t="s">
        <v>3258</v>
      </c>
      <c r="E1635">
        <v>60</v>
      </c>
      <c r="G1635" t="s">
        <v>252</v>
      </c>
      <c r="H1635" t="s">
        <v>3255</v>
      </c>
      <c r="I1635" t="s">
        <v>450</v>
      </c>
      <c r="J1635" t="s">
        <v>217</v>
      </c>
      <c r="K1635" t="s">
        <v>252</v>
      </c>
      <c r="M1635" t="b">
        <v>0</v>
      </c>
      <c r="N1635" t="s">
        <v>212</v>
      </c>
      <c r="O1635" t="s">
        <v>33</v>
      </c>
      <c r="Q1635">
        <v>151.18</v>
      </c>
      <c r="R1635">
        <v>3</v>
      </c>
      <c r="S1635" t="s">
        <v>255</v>
      </c>
      <c r="T1635">
        <v>36.299999999999997</v>
      </c>
      <c r="V1635">
        <v>106.4</v>
      </c>
      <c r="W1635">
        <v>71.5</v>
      </c>
      <c r="X1635">
        <v>10.199999999999999</v>
      </c>
      <c r="Y1635">
        <v>30.1</v>
      </c>
      <c r="Z1635">
        <v>270203917</v>
      </c>
      <c r="AA1635">
        <v>-0.78927499999999995</v>
      </c>
      <c r="AB1635">
        <v>113.92132700000001</v>
      </c>
    </row>
    <row r="1636" spans="1:28" hidden="1">
      <c r="A1636">
        <v>1575</v>
      </c>
      <c r="B1636">
        <v>1900</v>
      </c>
      <c r="C1636" t="s">
        <v>469</v>
      </c>
      <c r="D1636" t="s">
        <v>3259</v>
      </c>
      <c r="E1636">
        <v>64</v>
      </c>
      <c r="G1636" t="s">
        <v>1267</v>
      </c>
      <c r="H1636" t="s">
        <v>1268</v>
      </c>
      <c r="I1636" t="s">
        <v>1528</v>
      </c>
      <c r="J1636" t="s">
        <v>469</v>
      </c>
      <c r="K1636" t="s">
        <v>1267</v>
      </c>
      <c r="M1636" t="b">
        <v>0</v>
      </c>
      <c r="N1636" t="s">
        <v>32</v>
      </c>
      <c r="O1636" t="s">
        <v>33</v>
      </c>
      <c r="Q1636">
        <v>234.44</v>
      </c>
      <c r="R1636">
        <v>15.2</v>
      </c>
      <c r="S1636" t="s">
        <v>1270</v>
      </c>
      <c r="T1636">
        <v>23.9</v>
      </c>
      <c r="V1636">
        <v>93.2</v>
      </c>
      <c r="W1636">
        <v>77.400000000000006</v>
      </c>
      <c r="X1636">
        <v>17.899999999999999</v>
      </c>
      <c r="Y1636">
        <v>42.3</v>
      </c>
      <c r="Z1636">
        <v>83429615</v>
      </c>
      <c r="AA1636">
        <v>38.963745000000003</v>
      </c>
      <c r="AB1636">
        <v>35.243321999999999</v>
      </c>
    </row>
    <row r="1637" spans="1:28" hidden="1">
      <c r="A1637">
        <v>1575</v>
      </c>
      <c r="B1637">
        <v>1900</v>
      </c>
      <c r="C1637" t="s">
        <v>26</v>
      </c>
      <c r="D1637" t="s">
        <v>3260</v>
      </c>
      <c r="E1637">
        <v>76</v>
      </c>
      <c r="G1637" t="s">
        <v>198</v>
      </c>
      <c r="H1637" t="s">
        <v>3261</v>
      </c>
      <c r="I1637" t="s">
        <v>755</v>
      </c>
      <c r="J1637" t="s">
        <v>26</v>
      </c>
      <c r="K1637" t="s">
        <v>198</v>
      </c>
      <c r="M1637" t="b">
        <v>1</v>
      </c>
      <c r="N1637" t="s">
        <v>42</v>
      </c>
      <c r="O1637" t="s">
        <v>33</v>
      </c>
      <c r="Q1637">
        <v>105.48</v>
      </c>
      <c r="R1637">
        <v>0.5</v>
      </c>
      <c r="S1637" t="s">
        <v>201</v>
      </c>
      <c r="T1637">
        <v>63.2</v>
      </c>
      <c r="V1637">
        <v>98.8</v>
      </c>
      <c r="W1637">
        <v>84.2</v>
      </c>
      <c r="X1637">
        <v>11.9</v>
      </c>
      <c r="Y1637">
        <v>46.7</v>
      </c>
      <c r="Z1637">
        <v>126226568</v>
      </c>
      <c r="AA1637">
        <v>36.204824000000002</v>
      </c>
      <c r="AB1637">
        <v>138.25292400000001</v>
      </c>
    </row>
    <row r="1638" spans="1:28" hidden="1">
      <c r="A1638">
        <v>1575</v>
      </c>
      <c r="B1638">
        <v>1900</v>
      </c>
      <c r="C1638" t="s">
        <v>250</v>
      </c>
      <c r="D1638" t="s">
        <v>3262</v>
      </c>
      <c r="E1638">
        <v>90</v>
      </c>
      <c r="G1638" t="s">
        <v>1180</v>
      </c>
      <c r="H1638" t="s">
        <v>3263</v>
      </c>
      <c r="I1638" t="s">
        <v>3264</v>
      </c>
      <c r="J1638" t="s">
        <v>250</v>
      </c>
      <c r="K1638" t="s">
        <v>1180</v>
      </c>
      <c r="M1638" t="b">
        <v>1</v>
      </c>
      <c r="N1638" t="s">
        <v>32</v>
      </c>
      <c r="O1638" t="s">
        <v>33</v>
      </c>
      <c r="Q1638">
        <v>101.87</v>
      </c>
      <c r="R1638">
        <v>0.2</v>
      </c>
      <c r="S1638" t="s">
        <v>1181</v>
      </c>
      <c r="T1638">
        <v>136.6</v>
      </c>
      <c r="V1638">
        <v>99.6</v>
      </c>
      <c r="W1638">
        <v>81.3</v>
      </c>
      <c r="X1638">
        <v>26.2</v>
      </c>
      <c r="Y1638">
        <v>51.9</v>
      </c>
      <c r="Z1638">
        <v>10716322</v>
      </c>
      <c r="AA1638">
        <v>39.074207999999999</v>
      </c>
      <c r="AB1638">
        <v>21.824311999999999</v>
      </c>
    </row>
    <row r="1639" spans="1:28" hidden="1">
      <c r="A1639">
        <v>1575</v>
      </c>
      <c r="B1639">
        <v>1900</v>
      </c>
      <c r="C1639" t="s">
        <v>221</v>
      </c>
      <c r="D1639" t="s">
        <v>3265</v>
      </c>
      <c r="E1639">
        <v>57</v>
      </c>
      <c r="G1639" t="s">
        <v>77</v>
      </c>
      <c r="H1639" t="s">
        <v>667</v>
      </c>
      <c r="I1639" t="s">
        <v>223</v>
      </c>
      <c r="J1639" t="s">
        <v>221</v>
      </c>
      <c r="K1639" t="s">
        <v>77</v>
      </c>
      <c r="M1639" t="b">
        <v>0</v>
      </c>
      <c r="N1639" t="s">
        <v>42</v>
      </c>
      <c r="O1639" t="s">
        <v>33</v>
      </c>
      <c r="Q1639">
        <v>180.44</v>
      </c>
      <c r="R1639">
        <v>7.7</v>
      </c>
      <c r="S1639" t="s">
        <v>81</v>
      </c>
      <c r="T1639">
        <v>28.1</v>
      </c>
      <c r="V1639">
        <v>113</v>
      </c>
      <c r="W1639">
        <v>69.400000000000006</v>
      </c>
      <c r="X1639">
        <v>11.2</v>
      </c>
      <c r="Y1639">
        <v>49.7</v>
      </c>
      <c r="Z1639">
        <v>1366417754</v>
      </c>
      <c r="AA1639">
        <v>20.593684</v>
      </c>
      <c r="AB1639">
        <v>78.962879999999998</v>
      </c>
    </row>
    <row r="1640" spans="1:28" hidden="1">
      <c r="A1640">
        <v>1575</v>
      </c>
      <c r="B1640">
        <v>1900</v>
      </c>
      <c r="C1640" t="s">
        <v>221</v>
      </c>
      <c r="D1640" t="s">
        <v>3266</v>
      </c>
      <c r="E1640">
        <v>67</v>
      </c>
      <c r="G1640" t="s">
        <v>103</v>
      </c>
      <c r="H1640" t="s">
        <v>3267</v>
      </c>
      <c r="I1640" t="s">
        <v>223</v>
      </c>
      <c r="J1640" t="s">
        <v>221</v>
      </c>
      <c r="K1640" t="s">
        <v>103</v>
      </c>
      <c r="M1640" t="b">
        <v>1</v>
      </c>
      <c r="N1640" t="s">
        <v>419</v>
      </c>
      <c r="O1640" t="s">
        <v>33</v>
      </c>
      <c r="Q1640">
        <v>125.08</v>
      </c>
      <c r="R1640">
        <v>2.9</v>
      </c>
      <c r="S1640" t="s">
        <v>106</v>
      </c>
      <c r="T1640">
        <v>50.6</v>
      </c>
      <c r="V1640">
        <v>100.2</v>
      </c>
      <c r="W1640">
        <v>77</v>
      </c>
      <c r="X1640">
        <v>9.4</v>
      </c>
      <c r="Y1640">
        <v>59.2</v>
      </c>
      <c r="Z1640">
        <v>1397715000</v>
      </c>
      <c r="AA1640">
        <v>35.861660000000001</v>
      </c>
      <c r="AB1640">
        <v>104.195397</v>
      </c>
    </row>
    <row r="1641" spans="1:28" hidden="1">
      <c r="A1641">
        <v>1575</v>
      </c>
      <c r="B1641">
        <v>1900</v>
      </c>
      <c r="C1641" t="s">
        <v>26</v>
      </c>
      <c r="D1641" t="s">
        <v>3268</v>
      </c>
      <c r="E1641">
        <v>91</v>
      </c>
      <c r="G1641" t="s">
        <v>103</v>
      </c>
      <c r="H1641" t="s">
        <v>3267</v>
      </c>
      <c r="I1641" t="s">
        <v>150</v>
      </c>
      <c r="J1641" t="s">
        <v>26</v>
      </c>
      <c r="K1641" t="s">
        <v>810</v>
      </c>
      <c r="M1641" t="b">
        <v>1</v>
      </c>
      <c r="N1641" t="s">
        <v>42</v>
      </c>
      <c r="O1641" t="s">
        <v>33</v>
      </c>
      <c r="Q1641">
        <v>125.08</v>
      </c>
      <c r="R1641">
        <v>2.9</v>
      </c>
      <c r="S1641" t="s">
        <v>106</v>
      </c>
      <c r="T1641">
        <v>50.6</v>
      </c>
      <c r="V1641">
        <v>100.2</v>
      </c>
      <c r="W1641">
        <v>77</v>
      </c>
      <c r="X1641">
        <v>9.4</v>
      </c>
      <c r="Y1641">
        <v>59.2</v>
      </c>
      <c r="Z1641">
        <v>1397715000</v>
      </c>
      <c r="AA1641">
        <v>35.861660000000001</v>
      </c>
      <c r="AB1641">
        <v>104.195397</v>
      </c>
    </row>
    <row r="1642" spans="1:28">
      <c r="A1642">
        <v>1575</v>
      </c>
      <c r="B1642">
        <v>1900</v>
      </c>
      <c r="C1642" t="s">
        <v>101</v>
      </c>
      <c r="D1642" t="s">
        <v>3269</v>
      </c>
      <c r="E1642">
        <v>80</v>
      </c>
      <c r="F1642" t="str">
        <f>IF(E1642&gt;=90,"90-100",IF(E1642&gt;=80,"80-90",IF(E1642&gt;=70,"70-80",IF(E1642&gt;=60,"60-70",IF(E1642&gt;=50,"50-60",IF(E1642&gt;=40,"40-50",IF(E1642&gt;=30,"30-40","20-30")))))))</f>
        <v>80-90</v>
      </c>
      <c r="G1642" t="s">
        <v>38</v>
      </c>
      <c r="H1642" t="s">
        <v>947</v>
      </c>
      <c r="I1642" t="s">
        <v>1648</v>
      </c>
      <c r="J1642" t="s">
        <v>101</v>
      </c>
      <c r="K1642" t="s">
        <v>38</v>
      </c>
      <c r="L1642" t="s">
        <v>1648</v>
      </c>
      <c r="M1642" t="b">
        <v>0</v>
      </c>
      <c r="N1642" t="s">
        <v>32</v>
      </c>
      <c r="O1642" t="s">
        <v>4866</v>
      </c>
      <c r="P1642" t="s">
        <v>121</v>
      </c>
      <c r="Q1642">
        <v>117.24</v>
      </c>
      <c r="R1642">
        <v>7.5</v>
      </c>
      <c r="S1642" t="s">
        <v>44</v>
      </c>
      <c r="T1642">
        <v>88.2</v>
      </c>
      <c r="U1642" t="str">
        <f>IF(T1642&gt;=100,"above 100",IF(T1642&gt;=80,"80-100",IF(T1642&gt;=60,"60-80",IF(T1642&gt;=40,"40-60",IF(T1642&gt;=20,"20-60","0-20")))))</f>
        <v>80-100</v>
      </c>
      <c r="V1642">
        <v>101.8</v>
      </c>
      <c r="W1642">
        <v>78.5</v>
      </c>
      <c r="X1642">
        <v>9.6</v>
      </c>
      <c r="Y1642">
        <v>36.6</v>
      </c>
      <c r="Z1642">
        <v>328239523</v>
      </c>
      <c r="AA1642">
        <v>37.090240000000001</v>
      </c>
      <c r="AB1642">
        <v>-95.712890999999999</v>
      </c>
    </row>
    <row r="1643" spans="1:28" hidden="1">
      <c r="A1643">
        <v>1575</v>
      </c>
      <c r="B1643">
        <v>1900</v>
      </c>
      <c r="C1643" t="s">
        <v>288</v>
      </c>
      <c r="D1643" t="s">
        <v>3270</v>
      </c>
      <c r="E1643">
        <v>72</v>
      </c>
      <c r="G1643" t="s">
        <v>103</v>
      </c>
      <c r="H1643" t="s">
        <v>2663</v>
      </c>
      <c r="I1643" t="s">
        <v>418</v>
      </c>
      <c r="J1643" t="s">
        <v>288</v>
      </c>
      <c r="K1643" t="s">
        <v>103</v>
      </c>
      <c r="M1643" t="b">
        <v>0</v>
      </c>
      <c r="N1643" t="s">
        <v>42</v>
      </c>
      <c r="O1643" t="s">
        <v>88</v>
      </c>
      <c r="Q1643">
        <v>125.08</v>
      </c>
      <c r="R1643">
        <v>2.9</v>
      </c>
      <c r="S1643" t="s">
        <v>106</v>
      </c>
      <c r="T1643">
        <v>50.6</v>
      </c>
      <c r="V1643">
        <v>100.2</v>
      </c>
      <c r="W1643">
        <v>77</v>
      </c>
      <c r="X1643">
        <v>9.4</v>
      </c>
      <c r="Y1643">
        <v>59.2</v>
      </c>
      <c r="Z1643">
        <v>1397715000</v>
      </c>
      <c r="AA1643">
        <v>35.861660000000001</v>
      </c>
      <c r="AB1643">
        <v>104.195397</v>
      </c>
    </row>
    <row r="1644" spans="1:28">
      <c r="A1644">
        <v>1575</v>
      </c>
      <c r="B1644">
        <v>1900</v>
      </c>
      <c r="C1644" t="s">
        <v>217</v>
      </c>
      <c r="D1644" t="s">
        <v>3271</v>
      </c>
      <c r="E1644">
        <v>88</v>
      </c>
      <c r="F1644" t="str">
        <f>IF(E1644&gt;=90,"90-100",IF(E1644&gt;=80,"80-90",IF(E1644&gt;=70,"70-80",IF(E1644&gt;=60,"60-70",IF(E1644&gt;=50,"50-60",IF(E1644&gt;=40,"40-50",IF(E1644&gt;=30,"30-40","20-30")))))))</f>
        <v>80-90</v>
      </c>
      <c r="G1644" t="s">
        <v>103</v>
      </c>
      <c r="H1644" t="s">
        <v>104</v>
      </c>
      <c r="I1644" t="s">
        <v>3272</v>
      </c>
      <c r="J1644" t="s">
        <v>217</v>
      </c>
      <c r="K1644" t="s">
        <v>103</v>
      </c>
      <c r="L1644" t="s">
        <v>3273</v>
      </c>
      <c r="M1644" t="b">
        <v>1</v>
      </c>
      <c r="N1644" t="s">
        <v>42</v>
      </c>
      <c r="O1644" t="s">
        <v>4867</v>
      </c>
      <c r="P1644" t="s">
        <v>146</v>
      </c>
      <c r="Q1644">
        <v>125.08</v>
      </c>
      <c r="R1644">
        <v>2.9</v>
      </c>
      <c r="S1644" t="s">
        <v>106</v>
      </c>
      <c r="T1644">
        <v>50.6</v>
      </c>
      <c r="U1644" t="str">
        <f>IF(T1644&gt;=100,"above 100",IF(T1644&gt;=80,"80-100",IF(T1644&gt;=60,"60-80",IF(T1644&gt;=40,"40-60",IF(T1644&gt;=20,"20-60","0-20")))))</f>
        <v>40-60</v>
      </c>
      <c r="V1644">
        <v>100.2</v>
      </c>
      <c r="W1644">
        <v>77</v>
      </c>
      <c r="X1644">
        <v>9.4</v>
      </c>
      <c r="Y1644">
        <v>59.2</v>
      </c>
      <c r="Z1644">
        <v>1397715000</v>
      </c>
      <c r="AA1644">
        <v>35.861660000000001</v>
      </c>
      <c r="AB1644">
        <v>104.195397</v>
      </c>
    </row>
    <row r="1645" spans="1:28" hidden="1">
      <c r="A1645">
        <v>1575</v>
      </c>
      <c r="B1645">
        <v>1900</v>
      </c>
      <c r="C1645" t="s">
        <v>54</v>
      </c>
      <c r="D1645" t="s">
        <v>3274</v>
      </c>
      <c r="E1645">
        <v>65</v>
      </c>
      <c r="G1645" t="s">
        <v>342</v>
      </c>
      <c r="I1645" t="s">
        <v>3275</v>
      </c>
      <c r="J1645" t="s">
        <v>54</v>
      </c>
      <c r="K1645" t="s">
        <v>263</v>
      </c>
      <c r="M1645" t="b">
        <v>1</v>
      </c>
      <c r="N1645" t="s">
        <v>32</v>
      </c>
      <c r="O1645" t="s">
        <v>33</v>
      </c>
      <c r="Q1645">
        <v>108.15</v>
      </c>
      <c r="R1645">
        <v>0.8</v>
      </c>
      <c r="S1645" t="s">
        <v>532</v>
      </c>
      <c r="T1645">
        <v>63.4</v>
      </c>
      <c r="V1645">
        <v>104.9</v>
      </c>
      <c r="W1645">
        <v>82.8</v>
      </c>
      <c r="X1645">
        <v>23.1</v>
      </c>
      <c r="Y1645">
        <v>25.3</v>
      </c>
      <c r="Z1645">
        <v>9053300</v>
      </c>
      <c r="AA1645">
        <v>31.046050999999999</v>
      </c>
      <c r="AB1645">
        <v>34.851612000000003</v>
      </c>
    </row>
    <row r="1646" spans="1:28" hidden="1">
      <c r="A1646">
        <v>1575</v>
      </c>
      <c r="B1646">
        <v>1900</v>
      </c>
      <c r="C1646" t="s">
        <v>75</v>
      </c>
      <c r="D1646" t="s">
        <v>3276</v>
      </c>
      <c r="E1646">
        <v>68</v>
      </c>
      <c r="G1646" t="s">
        <v>103</v>
      </c>
      <c r="H1646" t="s">
        <v>143</v>
      </c>
      <c r="I1646" t="s">
        <v>3277</v>
      </c>
      <c r="J1646" t="s">
        <v>75</v>
      </c>
      <c r="K1646" t="s">
        <v>103</v>
      </c>
      <c r="M1646" t="b">
        <v>1</v>
      </c>
      <c r="N1646" t="s">
        <v>42</v>
      </c>
      <c r="O1646" t="s">
        <v>33</v>
      </c>
      <c r="Q1646">
        <v>125.08</v>
      </c>
      <c r="R1646">
        <v>2.9</v>
      </c>
      <c r="S1646" t="s">
        <v>106</v>
      </c>
      <c r="T1646">
        <v>50.6</v>
      </c>
      <c r="V1646">
        <v>100.2</v>
      </c>
      <c r="W1646">
        <v>77</v>
      </c>
      <c r="X1646">
        <v>9.4</v>
      </c>
      <c r="Y1646">
        <v>59.2</v>
      </c>
      <c r="Z1646">
        <v>1397715000</v>
      </c>
      <c r="AA1646">
        <v>35.861660000000001</v>
      </c>
      <c r="AB1646">
        <v>104.195397</v>
      </c>
    </row>
    <row r="1647" spans="1:28" hidden="1">
      <c r="A1647">
        <v>1575</v>
      </c>
      <c r="B1647">
        <v>1900</v>
      </c>
      <c r="C1647" t="s">
        <v>217</v>
      </c>
      <c r="D1647" t="s">
        <v>3278</v>
      </c>
      <c r="E1647">
        <v>71</v>
      </c>
      <c r="G1647" t="s">
        <v>38</v>
      </c>
      <c r="H1647" t="s">
        <v>1295</v>
      </c>
      <c r="I1647" t="s">
        <v>287</v>
      </c>
      <c r="J1647" t="s">
        <v>217</v>
      </c>
      <c r="K1647" t="s">
        <v>38</v>
      </c>
      <c r="M1647" t="b">
        <v>0</v>
      </c>
      <c r="N1647" t="s">
        <v>32</v>
      </c>
      <c r="O1647" t="s">
        <v>88</v>
      </c>
      <c r="Q1647">
        <v>117.24</v>
      </c>
      <c r="R1647">
        <v>7.5</v>
      </c>
      <c r="S1647" t="s">
        <v>44</v>
      </c>
      <c r="T1647">
        <v>88.2</v>
      </c>
      <c r="V1647">
        <v>101.8</v>
      </c>
      <c r="W1647">
        <v>78.5</v>
      </c>
      <c r="X1647">
        <v>9.6</v>
      </c>
      <c r="Y1647">
        <v>36.6</v>
      </c>
      <c r="Z1647">
        <v>328239523</v>
      </c>
      <c r="AA1647">
        <v>37.090240000000001</v>
      </c>
      <c r="AB1647">
        <v>-95.712890999999999</v>
      </c>
    </row>
    <row r="1648" spans="1:28" hidden="1">
      <c r="A1648">
        <v>1647</v>
      </c>
      <c r="B1648">
        <v>1800</v>
      </c>
      <c r="C1648" t="s">
        <v>45</v>
      </c>
      <c r="D1648" t="s">
        <v>3279</v>
      </c>
      <c r="E1648">
        <v>43</v>
      </c>
      <c r="G1648" t="s">
        <v>238</v>
      </c>
      <c r="H1648" t="s">
        <v>492</v>
      </c>
      <c r="I1648" t="s">
        <v>572</v>
      </c>
      <c r="J1648" t="s">
        <v>45</v>
      </c>
      <c r="K1648" t="s">
        <v>238</v>
      </c>
      <c r="M1648" t="b">
        <v>1</v>
      </c>
      <c r="N1648" t="s">
        <v>42</v>
      </c>
      <c r="O1648" t="s">
        <v>33</v>
      </c>
      <c r="Q1648">
        <v>119.8</v>
      </c>
      <c r="R1648">
        <v>1.6</v>
      </c>
      <c r="S1648" t="s">
        <v>243</v>
      </c>
      <c r="T1648">
        <v>113.1</v>
      </c>
      <c r="V1648">
        <v>100.3</v>
      </c>
      <c r="W1648">
        <v>82.7</v>
      </c>
      <c r="X1648">
        <v>23</v>
      </c>
      <c r="Y1648">
        <v>47.4</v>
      </c>
      <c r="Z1648">
        <v>25766605</v>
      </c>
      <c r="AA1648">
        <v>-25.274398000000001</v>
      </c>
      <c r="AB1648">
        <v>133.775136</v>
      </c>
    </row>
    <row r="1649" spans="1:28" hidden="1">
      <c r="A1649">
        <v>1647</v>
      </c>
      <c r="B1649">
        <v>1800</v>
      </c>
      <c r="C1649" t="s">
        <v>26</v>
      </c>
      <c r="D1649" t="s">
        <v>3280</v>
      </c>
      <c r="E1649">
        <v>51</v>
      </c>
      <c r="G1649" t="s">
        <v>203</v>
      </c>
      <c r="I1649" t="s">
        <v>2028</v>
      </c>
      <c r="J1649" t="s">
        <v>26</v>
      </c>
      <c r="K1649" t="s">
        <v>203</v>
      </c>
      <c r="M1649" t="b">
        <v>0</v>
      </c>
      <c r="N1649" t="s">
        <v>212</v>
      </c>
      <c r="O1649" t="s">
        <v>33</v>
      </c>
      <c r="Q1649">
        <v>119.62</v>
      </c>
      <c r="R1649">
        <v>1.7</v>
      </c>
      <c r="S1649" t="s">
        <v>206</v>
      </c>
      <c r="T1649">
        <v>60</v>
      </c>
      <c r="V1649">
        <v>101.2</v>
      </c>
      <c r="W1649">
        <v>81.3</v>
      </c>
      <c r="X1649">
        <v>25.5</v>
      </c>
      <c r="Y1649">
        <v>30.6</v>
      </c>
      <c r="Z1649">
        <v>66834405</v>
      </c>
      <c r="AA1649">
        <v>55.378050999999999</v>
      </c>
      <c r="AB1649">
        <v>-3.4359730000000002</v>
      </c>
    </row>
    <row r="1650" spans="1:28" hidden="1">
      <c r="A1650">
        <v>1647</v>
      </c>
      <c r="B1650">
        <v>1800</v>
      </c>
      <c r="C1650" t="s">
        <v>75</v>
      </c>
      <c r="D1650" t="s">
        <v>3281</v>
      </c>
      <c r="E1650">
        <v>75</v>
      </c>
      <c r="G1650" t="s">
        <v>3282</v>
      </c>
      <c r="H1650" t="s">
        <v>3283</v>
      </c>
      <c r="I1650" t="s">
        <v>3284</v>
      </c>
      <c r="J1650" t="s">
        <v>75</v>
      </c>
      <c r="K1650" t="s">
        <v>3282</v>
      </c>
      <c r="M1650" t="b">
        <v>1</v>
      </c>
      <c r="N1650" t="s">
        <v>42</v>
      </c>
      <c r="O1650" t="s">
        <v>33</v>
      </c>
      <c r="Q1650">
        <v>115.38</v>
      </c>
      <c r="R1650">
        <v>-0.7</v>
      </c>
      <c r="S1650" t="s">
        <v>3285</v>
      </c>
      <c r="T1650">
        <v>17.899999999999999</v>
      </c>
      <c r="V1650">
        <v>103.8</v>
      </c>
      <c r="W1650">
        <v>80.099999999999994</v>
      </c>
      <c r="X1650">
        <v>14.7</v>
      </c>
      <c r="Y1650">
        <v>11.3</v>
      </c>
      <c r="Z1650">
        <v>2832067</v>
      </c>
      <c r="AA1650">
        <v>25.354825999999999</v>
      </c>
      <c r="AB1650">
        <v>51.183883999999999</v>
      </c>
    </row>
    <row r="1651" spans="1:28" hidden="1">
      <c r="A1651">
        <v>1647</v>
      </c>
      <c r="B1651">
        <v>1800</v>
      </c>
      <c r="C1651" t="s">
        <v>478</v>
      </c>
      <c r="D1651" t="s">
        <v>3286</v>
      </c>
      <c r="E1651">
        <v>79</v>
      </c>
      <c r="G1651" t="s">
        <v>38</v>
      </c>
      <c r="H1651" t="s">
        <v>581</v>
      </c>
      <c r="I1651" t="s">
        <v>3287</v>
      </c>
      <c r="J1651" t="s">
        <v>478</v>
      </c>
      <c r="K1651" t="s">
        <v>38</v>
      </c>
      <c r="M1651" t="b">
        <v>1</v>
      </c>
      <c r="N1651" t="s">
        <v>419</v>
      </c>
      <c r="O1651" t="s">
        <v>33</v>
      </c>
      <c r="Q1651">
        <v>117.24</v>
      </c>
      <c r="R1651">
        <v>7.5</v>
      </c>
      <c r="S1651" t="s">
        <v>44</v>
      </c>
      <c r="T1651">
        <v>88.2</v>
      </c>
      <c r="V1651">
        <v>101.8</v>
      </c>
      <c r="W1651">
        <v>78.5</v>
      </c>
      <c r="X1651">
        <v>9.6</v>
      </c>
      <c r="Y1651">
        <v>36.6</v>
      </c>
      <c r="Z1651">
        <v>328239523</v>
      </c>
      <c r="AA1651">
        <v>37.090240000000001</v>
      </c>
      <c r="AB1651">
        <v>-95.712890999999999</v>
      </c>
    </row>
    <row r="1652" spans="1:28" hidden="1">
      <c r="A1652">
        <v>1647</v>
      </c>
      <c r="B1652">
        <v>1800</v>
      </c>
      <c r="C1652" t="s">
        <v>221</v>
      </c>
      <c r="D1652" t="s">
        <v>3288</v>
      </c>
      <c r="E1652">
        <v>57</v>
      </c>
      <c r="G1652" t="s">
        <v>198</v>
      </c>
      <c r="H1652" t="s">
        <v>199</v>
      </c>
      <c r="I1652" t="s">
        <v>3289</v>
      </c>
      <c r="J1652" t="s">
        <v>221</v>
      </c>
      <c r="K1652" t="s">
        <v>198</v>
      </c>
      <c r="M1652" t="b">
        <v>1</v>
      </c>
      <c r="N1652" t="s">
        <v>42</v>
      </c>
      <c r="O1652" t="s">
        <v>33</v>
      </c>
      <c r="Q1652">
        <v>105.48</v>
      </c>
      <c r="R1652">
        <v>0.5</v>
      </c>
      <c r="S1652" t="s">
        <v>201</v>
      </c>
      <c r="T1652">
        <v>63.2</v>
      </c>
      <c r="V1652">
        <v>98.8</v>
      </c>
      <c r="W1652">
        <v>84.2</v>
      </c>
      <c r="X1652">
        <v>11.9</v>
      </c>
      <c r="Y1652">
        <v>46.7</v>
      </c>
      <c r="Z1652">
        <v>126226568</v>
      </c>
      <c r="AA1652">
        <v>36.204824000000002</v>
      </c>
      <c r="AB1652">
        <v>138.25292400000001</v>
      </c>
    </row>
    <row r="1653" spans="1:28" hidden="1">
      <c r="A1653">
        <v>1647</v>
      </c>
      <c r="B1653">
        <v>1800</v>
      </c>
      <c r="C1653" t="s">
        <v>26</v>
      </c>
      <c r="D1653" t="s">
        <v>3290</v>
      </c>
      <c r="E1653">
        <v>49</v>
      </c>
      <c r="G1653" t="s">
        <v>164</v>
      </c>
      <c r="H1653" t="s">
        <v>1725</v>
      </c>
      <c r="I1653" t="s">
        <v>2051</v>
      </c>
      <c r="J1653" t="s">
        <v>26</v>
      </c>
      <c r="K1653" t="s">
        <v>164</v>
      </c>
      <c r="M1653" t="b">
        <v>0</v>
      </c>
      <c r="N1653" t="s">
        <v>32</v>
      </c>
      <c r="O1653" t="s">
        <v>88</v>
      </c>
      <c r="Q1653">
        <v>110.62</v>
      </c>
      <c r="R1653">
        <v>0.6</v>
      </c>
      <c r="S1653" t="s">
        <v>539</v>
      </c>
      <c r="T1653">
        <v>61.9</v>
      </c>
      <c r="V1653">
        <v>101.9</v>
      </c>
      <c r="W1653">
        <v>82.9</v>
      </c>
      <c r="X1653">
        <v>24.3</v>
      </c>
      <c r="Y1653">
        <v>59.1</v>
      </c>
      <c r="Z1653">
        <v>60297396</v>
      </c>
      <c r="AA1653">
        <v>41.871940000000002</v>
      </c>
      <c r="AB1653">
        <v>12.56738</v>
      </c>
    </row>
    <row r="1654" spans="1:28" hidden="1">
      <c r="A1654">
        <v>1647</v>
      </c>
      <c r="B1654">
        <v>1800</v>
      </c>
      <c r="C1654" t="s">
        <v>45</v>
      </c>
      <c r="D1654" t="s">
        <v>3291</v>
      </c>
      <c r="E1654">
        <v>59</v>
      </c>
      <c r="G1654" t="s">
        <v>77</v>
      </c>
      <c r="H1654" t="s">
        <v>248</v>
      </c>
      <c r="I1654" t="s">
        <v>3292</v>
      </c>
      <c r="J1654" t="s">
        <v>45</v>
      </c>
      <c r="K1654" t="s">
        <v>77</v>
      </c>
      <c r="M1654" t="b">
        <v>1</v>
      </c>
      <c r="N1654" t="s">
        <v>42</v>
      </c>
      <c r="O1654" t="s">
        <v>33</v>
      </c>
      <c r="Q1654">
        <v>180.44</v>
      </c>
      <c r="R1654">
        <v>7.7</v>
      </c>
      <c r="S1654" t="s">
        <v>81</v>
      </c>
      <c r="T1654">
        <v>28.1</v>
      </c>
      <c r="V1654">
        <v>113</v>
      </c>
      <c r="W1654">
        <v>69.400000000000006</v>
      </c>
      <c r="X1654">
        <v>11.2</v>
      </c>
      <c r="Y1654">
        <v>49.7</v>
      </c>
      <c r="Z1654">
        <v>1366417754</v>
      </c>
      <c r="AA1654">
        <v>20.593684</v>
      </c>
      <c r="AB1654">
        <v>78.962879999999998</v>
      </c>
    </row>
    <row r="1655" spans="1:28" hidden="1">
      <c r="A1655">
        <v>1647</v>
      </c>
      <c r="B1655">
        <v>1800</v>
      </c>
      <c r="C1655" t="s">
        <v>54</v>
      </c>
      <c r="D1655" t="s">
        <v>3293</v>
      </c>
      <c r="E1655">
        <v>58</v>
      </c>
      <c r="G1655" t="s">
        <v>38</v>
      </c>
      <c r="H1655" t="s">
        <v>65</v>
      </c>
      <c r="I1655" t="s">
        <v>185</v>
      </c>
      <c r="J1655" t="s">
        <v>54</v>
      </c>
      <c r="K1655" t="s">
        <v>38</v>
      </c>
      <c r="M1655" t="b">
        <v>1</v>
      </c>
      <c r="N1655" t="s">
        <v>419</v>
      </c>
      <c r="O1655" t="s">
        <v>33</v>
      </c>
      <c r="Q1655">
        <v>117.24</v>
      </c>
      <c r="R1655">
        <v>7.5</v>
      </c>
      <c r="S1655" t="s">
        <v>44</v>
      </c>
      <c r="T1655">
        <v>88.2</v>
      </c>
      <c r="V1655">
        <v>101.8</v>
      </c>
      <c r="W1655">
        <v>78.5</v>
      </c>
      <c r="X1655">
        <v>9.6</v>
      </c>
      <c r="Y1655">
        <v>36.6</v>
      </c>
      <c r="Z1655">
        <v>328239523</v>
      </c>
      <c r="AA1655">
        <v>37.090240000000001</v>
      </c>
      <c r="AB1655">
        <v>-95.712890999999999</v>
      </c>
    </row>
    <row r="1656" spans="1:28" hidden="1">
      <c r="A1656">
        <v>1647</v>
      </c>
      <c r="B1656">
        <v>1800</v>
      </c>
      <c r="C1656" t="s">
        <v>250</v>
      </c>
      <c r="D1656" t="s">
        <v>3294</v>
      </c>
      <c r="E1656">
        <v>78</v>
      </c>
      <c r="G1656" t="s">
        <v>3295</v>
      </c>
      <c r="H1656" t="s">
        <v>3296</v>
      </c>
      <c r="I1656" t="s">
        <v>351</v>
      </c>
      <c r="J1656" t="s">
        <v>250</v>
      </c>
      <c r="K1656" t="s">
        <v>1378</v>
      </c>
      <c r="M1656" t="b">
        <v>0</v>
      </c>
      <c r="N1656" t="s">
        <v>42</v>
      </c>
      <c r="O1656" t="s">
        <v>33</v>
      </c>
      <c r="Q1656">
        <v>202.92</v>
      </c>
      <c r="R1656">
        <v>7.9</v>
      </c>
      <c r="S1656" t="s">
        <v>3297</v>
      </c>
      <c r="T1656">
        <v>63.1</v>
      </c>
      <c r="V1656">
        <v>108.5</v>
      </c>
      <c r="W1656">
        <v>77.8</v>
      </c>
      <c r="X1656">
        <v>20.100000000000001</v>
      </c>
      <c r="Y1656">
        <v>41.8</v>
      </c>
      <c r="Z1656">
        <v>3461734</v>
      </c>
      <c r="AA1656">
        <v>-32.522779</v>
      </c>
      <c r="AB1656">
        <v>-55.765835000000003</v>
      </c>
    </row>
    <row r="1657" spans="1:28" hidden="1">
      <c r="A1657">
        <v>1647</v>
      </c>
      <c r="B1657">
        <v>1800</v>
      </c>
      <c r="C1657" t="s">
        <v>101</v>
      </c>
      <c r="D1657" t="s">
        <v>3298</v>
      </c>
      <c r="E1657">
        <v>74</v>
      </c>
      <c r="G1657" t="s">
        <v>77</v>
      </c>
      <c r="H1657" t="s">
        <v>2709</v>
      </c>
      <c r="I1657" t="s">
        <v>1504</v>
      </c>
      <c r="J1657" t="s">
        <v>101</v>
      </c>
      <c r="K1657" t="s">
        <v>77</v>
      </c>
      <c r="M1657" t="b">
        <v>1</v>
      </c>
      <c r="N1657" t="s">
        <v>42</v>
      </c>
      <c r="O1657" t="s">
        <v>33</v>
      </c>
      <c r="Q1657">
        <v>180.44</v>
      </c>
      <c r="R1657">
        <v>7.7</v>
      </c>
      <c r="S1657" t="s">
        <v>81</v>
      </c>
      <c r="T1657">
        <v>28.1</v>
      </c>
      <c r="V1657">
        <v>113</v>
      </c>
      <c r="W1657">
        <v>69.400000000000006</v>
      </c>
      <c r="X1657">
        <v>11.2</v>
      </c>
      <c r="Y1657">
        <v>49.7</v>
      </c>
      <c r="Z1657">
        <v>1366417754</v>
      </c>
      <c r="AA1657">
        <v>20.593684</v>
      </c>
      <c r="AB1657">
        <v>78.962879999999998</v>
      </c>
    </row>
    <row r="1658" spans="1:28" hidden="1">
      <c r="A1658">
        <v>1647</v>
      </c>
      <c r="B1658">
        <v>1800</v>
      </c>
      <c r="C1658" t="s">
        <v>75</v>
      </c>
      <c r="D1658" t="s">
        <v>3299</v>
      </c>
      <c r="E1658">
        <v>67</v>
      </c>
      <c r="G1658" t="s">
        <v>3300</v>
      </c>
      <c r="H1658" t="s">
        <v>3301</v>
      </c>
      <c r="I1658" t="s">
        <v>75</v>
      </c>
      <c r="J1658" t="s">
        <v>75</v>
      </c>
      <c r="K1658" t="s">
        <v>3300</v>
      </c>
      <c r="M1658" t="b">
        <v>0</v>
      </c>
      <c r="N1658" t="s">
        <v>32</v>
      </c>
      <c r="O1658" t="s">
        <v>33</v>
      </c>
      <c r="Q1658">
        <v>188.73</v>
      </c>
      <c r="R1658">
        <v>5.6</v>
      </c>
      <c r="S1658" t="s">
        <v>3302</v>
      </c>
      <c r="T1658">
        <v>12.4</v>
      </c>
      <c r="V1658">
        <v>142.1</v>
      </c>
      <c r="W1658">
        <v>70.5</v>
      </c>
      <c r="X1658">
        <v>20.7</v>
      </c>
      <c r="Y1658">
        <v>41.8</v>
      </c>
      <c r="Z1658">
        <v>28608710</v>
      </c>
      <c r="AA1658">
        <v>28.394856999999998</v>
      </c>
      <c r="AB1658">
        <v>84.124008000000003</v>
      </c>
    </row>
    <row r="1659" spans="1:28" hidden="1">
      <c r="A1659">
        <v>1647</v>
      </c>
      <c r="B1659">
        <v>1800</v>
      </c>
      <c r="C1659" t="s">
        <v>45</v>
      </c>
      <c r="D1659" t="s">
        <v>3303</v>
      </c>
      <c r="E1659">
        <v>42</v>
      </c>
      <c r="G1659" t="s">
        <v>38</v>
      </c>
      <c r="H1659" t="s">
        <v>652</v>
      </c>
      <c r="I1659" t="s">
        <v>572</v>
      </c>
      <c r="J1659" t="s">
        <v>45</v>
      </c>
      <c r="K1659" t="s">
        <v>38</v>
      </c>
      <c r="M1659" t="b">
        <v>1</v>
      </c>
      <c r="N1659" t="s">
        <v>192</v>
      </c>
      <c r="O1659" t="s">
        <v>33</v>
      </c>
      <c r="Q1659">
        <v>117.24</v>
      </c>
      <c r="R1659">
        <v>7.5</v>
      </c>
      <c r="S1659" t="s">
        <v>44</v>
      </c>
      <c r="T1659">
        <v>88.2</v>
      </c>
      <c r="V1659">
        <v>101.8</v>
      </c>
      <c r="W1659">
        <v>78.5</v>
      </c>
      <c r="X1659">
        <v>9.6</v>
      </c>
      <c r="Y1659">
        <v>36.6</v>
      </c>
      <c r="Z1659">
        <v>328239523</v>
      </c>
      <c r="AA1659">
        <v>37.090240000000001</v>
      </c>
      <c r="AB1659">
        <v>-95.712890999999999</v>
      </c>
    </row>
    <row r="1660" spans="1:28">
      <c r="A1660">
        <v>1647</v>
      </c>
      <c r="B1660">
        <v>1800</v>
      </c>
      <c r="C1660" t="s">
        <v>45</v>
      </c>
      <c r="D1660" t="s">
        <v>3304</v>
      </c>
      <c r="E1660">
        <v>62</v>
      </c>
      <c r="F1660" t="str">
        <f>IF(E1660&gt;=90,"90-100",IF(E1660&gt;=80,"80-90",IF(E1660&gt;=70,"70-80",IF(E1660&gt;=60,"60-70",IF(E1660&gt;=50,"50-60",IF(E1660&gt;=40,"40-50",IF(E1660&gt;=30,"30-40","20-30")))))))</f>
        <v>60-70</v>
      </c>
      <c r="G1660" t="s">
        <v>38</v>
      </c>
      <c r="H1660" t="s">
        <v>3305</v>
      </c>
      <c r="I1660" t="s">
        <v>3306</v>
      </c>
      <c r="J1660" t="s">
        <v>45</v>
      </c>
      <c r="K1660" t="s">
        <v>38</v>
      </c>
      <c r="L1660" t="s">
        <v>3306</v>
      </c>
      <c r="M1660" t="b">
        <v>1</v>
      </c>
      <c r="N1660" t="s">
        <v>42</v>
      </c>
      <c r="O1660" t="s">
        <v>4867</v>
      </c>
      <c r="P1660" t="s">
        <v>43</v>
      </c>
      <c r="Q1660">
        <v>117.24</v>
      </c>
      <c r="R1660">
        <v>7.5</v>
      </c>
      <c r="S1660" t="s">
        <v>44</v>
      </c>
      <c r="T1660">
        <v>88.2</v>
      </c>
      <c r="U1660" t="str">
        <f>IF(T1660&gt;=100,"above 100",IF(T1660&gt;=80,"80-100",IF(T1660&gt;=60,"60-80",IF(T1660&gt;=40,"40-60",IF(T1660&gt;=20,"20-60","0-20")))))</f>
        <v>80-100</v>
      </c>
      <c r="V1660">
        <v>101.8</v>
      </c>
      <c r="W1660">
        <v>78.5</v>
      </c>
      <c r="X1660">
        <v>9.6</v>
      </c>
      <c r="Y1660">
        <v>36.6</v>
      </c>
      <c r="Z1660">
        <v>328239523</v>
      </c>
      <c r="AA1660">
        <v>37.090240000000001</v>
      </c>
      <c r="AB1660">
        <v>-95.712890999999999</v>
      </c>
    </row>
    <row r="1661" spans="1:28" hidden="1">
      <c r="A1661">
        <v>1647</v>
      </c>
      <c r="B1661">
        <v>1800</v>
      </c>
      <c r="C1661" t="s">
        <v>54</v>
      </c>
      <c r="D1661" t="s">
        <v>3307</v>
      </c>
      <c r="E1661">
        <v>62</v>
      </c>
      <c r="G1661" t="s">
        <v>203</v>
      </c>
      <c r="H1661" t="s">
        <v>204</v>
      </c>
      <c r="I1661" t="s">
        <v>1152</v>
      </c>
      <c r="J1661" t="s">
        <v>54</v>
      </c>
      <c r="K1661" t="s">
        <v>203</v>
      </c>
      <c r="M1661" t="b">
        <v>1</v>
      </c>
      <c r="N1661" t="s">
        <v>419</v>
      </c>
      <c r="O1661" t="s">
        <v>33</v>
      </c>
      <c r="Q1661">
        <v>119.62</v>
      </c>
      <c r="R1661">
        <v>1.7</v>
      </c>
      <c r="S1661" t="s">
        <v>206</v>
      </c>
      <c r="T1661">
        <v>60</v>
      </c>
      <c r="V1661">
        <v>101.2</v>
      </c>
      <c r="W1661">
        <v>81.3</v>
      </c>
      <c r="X1661">
        <v>25.5</v>
      </c>
      <c r="Y1661">
        <v>30.6</v>
      </c>
      <c r="Z1661">
        <v>66834405</v>
      </c>
      <c r="AA1661">
        <v>55.378050999999999</v>
      </c>
      <c r="AB1661">
        <v>-3.4359730000000002</v>
      </c>
    </row>
    <row r="1662" spans="1:28" hidden="1">
      <c r="A1662">
        <v>1647</v>
      </c>
      <c r="B1662">
        <v>1800</v>
      </c>
      <c r="C1662" t="s">
        <v>63</v>
      </c>
      <c r="D1662" t="s">
        <v>3308</v>
      </c>
      <c r="E1662">
        <v>68</v>
      </c>
      <c r="G1662" t="s">
        <v>438</v>
      </c>
      <c r="H1662" t="s">
        <v>3309</v>
      </c>
      <c r="I1662" t="s">
        <v>3310</v>
      </c>
      <c r="J1662" t="s">
        <v>63</v>
      </c>
      <c r="K1662" t="s">
        <v>438</v>
      </c>
      <c r="M1662" t="b">
        <v>1</v>
      </c>
      <c r="N1662" t="s">
        <v>419</v>
      </c>
      <c r="O1662" t="s">
        <v>33</v>
      </c>
      <c r="Q1662">
        <v>115.91</v>
      </c>
      <c r="R1662">
        <v>2.6</v>
      </c>
      <c r="S1662" t="s">
        <v>1101</v>
      </c>
      <c r="T1662">
        <v>85</v>
      </c>
      <c r="V1662">
        <v>104.2</v>
      </c>
      <c r="W1662">
        <v>81.8</v>
      </c>
      <c r="X1662">
        <v>23</v>
      </c>
      <c r="Y1662">
        <v>41.2</v>
      </c>
      <c r="Z1662">
        <v>17332850</v>
      </c>
      <c r="AA1662">
        <v>52.132632999999998</v>
      </c>
      <c r="AB1662">
        <v>5.2912660000000002</v>
      </c>
    </row>
    <row r="1663" spans="1:28" hidden="1">
      <c r="A1663">
        <v>1647</v>
      </c>
      <c r="B1663">
        <v>1800</v>
      </c>
      <c r="C1663" t="s">
        <v>469</v>
      </c>
      <c r="D1663" t="s">
        <v>3311</v>
      </c>
      <c r="E1663">
        <v>60</v>
      </c>
      <c r="G1663" t="s">
        <v>95</v>
      </c>
      <c r="H1663" t="s">
        <v>1527</v>
      </c>
      <c r="I1663" t="s">
        <v>1528</v>
      </c>
      <c r="J1663" t="s">
        <v>469</v>
      </c>
      <c r="K1663" t="s">
        <v>95</v>
      </c>
      <c r="M1663" t="b">
        <v>0</v>
      </c>
      <c r="N1663" t="s">
        <v>42</v>
      </c>
      <c r="O1663" t="s">
        <v>33</v>
      </c>
      <c r="Q1663">
        <v>110.96</v>
      </c>
      <c r="R1663">
        <v>0.7</v>
      </c>
      <c r="S1663" t="s">
        <v>98</v>
      </c>
      <c r="T1663">
        <v>88.9</v>
      </c>
      <c r="V1663">
        <v>102.7</v>
      </c>
      <c r="W1663">
        <v>83.3</v>
      </c>
      <c r="X1663">
        <v>14.2</v>
      </c>
      <c r="Y1663">
        <v>47</v>
      </c>
      <c r="Z1663">
        <v>47076781</v>
      </c>
      <c r="AA1663">
        <v>40.463667000000001</v>
      </c>
      <c r="AB1663">
        <v>-3.7492200000000002</v>
      </c>
    </row>
    <row r="1664" spans="1:28" hidden="1">
      <c r="A1664">
        <v>1647</v>
      </c>
      <c r="B1664">
        <v>1800</v>
      </c>
      <c r="C1664" t="s">
        <v>45</v>
      </c>
      <c r="D1664" t="s">
        <v>3312</v>
      </c>
      <c r="E1664">
        <v>59</v>
      </c>
      <c r="G1664" t="s">
        <v>103</v>
      </c>
      <c r="H1664" t="s">
        <v>143</v>
      </c>
      <c r="I1664" t="s">
        <v>572</v>
      </c>
      <c r="J1664" t="s">
        <v>45</v>
      </c>
      <c r="K1664" t="s">
        <v>103</v>
      </c>
      <c r="M1664" t="b">
        <v>1</v>
      </c>
      <c r="N1664" t="s">
        <v>32</v>
      </c>
      <c r="O1664" t="s">
        <v>33</v>
      </c>
      <c r="Q1664">
        <v>125.08</v>
      </c>
      <c r="R1664">
        <v>2.9</v>
      </c>
      <c r="S1664" t="s">
        <v>106</v>
      </c>
      <c r="T1664">
        <v>50.6</v>
      </c>
      <c r="V1664">
        <v>100.2</v>
      </c>
      <c r="W1664">
        <v>77</v>
      </c>
      <c r="X1664">
        <v>9.4</v>
      </c>
      <c r="Y1664">
        <v>59.2</v>
      </c>
      <c r="Z1664">
        <v>1397715000</v>
      </c>
      <c r="AA1664">
        <v>35.861660000000001</v>
      </c>
      <c r="AB1664">
        <v>104.195397</v>
      </c>
    </row>
    <row r="1665" spans="1:28" hidden="1">
      <c r="A1665">
        <v>1647</v>
      </c>
      <c r="B1665">
        <v>1800</v>
      </c>
      <c r="C1665" t="s">
        <v>288</v>
      </c>
      <c r="D1665" t="s">
        <v>3313</v>
      </c>
      <c r="E1665">
        <v>78</v>
      </c>
      <c r="G1665" t="s">
        <v>38</v>
      </c>
      <c r="H1665" t="s">
        <v>2209</v>
      </c>
      <c r="I1665" t="s">
        <v>418</v>
      </c>
      <c r="J1665" t="s">
        <v>288</v>
      </c>
      <c r="K1665" t="s">
        <v>38</v>
      </c>
      <c r="M1665" t="b">
        <v>1</v>
      </c>
      <c r="N1665" t="s">
        <v>42</v>
      </c>
      <c r="O1665" t="s">
        <v>33</v>
      </c>
      <c r="Q1665">
        <v>117.24</v>
      </c>
      <c r="R1665">
        <v>7.5</v>
      </c>
      <c r="S1665" t="s">
        <v>44</v>
      </c>
      <c r="T1665">
        <v>88.2</v>
      </c>
      <c r="V1665">
        <v>101.8</v>
      </c>
      <c r="W1665">
        <v>78.5</v>
      </c>
      <c r="X1665">
        <v>9.6</v>
      </c>
      <c r="Y1665">
        <v>36.6</v>
      </c>
      <c r="Z1665">
        <v>328239523</v>
      </c>
      <c r="AA1665">
        <v>37.090240000000001</v>
      </c>
      <c r="AB1665">
        <v>-95.712890999999999</v>
      </c>
    </row>
    <row r="1666" spans="1:28" hidden="1">
      <c r="A1666">
        <v>1647</v>
      </c>
      <c r="B1666">
        <v>1800</v>
      </c>
      <c r="C1666" t="s">
        <v>478</v>
      </c>
      <c r="D1666" t="s">
        <v>3314</v>
      </c>
      <c r="E1666">
        <v>78</v>
      </c>
      <c r="G1666" t="s">
        <v>38</v>
      </c>
      <c r="H1666" t="s">
        <v>3315</v>
      </c>
      <c r="I1666" t="s">
        <v>3316</v>
      </c>
      <c r="J1666" t="s">
        <v>478</v>
      </c>
      <c r="K1666" t="s">
        <v>38</v>
      </c>
      <c r="M1666" t="b">
        <v>0</v>
      </c>
      <c r="N1666" t="s">
        <v>419</v>
      </c>
      <c r="O1666" t="s">
        <v>33</v>
      </c>
      <c r="Q1666">
        <v>117.24</v>
      </c>
      <c r="R1666">
        <v>7.5</v>
      </c>
      <c r="S1666" t="s">
        <v>44</v>
      </c>
      <c r="T1666">
        <v>88.2</v>
      </c>
      <c r="V1666">
        <v>101.8</v>
      </c>
      <c r="W1666">
        <v>78.5</v>
      </c>
      <c r="X1666">
        <v>9.6</v>
      </c>
      <c r="Y1666">
        <v>36.6</v>
      </c>
      <c r="Z1666">
        <v>328239523</v>
      </c>
      <c r="AA1666">
        <v>37.090240000000001</v>
      </c>
      <c r="AB1666">
        <v>-95.712890999999999</v>
      </c>
    </row>
    <row r="1667" spans="1:28" hidden="1">
      <c r="A1667">
        <v>1647</v>
      </c>
      <c r="B1667">
        <v>1800</v>
      </c>
      <c r="C1667" t="s">
        <v>288</v>
      </c>
      <c r="D1667" t="s">
        <v>3317</v>
      </c>
      <c r="E1667">
        <v>86</v>
      </c>
      <c r="G1667" t="s">
        <v>38</v>
      </c>
      <c r="H1667" t="s">
        <v>789</v>
      </c>
      <c r="I1667" t="s">
        <v>418</v>
      </c>
      <c r="J1667" t="s">
        <v>288</v>
      </c>
      <c r="K1667" t="s">
        <v>38</v>
      </c>
      <c r="M1667" t="b">
        <v>1</v>
      </c>
      <c r="N1667" t="s">
        <v>42</v>
      </c>
      <c r="O1667" t="s">
        <v>33</v>
      </c>
      <c r="Q1667">
        <v>117.24</v>
      </c>
      <c r="R1667">
        <v>7.5</v>
      </c>
      <c r="S1667" t="s">
        <v>44</v>
      </c>
      <c r="T1667">
        <v>88.2</v>
      </c>
      <c r="V1667">
        <v>101.8</v>
      </c>
      <c r="W1667">
        <v>78.5</v>
      </c>
      <c r="X1667">
        <v>9.6</v>
      </c>
      <c r="Y1667">
        <v>36.6</v>
      </c>
      <c r="Z1667">
        <v>328239523</v>
      </c>
      <c r="AA1667">
        <v>37.090240000000001</v>
      </c>
      <c r="AB1667">
        <v>-95.712890999999999</v>
      </c>
    </row>
    <row r="1668" spans="1:28" hidden="1">
      <c r="A1668">
        <v>1647</v>
      </c>
      <c r="B1668">
        <v>1800</v>
      </c>
      <c r="C1668" t="s">
        <v>54</v>
      </c>
      <c r="D1668" t="s">
        <v>3318</v>
      </c>
      <c r="E1668">
        <v>77</v>
      </c>
      <c r="G1668" t="s">
        <v>384</v>
      </c>
      <c r="H1668" t="s">
        <v>562</v>
      </c>
      <c r="I1668" t="s">
        <v>782</v>
      </c>
      <c r="J1668" t="s">
        <v>54</v>
      </c>
      <c r="K1668" t="s">
        <v>384</v>
      </c>
      <c r="M1668" t="b">
        <v>0</v>
      </c>
      <c r="N1668" t="s">
        <v>32</v>
      </c>
      <c r="O1668" t="s">
        <v>33</v>
      </c>
      <c r="Q1668">
        <v>167.4</v>
      </c>
      <c r="R1668">
        <v>3.7</v>
      </c>
      <c r="S1668" t="s">
        <v>563</v>
      </c>
      <c r="T1668">
        <v>51.3</v>
      </c>
      <c r="V1668">
        <v>115.4</v>
      </c>
      <c r="W1668">
        <v>75.7</v>
      </c>
      <c r="X1668">
        <v>14.2</v>
      </c>
      <c r="Y1668">
        <v>65.099999999999994</v>
      </c>
      <c r="Z1668">
        <v>212559417</v>
      </c>
      <c r="AA1668">
        <v>-14.235004</v>
      </c>
      <c r="AB1668">
        <v>-51.925280000000001</v>
      </c>
    </row>
    <row r="1669" spans="1:28">
      <c r="A1669">
        <v>1647</v>
      </c>
      <c r="B1669">
        <v>1800</v>
      </c>
      <c r="C1669" t="s">
        <v>101</v>
      </c>
      <c r="D1669" t="s">
        <v>3319</v>
      </c>
      <c r="E1669">
        <v>80</v>
      </c>
      <c r="F1669" t="str">
        <f>IF(E1669&gt;=90,"90-100",IF(E1669&gt;=80,"80-90",IF(E1669&gt;=70,"70-80",IF(E1669&gt;=60,"60-70",IF(E1669&gt;=50,"50-60",IF(E1669&gt;=40,"40-50",IF(E1669&gt;=30,"30-40","20-30")))))))</f>
        <v>80-90</v>
      </c>
      <c r="G1669" t="s">
        <v>38</v>
      </c>
      <c r="H1669" t="s">
        <v>852</v>
      </c>
      <c r="I1669" t="s">
        <v>3320</v>
      </c>
      <c r="J1669" t="s">
        <v>101</v>
      </c>
      <c r="K1669" t="s">
        <v>38</v>
      </c>
      <c r="L1669" t="s">
        <v>3321</v>
      </c>
      <c r="M1669" t="b">
        <v>0</v>
      </c>
      <c r="N1669" t="s">
        <v>419</v>
      </c>
      <c r="O1669" t="s">
        <v>4867</v>
      </c>
      <c r="P1669" t="s">
        <v>424</v>
      </c>
      <c r="Q1669">
        <v>117.24</v>
      </c>
      <c r="R1669">
        <v>7.5</v>
      </c>
      <c r="S1669" t="s">
        <v>44</v>
      </c>
      <c r="T1669">
        <v>88.2</v>
      </c>
      <c r="U1669" t="str">
        <f>IF(T1669&gt;=100,"above 100",IF(T1669&gt;=80,"80-100",IF(T1669&gt;=60,"60-80",IF(T1669&gt;=40,"40-60",IF(T1669&gt;=20,"20-60","0-20")))))</f>
        <v>80-100</v>
      </c>
      <c r="V1669">
        <v>101.8</v>
      </c>
      <c r="W1669">
        <v>78.5</v>
      </c>
      <c r="X1669">
        <v>9.6</v>
      </c>
      <c r="Y1669">
        <v>36.6</v>
      </c>
      <c r="Z1669">
        <v>328239523</v>
      </c>
      <c r="AA1669">
        <v>37.090240000000001</v>
      </c>
      <c r="AB1669">
        <v>-95.712890999999999</v>
      </c>
    </row>
    <row r="1670" spans="1:28" hidden="1">
      <c r="A1670">
        <v>1647</v>
      </c>
      <c r="B1670">
        <v>1800</v>
      </c>
      <c r="C1670" t="s">
        <v>288</v>
      </c>
      <c r="D1670" t="s">
        <v>3322</v>
      </c>
      <c r="E1670">
        <v>86</v>
      </c>
      <c r="G1670" t="s">
        <v>77</v>
      </c>
      <c r="H1670" t="s">
        <v>78</v>
      </c>
      <c r="I1670" t="s">
        <v>418</v>
      </c>
      <c r="J1670" t="s">
        <v>288</v>
      </c>
      <c r="K1670" t="s">
        <v>77</v>
      </c>
      <c r="M1670" t="b">
        <v>0</v>
      </c>
      <c r="N1670" t="s">
        <v>42</v>
      </c>
      <c r="O1670" t="s">
        <v>33</v>
      </c>
      <c r="Q1670">
        <v>180.44</v>
      </c>
      <c r="R1670">
        <v>7.7</v>
      </c>
      <c r="S1670" t="s">
        <v>81</v>
      </c>
      <c r="T1670">
        <v>28.1</v>
      </c>
      <c r="V1670">
        <v>113</v>
      </c>
      <c r="W1670">
        <v>69.400000000000006</v>
      </c>
      <c r="X1670">
        <v>11.2</v>
      </c>
      <c r="Y1670">
        <v>49.7</v>
      </c>
      <c r="Z1670">
        <v>1366417754</v>
      </c>
      <c r="AA1670">
        <v>20.593684</v>
      </c>
      <c r="AB1670">
        <v>78.962879999999998</v>
      </c>
    </row>
    <row r="1671" spans="1:28">
      <c r="A1671">
        <v>1647</v>
      </c>
      <c r="B1671">
        <v>1800</v>
      </c>
      <c r="C1671" t="s">
        <v>54</v>
      </c>
      <c r="D1671" t="s">
        <v>3323</v>
      </c>
      <c r="E1671">
        <v>58</v>
      </c>
      <c r="F1671" t="str">
        <f>IF(E1671&gt;=90,"90-100",IF(E1671&gt;=80,"80-90",IF(E1671&gt;=70,"70-80",IF(E1671&gt;=60,"60-70",IF(E1671&gt;=50,"50-60",IF(E1671&gt;=40,"40-50",IF(E1671&gt;=30,"30-40","20-30")))))))</f>
        <v>50-60</v>
      </c>
      <c r="G1671" t="s">
        <v>38</v>
      </c>
      <c r="H1671" t="s">
        <v>65</v>
      </c>
      <c r="I1671" t="s">
        <v>185</v>
      </c>
      <c r="J1671" t="s">
        <v>54</v>
      </c>
      <c r="K1671" t="s">
        <v>38</v>
      </c>
      <c r="L1671" t="s">
        <v>3324</v>
      </c>
      <c r="M1671" t="b">
        <v>1</v>
      </c>
      <c r="N1671" t="s">
        <v>419</v>
      </c>
      <c r="O1671" t="s">
        <v>4867</v>
      </c>
      <c r="P1671" t="s">
        <v>468</v>
      </c>
      <c r="Q1671">
        <v>117.24</v>
      </c>
      <c r="R1671">
        <v>7.5</v>
      </c>
      <c r="S1671" t="s">
        <v>44</v>
      </c>
      <c r="T1671">
        <v>88.2</v>
      </c>
      <c r="U1671" t="str">
        <f>IF(T1671&gt;=100,"above 100",IF(T1671&gt;=80,"80-100",IF(T1671&gt;=60,"60-80",IF(T1671&gt;=40,"40-60",IF(T1671&gt;=20,"20-60","0-20")))))</f>
        <v>80-100</v>
      </c>
      <c r="V1671">
        <v>101.8</v>
      </c>
      <c r="W1671">
        <v>78.5</v>
      </c>
      <c r="X1671">
        <v>9.6</v>
      </c>
      <c r="Y1671">
        <v>36.6</v>
      </c>
      <c r="Z1671">
        <v>328239523</v>
      </c>
      <c r="AA1671">
        <v>37.090240000000001</v>
      </c>
      <c r="AB1671">
        <v>-95.712890999999999</v>
      </c>
    </row>
    <row r="1672" spans="1:28" hidden="1">
      <c r="A1672">
        <v>1647</v>
      </c>
      <c r="B1672">
        <v>1800</v>
      </c>
      <c r="C1672" t="s">
        <v>221</v>
      </c>
      <c r="D1672" t="s">
        <v>3325</v>
      </c>
      <c r="E1672">
        <v>63</v>
      </c>
      <c r="G1672" t="s">
        <v>103</v>
      </c>
      <c r="H1672" t="s">
        <v>104</v>
      </c>
      <c r="I1672" t="s">
        <v>223</v>
      </c>
      <c r="J1672" t="s">
        <v>221</v>
      </c>
      <c r="K1672" t="s">
        <v>103</v>
      </c>
      <c r="M1672" t="b">
        <v>1</v>
      </c>
      <c r="N1672" t="s">
        <v>32</v>
      </c>
      <c r="O1672" t="s">
        <v>33</v>
      </c>
      <c r="Q1672">
        <v>125.08</v>
      </c>
      <c r="R1672">
        <v>2.9</v>
      </c>
      <c r="S1672" t="s">
        <v>106</v>
      </c>
      <c r="T1672">
        <v>50.6</v>
      </c>
      <c r="V1672">
        <v>100.2</v>
      </c>
      <c r="W1672">
        <v>77</v>
      </c>
      <c r="X1672">
        <v>9.4</v>
      </c>
      <c r="Y1672">
        <v>59.2</v>
      </c>
      <c r="Z1672">
        <v>1397715000</v>
      </c>
      <c r="AA1672">
        <v>35.861660000000001</v>
      </c>
      <c r="AB1672">
        <v>104.195397</v>
      </c>
    </row>
    <row r="1673" spans="1:28" hidden="1">
      <c r="A1673">
        <v>1647</v>
      </c>
      <c r="B1673">
        <v>1800</v>
      </c>
      <c r="C1673" t="s">
        <v>36</v>
      </c>
      <c r="D1673" t="s">
        <v>3326</v>
      </c>
      <c r="E1673">
        <v>72</v>
      </c>
      <c r="G1673" t="s">
        <v>103</v>
      </c>
      <c r="H1673" t="s">
        <v>215</v>
      </c>
      <c r="I1673" t="s">
        <v>506</v>
      </c>
      <c r="J1673" t="s">
        <v>36</v>
      </c>
      <c r="K1673" t="s">
        <v>103</v>
      </c>
      <c r="M1673" t="b">
        <v>1</v>
      </c>
      <c r="N1673" t="s">
        <v>32</v>
      </c>
      <c r="O1673" t="s">
        <v>33</v>
      </c>
      <c r="Q1673">
        <v>125.08</v>
      </c>
      <c r="R1673">
        <v>2.9</v>
      </c>
      <c r="S1673" t="s">
        <v>106</v>
      </c>
      <c r="T1673">
        <v>50.6</v>
      </c>
      <c r="V1673">
        <v>100.2</v>
      </c>
      <c r="W1673">
        <v>77</v>
      </c>
      <c r="X1673">
        <v>9.4</v>
      </c>
      <c r="Y1673">
        <v>59.2</v>
      </c>
      <c r="Z1673">
        <v>1397715000</v>
      </c>
      <c r="AA1673">
        <v>35.861660000000001</v>
      </c>
      <c r="AB1673">
        <v>104.195397</v>
      </c>
    </row>
    <row r="1674" spans="1:28" hidden="1">
      <c r="A1674">
        <v>1647</v>
      </c>
      <c r="B1674">
        <v>1800</v>
      </c>
      <c r="C1674" t="s">
        <v>288</v>
      </c>
      <c r="D1674" t="s">
        <v>3327</v>
      </c>
      <c r="E1674">
        <v>57</v>
      </c>
      <c r="G1674" t="s">
        <v>103</v>
      </c>
      <c r="H1674" t="s">
        <v>3328</v>
      </c>
      <c r="I1674" t="s">
        <v>418</v>
      </c>
      <c r="J1674" t="s">
        <v>288</v>
      </c>
      <c r="K1674" t="s">
        <v>103</v>
      </c>
      <c r="M1674" t="b">
        <v>1</v>
      </c>
      <c r="N1674" t="s">
        <v>32</v>
      </c>
      <c r="O1674" t="s">
        <v>33</v>
      </c>
      <c r="Q1674">
        <v>125.08</v>
      </c>
      <c r="R1674">
        <v>2.9</v>
      </c>
      <c r="S1674" t="s">
        <v>106</v>
      </c>
      <c r="T1674">
        <v>50.6</v>
      </c>
      <c r="V1674">
        <v>100.2</v>
      </c>
      <c r="W1674">
        <v>77</v>
      </c>
      <c r="X1674">
        <v>9.4</v>
      </c>
      <c r="Y1674">
        <v>59.2</v>
      </c>
      <c r="Z1674">
        <v>1397715000</v>
      </c>
      <c r="AA1674">
        <v>35.861660000000001</v>
      </c>
      <c r="AB1674">
        <v>104.195397</v>
      </c>
    </row>
    <row r="1675" spans="1:28" hidden="1">
      <c r="A1675">
        <v>1647</v>
      </c>
      <c r="B1675">
        <v>1800</v>
      </c>
      <c r="C1675" t="s">
        <v>288</v>
      </c>
      <c r="D1675" t="s">
        <v>3329</v>
      </c>
      <c r="E1675">
        <v>68</v>
      </c>
      <c r="G1675" t="s">
        <v>103</v>
      </c>
      <c r="H1675" t="s">
        <v>143</v>
      </c>
      <c r="I1675" t="s">
        <v>971</v>
      </c>
      <c r="J1675" t="s">
        <v>288</v>
      </c>
      <c r="K1675" t="s">
        <v>103</v>
      </c>
      <c r="M1675" t="b">
        <v>1</v>
      </c>
      <c r="N1675" t="s">
        <v>32</v>
      </c>
      <c r="O1675" t="s">
        <v>33</v>
      </c>
      <c r="Q1675">
        <v>125.08</v>
      </c>
      <c r="R1675">
        <v>2.9</v>
      </c>
      <c r="S1675" t="s">
        <v>106</v>
      </c>
      <c r="T1675">
        <v>50.6</v>
      </c>
      <c r="V1675">
        <v>100.2</v>
      </c>
      <c r="W1675">
        <v>77</v>
      </c>
      <c r="X1675">
        <v>9.4</v>
      </c>
      <c r="Y1675">
        <v>59.2</v>
      </c>
      <c r="Z1675">
        <v>1397715000</v>
      </c>
      <c r="AA1675">
        <v>35.861660000000001</v>
      </c>
      <c r="AB1675">
        <v>104.195397</v>
      </c>
    </row>
    <row r="1676" spans="1:28" hidden="1">
      <c r="A1676">
        <v>1647</v>
      </c>
      <c r="B1676">
        <v>1800</v>
      </c>
      <c r="C1676" t="s">
        <v>45</v>
      </c>
      <c r="D1676" t="s">
        <v>3330</v>
      </c>
      <c r="E1676">
        <v>46</v>
      </c>
      <c r="G1676" t="s">
        <v>467</v>
      </c>
      <c r="H1676" t="s">
        <v>3331</v>
      </c>
      <c r="I1676" t="s">
        <v>572</v>
      </c>
      <c r="J1676" t="s">
        <v>45</v>
      </c>
      <c r="K1676" t="s">
        <v>467</v>
      </c>
      <c r="M1676" t="b">
        <v>1</v>
      </c>
      <c r="N1676" t="s">
        <v>42</v>
      </c>
      <c r="O1676" t="s">
        <v>33</v>
      </c>
      <c r="Q1676">
        <v>102.51</v>
      </c>
      <c r="R1676">
        <v>0.3</v>
      </c>
      <c r="S1676" t="s">
        <v>2607</v>
      </c>
      <c r="T1676">
        <v>75.900000000000006</v>
      </c>
      <c r="V1676">
        <v>99.3</v>
      </c>
      <c r="W1676">
        <v>80.8</v>
      </c>
      <c r="X1676">
        <v>24.5</v>
      </c>
      <c r="Y1676">
        <v>22.4</v>
      </c>
      <c r="Z1676">
        <v>1198575</v>
      </c>
      <c r="AA1676">
        <v>35.126412999999999</v>
      </c>
      <c r="AB1676">
        <v>33.429859</v>
      </c>
    </row>
    <row r="1677" spans="1:28" hidden="1">
      <c r="A1677">
        <v>1647</v>
      </c>
      <c r="B1677">
        <v>1800</v>
      </c>
      <c r="C1677" t="s">
        <v>75</v>
      </c>
      <c r="D1677" t="s">
        <v>3332</v>
      </c>
      <c r="E1677">
        <v>45</v>
      </c>
      <c r="G1677" t="s">
        <v>611</v>
      </c>
      <c r="H1677" t="s">
        <v>612</v>
      </c>
      <c r="I1677" t="s">
        <v>3333</v>
      </c>
      <c r="J1677" t="s">
        <v>75</v>
      </c>
      <c r="K1677" t="s">
        <v>611</v>
      </c>
      <c r="M1677" t="b">
        <v>0</v>
      </c>
      <c r="N1677" t="s">
        <v>32</v>
      </c>
      <c r="O1677" t="s">
        <v>33</v>
      </c>
      <c r="Q1677">
        <v>115.16</v>
      </c>
      <c r="R1677">
        <v>0.4</v>
      </c>
      <c r="S1677" t="s">
        <v>615</v>
      </c>
      <c r="T1677">
        <v>94.3</v>
      </c>
      <c r="V1677">
        <v>98.1</v>
      </c>
      <c r="W1677">
        <v>82.6</v>
      </c>
      <c r="X1677">
        <v>15.6</v>
      </c>
      <c r="Y1677">
        <v>33.200000000000003</v>
      </c>
      <c r="Z1677">
        <v>51709098</v>
      </c>
      <c r="AA1677">
        <v>35.907756999999997</v>
      </c>
      <c r="AB1677">
        <v>127.76692199999999</v>
      </c>
    </row>
    <row r="1678" spans="1:28" hidden="1">
      <c r="A1678">
        <v>1647</v>
      </c>
      <c r="B1678">
        <v>1800</v>
      </c>
      <c r="C1678" t="s">
        <v>45</v>
      </c>
      <c r="D1678" t="s">
        <v>3334</v>
      </c>
      <c r="E1678">
        <v>52</v>
      </c>
      <c r="G1678" t="s">
        <v>38</v>
      </c>
      <c r="H1678" t="s">
        <v>2008</v>
      </c>
      <c r="I1678" t="s">
        <v>1134</v>
      </c>
      <c r="J1678" t="s">
        <v>45</v>
      </c>
      <c r="K1678" t="s">
        <v>38</v>
      </c>
      <c r="M1678" t="b">
        <v>1</v>
      </c>
      <c r="N1678" t="s">
        <v>42</v>
      </c>
      <c r="O1678" t="s">
        <v>33</v>
      </c>
      <c r="Q1678">
        <v>117.24</v>
      </c>
      <c r="R1678">
        <v>7.5</v>
      </c>
      <c r="S1678" t="s">
        <v>44</v>
      </c>
      <c r="T1678">
        <v>88.2</v>
      </c>
      <c r="V1678">
        <v>101.8</v>
      </c>
      <c r="W1678">
        <v>78.5</v>
      </c>
      <c r="X1678">
        <v>9.6</v>
      </c>
      <c r="Y1678">
        <v>36.6</v>
      </c>
      <c r="Z1678">
        <v>328239523</v>
      </c>
      <c r="AA1678">
        <v>37.090240000000001</v>
      </c>
      <c r="AB1678">
        <v>-95.712890999999999</v>
      </c>
    </row>
    <row r="1679" spans="1:28" hidden="1">
      <c r="A1679">
        <v>1647</v>
      </c>
      <c r="B1679">
        <v>1800</v>
      </c>
      <c r="C1679" t="s">
        <v>478</v>
      </c>
      <c r="D1679" t="s">
        <v>3335</v>
      </c>
      <c r="E1679">
        <v>67</v>
      </c>
      <c r="G1679" t="s">
        <v>38</v>
      </c>
      <c r="H1679" t="s">
        <v>403</v>
      </c>
      <c r="I1679" t="s">
        <v>3336</v>
      </c>
      <c r="J1679" t="s">
        <v>478</v>
      </c>
      <c r="K1679" t="s">
        <v>38</v>
      </c>
      <c r="M1679" t="b">
        <v>1</v>
      </c>
      <c r="N1679" t="s">
        <v>32</v>
      </c>
      <c r="O1679" t="s">
        <v>33</v>
      </c>
      <c r="Q1679">
        <v>117.24</v>
      </c>
      <c r="R1679">
        <v>7.5</v>
      </c>
      <c r="S1679" t="s">
        <v>44</v>
      </c>
      <c r="T1679">
        <v>88.2</v>
      </c>
      <c r="V1679">
        <v>101.8</v>
      </c>
      <c r="W1679">
        <v>78.5</v>
      </c>
      <c r="X1679">
        <v>9.6</v>
      </c>
      <c r="Y1679">
        <v>36.6</v>
      </c>
      <c r="Z1679">
        <v>328239523</v>
      </c>
      <c r="AA1679">
        <v>37.090240000000001</v>
      </c>
      <c r="AB1679">
        <v>-95.712890999999999</v>
      </c>
    </row>
    <row r="1680" spans="1:28" hidden="1">
      <c r="A1680">
        <v>1647</v>
      </c>
      <c r="B1680">
        <v>1800</v>
      </c>
      <c r="C1680" t="s">
        <v>45</v>
      </c>
      <c r="D1680" t="s">
        <v>3337</v>
      </c>
      <c r="E1680">
        <v>33</v>
      </c>
      <c r="G1680" t="s">
        <v>38</v>
      </c>
      <c r="H1680" t="s">
        <v>3338</v>
      </c>
      <c r="I1680" t="s">
        <v>3339</v>
      </c>
      <c r="J1680" t="s">
        <v>45</v>
      </c>
      <c r="K1680" t="s">
        <v>38</v>
      </c>
      <c r="M1680" t="b">
        <v>1</v>
      </c>
      <c r="N1680" t="s">
        <v>42</v>
      </c>
      <c r="O1680" t="s">
        <v>33</v>
      </c>
      <c r="Q1680">
        <v>117.24</v>
      </c>
      <c r="R1680">
        <v>7.5</v>
      </c>
      <c r="S1680" t="s">
        <v>44</v>
      </c>
      <c r="T1680">
        <v>88.2</v>
      </c>
      <c r="V1680">
        <v>101.8</v>
      </c>
      <c r="W1680">
        <v>78.5</v>
      </c>
      <c r="X1680">
        <v>9.6</v>
      </c>
      <c r="Y1680">
        <v>36.6</v>
      </c>
      <c r="Z1680">
        <v>328239523</v>
      </c>
      <c r="AA1680">
        <v>37.090240000000001</v>
      </c>
      <c r="AB1680">
        <v>-95.712890999999999</v>
      </c>
    </row>
    <row r="1681" spans="1:28" hidden="1">
      <c r="A1681">
        <v>1647</v>
      </c>
      <c r="B1681">
        <v>1800</v>
      </c>
      <c r="C1681" t="s">
        <v>75</v>
      </c>
      <c r="D1681" t="s">
        <v>3340</v>
      </c>
      <c r="E1681">
        <v>43</v>
      </c>
      <c r="G1681" t="s">
        <v>397</v>
      </c>
      <c r="H1681" t="s">
        <v>398</v>
      </c>
      <c r="I1681" t="s">
        <v>231</v>
      </c>
      <c r="J1681" t="s">
        <v>75</v>
      </c>
      <c r="K1681" t="s">
        <v>397</v>
      </c>
      <c r="M1681" t="b">
        <v>0</v>
      </c>
      <c r="N1681" t="s">
        <v>32</v>
      </c>
      <c r="O1681" t="s">
        <v>88</v>
      </c>
      <c r="Q1681">
        <v>110.51</v>
      </c>
      <c r="R1681">
        <v>1.8</v>
      </c>
      <c r="S1681" t="s">
        <v>401</v>
      </c>
      <c r="T1681">
        <v>67</v>
      </c>
      <c r="V1681">
        <v>126.6</v>
      </c>
      <c r="W1681">
        <v>82.5</v>
      </c>
      <c r="X1681">
        <v>27.9</v>
      </c>
      <c r="Y1681">
        <v>49.1</v>
      </c>
      <c r="Z1681">
        <v>10285453</v>
      </c>
      <c r="AA1681">
        <v>60.128160999999999</v>
      </c>
      <c r="AB1681">
        <v>18.643501000000001</v>
      </c>
    </row>
    <row r="1682" spans="1:28" hidden="1">
      <c r="A1682">
        <v>1647</v>
      </c>
      <c r="B1682">
        <v>1800</v>
      </c>
      <c r="C1682" t="s">
        <v>236</v>
      </c>
      <c r="D1682" t="s">
        <v>3341</v>
      </c>
      <c r="E1682">
        <v>47</v>
      </c>
      <c r="G1682" t="s">
        <v>103</v>
      </c>
      <c r="H1682" t="s">
        <v>3342</v>
      </c>
      <c r="I1682" t="s">
        <v>240</v>
      </c>
      <c r="J1682" t="s">
        <v>236</v>
      </c>
      <c r="K1682" t="s">
        <v>103</v>
      </c>
      <c r="M1682" t="b">
        <v>1</v>
      </c>
      <c r="N1682" t="s">
        <v>42</v>
      </c>
      <c r="O1682" t="s">
        <v>33</v>
      </c>
      <c r="Q1682">
        <v>125.08</v>
      </c>
      <c r="R1682">
        <v>2.9</v>
      </c>
      <c r="S1682" t="s">
        <v>106</v>
      </c>
      <c r="T1682">
        <v>50.6</v>
      </c>
      <c r="V1682">
        <v>100.2</v>
      </c>
      <c r="W1682">
        <v>77</v>
      </c>
      <c r="X1682">
        <v>9.4</v>
      </c>
      <c r="Y1682">
        <v>59.2</v>
      </c>
      <c r="Z1682">
        <v>1397715000</v>
      </c>
      <c r="AA1682">
        <v>35.861660000000001</v>
      </c>
      <c r="AB1682">
        <v>104.195397</v>
      </c>
    </row>
    <row r="1683" spans="1:28" hidden="1">
      <c r="A1683">
        <v>1647</v>
      </c>
      <c r="B1683">
        <v>1800</v>
      </c>
      <c r="C1683" t="s">
        <v>63</v>
      </c>
      <c r="D1683" t="s">
        <v>3343</v>
      </c>
      <c r="E1683">
        <v>69</v>
      </c>
      <c r="G1683" t="s">
        <v>384</v>
      </c>
      <c r="H1683" t="s">
        <v>1650</v>
      </c>
      <c r="I1683" t="s">
        <v>129</v>
      </c>
      <c r="J1683" t="s">
        <v>63</v>
      </c>
      <c r="K1683" t="s">
        <v>384</v>
      </c>
      <c r="M1683" t="b">
        <v>0</v>
      </c>
      <c r="N1683" t="s">
        <v>42</v>
      </c>
      <c r="O1683" t="s">
        <v>33</v>
      </c>
      <c r="Q1683">
        <v>167.4</v>
      </c>
      <c r="R1683">
        <v>3.7</v>
      </c>
      <c r="S1683" t="s">
        <v>563</v>
      </c>
      <c r="T1683">
        <v>51.3</v>
      </c>
      <c r="V1683">
        <v>115.4</v>
      </c>
      <c r="W1683">
        <v>75.7</v>
      </c>
      <c r="X1683">
        <v>14.2</v>
      </c>
      <c r="Y1683">
        <v>65.099999999999994</v>
      </c>
      <c r="Z1683">
        <v>212559417</v>
      </c>
      <c r="AA1683">
        <v>-14.235004</v>
      </c>
      <c r="AB1683">
        <v>-51.925280000000001</v>
      </c>
    </row>
    <row r="1684" spans="1:28" hidden="1">
      <c r="A1684">
        <v>1647</v>
      </c>
      <c r="B1684">
        <v>1800</v>
      </c>
      <c r="C1684" t="s">
        <v>63</v>
      </c>
      <c r="D1684" t="s">
        <v>3344</v>
      </c>
      <c r="E1684">
        <v>67</v>
      </c>
      <c r="G1684" t="s">
        <v>384</v>
      </c>
      <c r="H1684" t="s">
        <v>1650</v>
      </c>
      <c r="I1684" t="s">
        <v>129</v>
      </c>
      <c r="J1684" t="s">
        <v>63</v>
      </c>
      <c r="K1684" t="s">
        <v>384</v>
      </c>
      <c r="M1684" t="b">
        <v>0</v>
      </c>
      <c r="N1684" t="s">
        <v>42</v>
      </c>
      <c r="O1684" t="s">
        <v>33</v>
      </c>
      <c r="Q1684">
        <v>167.4</v>
      </c>
      <c r="R1684">
        <v>3.7</v>
      </c>
      <c r="S1684" t="s">
        <v>563</v>
      </c>
      <c r="T1684">
        <v>51.3</v>
      </c>
      <c r="V1684">
        <v>115.4</v>
      </c>
      <c r="W1684">
        <v>75.7</v>
      </c>
      <c r="X1684">
        <v>14.2</v>
      </c>
      <c r="Y1684">
        <v>65.099999999999994</v>
      </c>
      <c r="Z1684">
        <v>212559417</v>
      </c>
      <c r="AA1684">
        <v>-14.235004</v>
      </c>
      <c r="AB1684">
        <v>-51.925280000000001</v>
      </c>
    </row>
    <row r="1685" spans="1:28" hidden="1">
      <c r="A1685">
        <v>1647</v>
      </c>
      <c r="B1685">
        <v>1800</v>
      </c>
      <c r="C1685" t="s">
        <v>63</v>
      </c>
      <c r="D1685" t="s">
        <v>3345</v>
      </c>
      <c r="E1685">
        <v>75</v>
      </c>
      <c r="G1685" t="s">
        <v>384</v>
      </c>
      <c r="H1685" t="s">
        <v>1650</v>
      </c>
      <c r="I1685" t="s">
        <v>129</v>
      </c>
      <c r="J1685" t="s">
        <v>63</v>
      </c>
      <c r="K1685" t="s">
        <v>384</v>
      </c>
      <c r="M1685" t="b">
        <v>0</v>
      </c>
      <c r="N1685" t="s">
        <v>42</v>
      </c>
      <c r="O1685" t="s">
        <v>33</v>
      </c>
      <c r="Q1685">
        <v>167.4</v>
      </c>
      <c r="R1685">
        <v>3.7</v>
      </c>
      <c r="S1685" t="s">
        <v>563</v>
      </c>
      <c r="T1685">
        <v>51.3</v>
      </c>
      <c r="V1685">
        <v>115.4</v>
      </c>
      <c r="W1685">
        <v>75.7</v>
      </c>
      <c r="X1685">
        <v>14.2</v>
      </c>
      <c r="Y1685">
        <v>65.099999999999994</v>
      </c>
      <c r="Z1685">
        <v>212559417</v>
      </c>
      <c r="AA1685">
        <v>-14.235004</v>
      </c>
      <c r="AB1685">
        <v>-51.925280000000001</v>
      </c>
    </row>
    <row r="1686" spans="1:28" hidden="1">
      <c r="A1686">
        <v>1647</v>
      </c>
      <c r="B1686">
        <v>1800</v>
      </c>
      <c r="C1686" t="s">
        <v>288</v>
      </c>
      <c r="D1686" t="s">
        <v>3346</v>
      </c>
      <c r="E1686">
        <v>74</v>
      </c>
      <c r="G1686" t="s">
        <v>38</v>
      </c>
      <c r="H1686" t="s">
        <v>635</v>
      </c>
      <c r="I1686" t="s">
        <v>3347</v>
      </c>
      <c r="J1686" t="s">
        <v>288</v>
      </c>
      <c r="K1686" t="s">
        <v>38</v>
      </c>
      <c r="M1686" t="b">
        <v>1</v>
      </c>
      <c r="N1686" t="s">
        <v>419</v>
      </c>
      <c r="O1686" t="s">
        <v>33</v>
      </c>
      <c r="Q1686">
        <v>117.24</v>
      </c>
      <c r="R1686">
        <v>7.5</v>
      </c>
      <c r="S1686" t="s">
        <v>44</v>
      </c>
      <c r="T1686">
        <v>88.2</v>
      </c>
      <c r="V1686">
        <v>101.8</v>
      </c>
      <c r="W1686">
        <v>78.5</v>
      </c>
      <c r="X1686">
        <v>9.6</v>
      </c>
      <c r="Y1686">
        <v>36.6</v>
      </c>
      <c r="Z1686">
        <v>328239523</v>
      </c>
      <c r="AA1686">
        <v>37.090240000000001</v>
      </c>
      <c r="AB1686">
        <v>-95.712890999999999</v>
      </c>
    </row>
    <row r="1687" spans="1:28">
      <c r="A1687">
        <v>1647</v>
      </c>
      <c r="B1687">
        <v>1800</v>
      </c>
      <c r="C1687" t="s">
        <v>45</v>
      </c>
      <c r="D1687" t="s">
        <v>3348</v>
      </c>
      <c r="E1687">
        <v>77</v>
      </c>
      <c r="F1687" t="str">
        <f>IF(E1687&gt;=90,"90-100",IF(E1687&gt;=80,"80-90",IF(E1687&gt;=70,"70-80",IF(E1687&gt;=60,"60-70",IF(E1687&gt;=50,"50-60",IF(E1687&gt;=40,"40-50",IF(E1687&gt;=30,"30-40","20-30")))))))</f>
        <v>70-80</v>
      </c>
      <c r="G1687" t="s">
        <v>127</v>
      </c>
      <c r="H1687" t="s">
        <v>1129</v>
      </c>
      <c r="I1687" t="s">
        <v>893</v>
      </c>
      <c r="J1687" t="s">
        <v>45</v>
      </c>
      <c r="K1687" t="s">
        <v>127</v>
      </c>
      <c r="L1687" t="s">
        <v>3349</v>
      </c>
      <c r="M1687" t="b">
        <v>1</v>
      </c>
      <c r="N1687" t="s">
        <v>419</v>
      </c>
      <c r="O1687" t="s">
        <v>4867</v>
      </c>
      <c r="P1687" t="s">
        <v>146</v>
      </c>
      <c r="Q1687">
        <v>116.76</v>
      </c>
      <c r="R1687">
        <v>1.9</v>
      </c>
      <c r="S1687" t="s">
        <v>132</v>
      </c>
      <c r="T1687">
        <v>68.900000000000006</v>
      </c>
      <c r="U1687" t="str">
        <f>IF(T1687&gt;=100,"above 100",IF(T1687&gt;=80,"80-100",IF(T1687&gt;=60,"60-80",IF(T1687&gt;=40,"40-60",IF(T1687&gt;=20,"20-60","0-20")))))</f>
        <v>60-80</v>
      </c>
      <c r="V1687">
        <v>100.9</v>
      </c>
      <c r="W1687">
        <v>81.900000000000006</v>
      </c>
      <c r="X1687">
        <v>12.8</v>
      </c>
      <c r="Y1687">
        <v>24.5</v>
      </c>
      <c r="Z1687">
        <v>36991981</v>
      </c>
      <c r="AA1687">
        <v>56.130366000000002</v>
      </c>
      <c r="AB1687">
        <v>-106.346771</v>
      </c>
    </row>
    <row r="1688" spans="1:28" hidden="1">
      <c r="A1688">
        <v>1647</v>
      </c>
      <c r="B1688">
        <v>1800</v>
      </c>
      <c r="C1688" t="s">
        <v>221</v>
      </c>
      <c r="D1688" t="s">
        <v>3350</v>
      </c>
      <c r="E1688">
        <v>51</v>
      </c>
      <c r="G1688" t="s">
        <v>397</v>
      </c>
      <c r="H1688" t="s">
        <v>398</v>
      </c>
      <c r="I1688" t="s">
        <v>223</v>
      </c>
      <c r="J1688" t="s">
        <v>221</v>
      </c>
      <c r="K1688" t="s">
        <v>397</v>
      </c>
      <c r="M1688" t="b">
        <v>1</v>
      </c>
      <c r="N1688" t="s">
        <v>42</v>
      </c>
      <c r="O1688" t="s">
        <v>33</v>
      </c>
      <c r="Q1688">
        <v>110.51</v>
      </c>
      <c r="R1688">
        <v>1.8</v>
      </c>
      <c r="S1688" t="s">
        <v>401</v>
      </c>
      <c r="T1688">
        <v>67</v>
      </c>
      <c r="V1688">
        <v>126.6</v>
      </c>
      <c r="W1688">
        <v>82.5</v>
      </c>
      <c r="X1688">
        <v>27.9</v>
      </c>
      <c r="Y1688">
        <v>49.1</v>
      </c>
      <c r="Z1688">
        <v>10285453</v>
      </c>
      <c r="AA1688">
        <v>60.128160999999999</v>
      </c>
      <c r="AB1688">
        <v>18.643501000000001</v>
      </c>
    </row>
    <row r="1689" spans="1:28" hidden="1">
      <c r="A1689">
        <v>1647</v>
      </c>
      <c r="B1689">
        <v>1800</v>
      </c>
      <c r="C1689" t="s">
        <v>45</v>
      </c>
      <c r="D1689" t="s">
        <v>3351</v>
      </c>
      <c r="E1689">
        <v>39</v>
      </c>
      <c r="G1689" t="s">
        <v>438</v>
      </c>
      <c r="H1689" t="s">
        <v>1099</v>
      </c>
      <c r="I1689" t="s">
        <v>909</v>
      </c>
      <c r="J1689" t="s">
        <v>45</v>
      </c>
      <c r="K1689" t="s">
        <v>438</v>
      </c>
      <c r="M1689" t="b">
        <v>1</v>
      </c>
      <c r="N1689" t="s">
        <v>192</v>
      </c>
      <c r="O1689" t="s">
        <v>33</v>
      </c>
      <c r="Q1689">
        <v>115.91</v>
      </c>
      <c r="R1689">
        <v>2.6</v>
      </c>
      <c r="S1689" t="s">
        <v>1101</v>
      </c>
      <c r="T1689">
        <v>85</v>
      </c>
      <c r="V1689">
        <v>104.2</v>
      </c>
      <c r="W1689">
        <v>81.8</v>
      </c>
      <c r="X1689">
        <v>23</v>
      </c>
      <c r="Y1689">
        <v>41.2</v>
      </c>
      <c r="Z1689">
        <v>17332850</v>
      </c>
      <c r="AA1689">
        <v>52.132632999999998</v>
      </c>
      <c r="AB1689">
        <v>5.2912660000000002</v>
      </c>
    </row>
    <row r="1690" spans="1:28" hidden="1">
      <c r="A1690">
        <v>1647</v>
      </c>
      <c r="B1690">
        <v>1800</v>
      </c>
      <c r="C1690" t="s">
        <v>221</v>
      </c>
      <c r="D1690" t="s">
        <v>3352</v>
      </c>
      <c r="E1690">
        <v>78</v>
      </c>
      <c r="G1690" t="s">
        <v>77</v>
      </c>
      <c r="H1690" t="s">
        <v>78</v>
      </c>
      <c r="I1690" t="s">
        <v>223</v>
      </c>
      <c r="J1690" t="s">
        <v>221</v>
      </c>
      <c r="K1690" t="s">
        <v>77</v>
      </c>
      <c r="M1690" t="b">
        <v>1</v>
      </c>
      <c r="N1690" t="s">
        <v>32</v>
      </c>
      <c r="O1690" t="s">
        <v>33</v>
      </c>
      <c r="Q1690">
        <v>180.44</v>
      </c>
      <c r="R1690">
        <v>7.7</v>
      </c>
      <c r="S1690" t="s">
        <v>81</v>
      </c>
      <c r="T1690">
        <v>28.1</v>
      </c>
      <c r="V1690">
        <v>113</v>
      </c>
      <c r="W1690">
        <v>69.400000000000006</v>
      </c>
      <c r="X1690">
        <v>11.2</v>
      </c>
      <c r="Y1690">
        <v>49.7</v>
      </c>
      <c r="Z1690">
        <v>1366417754</v>
      </c>
      <c r="AA1690">
        <v>20.593684</v>
      </c>
      <c r="AB1690">
        <v>78.962879999999998</v>
      </c>
    </row>
    <row r="1691" spans="1:28" hidden="1">
      <c r="A1691">
        <v>1647</v>
      </c>
      <c r="B1691">
        <v>1800</v>
      </c>
      <c r="C1691" t="s">
        <v>54</v>
      </c>
      <c r="D1691" t="s">
        <v>3353</v>
      </c>
      <c r="E1691">
        <v>77</v>
      </c>
      <c r="G1691" t="s">
        <v>339</v>
      </c>
      <c r="H1691" t="s">
        <v>340</v>
      </c>
      <c r="I1691" t="s">
        <v>3354</v>
      </c>
      <c r="J1691" t="s">
        <v>54</v>
      </c>
      <c r="K1691" t="s">
        <v>339</v>
      </c>
      <c r="M1691" t="b">
        <v>0</v>
      </c>
      <c r="N1691" t="s">
        <v>32</v>
      </c>
      <c r="O1691" t="s">
        <v>33</v>
      </c>
      <c r="P1691" t="s">
        <v>468</v>
      </c>
      <c r="S1691" t="s">
        <v>343</v>
      </c>
      <c r="Z1691">
        <v>38964</v>
      </c>
      <c r="AA1691">
        <v>43.738417599999998</v>
      </c>
      <c r="AB1691">
        <v>7.4246157999999998</v>
      </c>
    </row>
    <row r="1692" spans="1:28" hidden="1">
      <c r="A1692">
        <v>1647</v>
      </c>
      <c r="B1692">
        <v>1800</v>
      </c>
      <c r="C1692" t="s">
        <v>217</v>
      </c>
      <c r="D1692" t="s">
        <v>3355</v>
      </c>
      <c r="E1692">
        <v>70</v>
      </c>
      <c r="G1692" t="s">
        <v>77</v>
      </c>
      <c r="H1692" t="s">
        <v>3356</v>
      </c>
      <c r="I1692" t="s">
        <v>3357</v>
      </c>
      <c r="J1692" t="s">
        <v>217</v>
      </c>
      <c r="K1692" t="s">
        <v>77</v>
      </c>
      <c r="M1692" t="b">
        <v>1</v>
      </c>
      <c r="N1692" t="s">
        <v>32</v>
      </c>
      <c r="O1692" t="s">
        <v>33</v>
      </c>
      <c r="Q1692">
        <v>180.44</v>
      </c>
      <c r="R1692">
        <v>7.7</v>
      </c>
      <c r="S1692" t="s">
        <v>81</v>
      </c>
      <c r="T1692">
        <v>28.1</v>
      </c>
      <c r="V1692">
        <v>113</v>
      </c>
      <c r="W1692">
        <v>69.400000000000006</v>
      </c>
      <c r="X1692">
        <v>11.2</v>
      </c>
      <c r="Y1692">
        <v>49.7</v>
      </c>
      <c r="Z1692">
        <v>1366417754</v>
      </c>
      <c r="AA1692">
        <v>20.593684</v>
      </c>
      <c r="AB1692">
        <v>78.962879999999998</v>
      </c>
    </row>
    <row r="1693" spans="1:28" hidden="1">
      <c r="A1693">
        <v>1647</v>
      </c>
      <c r="B1693">
        <v>1800</v>
      </c>
      <c r="C1693" t="s">
        <v>101</v>
      </c>
      <c r="D1693" t="s">
        <v>3358</v>
      </c>
      <c r="I1693" t="s">
        <v>2453</v>
      </c>
      <c r="J1693" t="s">
        <v>101</v>
      </c>
      <c r="K1693" t="s">
        <v>148</v>
      </c>
      <c r="M1693" t="b">
        <v>0</v>
      </c>
      <c r="N1693" t="s">
        <v>212</v>
      </c>
      <c r="O1693" t="s">
        <v>88</v>
      </c>
    </row>
    <row r="1694" spans="1:28" hidden="1">
      <c r="A1694">
        <v>1647</v>
      </c>
      <c r="B1694">
        <v>1800</v>
      </c>
      <c r="C1694" t="s">
        <v>75</v>
      </c>
      <c r="D1694" t="s">
        <v>3359</v>
      </c>
      <c r="E1694">
        <v>72</v>
      </c>
      <c r="G1694" t="s">
        <v>1267</v>
      </c>
      <c r="H1694" t="s">
        <v>2763</v>
      </c>
      <c r="I1694" t="s">
        <v>75</v>
      </c>
      <c r="J1694" t="s">
        <v>75</v>
      </c>
      <c r="K1694" t="s">
        <v>1267</v>
      </c>
      <c r="M1694" t="b">
        <v>1</v>
      </c>
      <c r="N1694" t="s">
        <v>42</v>
      </c>
      <c r="O1694" t="s">
        <v>33</v>
      </c>
      <c r="Q1694">
        <v>234.44</v>
      </c>
      <c r="R1694">
        <v>15.2</v>
      </c>
      <c r="S1694" t="s">
        <v>1270</v>
      </c>
      <c r="T1694">
        <v>23.9</v>
      </c>
      <c r="V1694">
        <v>93.2</v>
      </c>
      <c r="W1694">
        <v>77.400000000000006</v>
      </c>
      <c r="X1694">
        <v>17.899999999999999</v>
      </c>
      <c r="Y1694">
        <v>42.3</v>
      </c>
      <c r="Z1694">
        <v>83429615</v>
      </c>
      <c r="AA1694">
        <v>38.963745000000003</v>
      </c>
      <c r="AB1694">
        <v>35.243321999999999</v>
      </c>
    </row>
    <row r="1695" spans="1:28" hidden="1">
      <c r="A1695">
        <v>1647</v>
      </c>
      <c r="B1695">
        <v>1800</v>
      </c>
      <c r="C1695" t="s">
        <v>45</v>
      </c>
      <c r="D1695" t="s">
        <v>3360</v>
      </c>
      <c r="E1695">
        <v>53</v>
      </c>
      <c r="G1695" t="s">
        <v>103</v>
      </c>
      <c r="H1695" t="s">
        <v>176</v>
      </c>
      <c r="I1695" t="s">
        <v>897</v>
      </c>
      <c r="J1695" t="s">
        <v>45</v>
      </c>
      <c r="K1695" t="s">
        <v>103</v>
      </c>
      <c r="M1695" t="b">
        <v>1</v>
      </c>
      <c r="N1695" t="s">
        <v>42</v>
      </c>
      <c r="O1695" t="s">
        <v>33</v>
      </c>
      <c r="Q1695">
        <v>125.08</v>
      </c>
      <c r="R1695">
        <v>2.9</v>
      </c>
      <c r="S1695" t="s">
        <v>106</v>
      </c>
      <c r="T1695">
        <v>50.6</v>
      </c>
      <c r="V1695">
        <v>100.2</v>
      </c>
      <c r="W1695">
        <v>77</v>
      </c>
      <c r="X1695">
        <v>9.4</v>
      </c>
      <c r="Y1695">
        <v>59.2</v>
      </c>
      <c r="Z1695">
        <v>1397715000</v>
      </c>
      <c r="AA1695">
        <v>35.861660000000001</v>
      </c>
      <c r="AB1695">
        <v>104.195397</v>
      </c>
    </row>
    <row r="1696" spans="1:28" hidden="1">
      <c r="A1696">
        <v>1647</v>
      </c>
      <c r="B1696">
        <v>1800</v>
      </c>
      <c r="C1696" t="s">
        <v>63</v>
      </c>
      <c r="D1696" t="s">
        <v>3361</v>
      </c>
      <c r="E1696">
        <v>61</v>
      </c>
      <c r="G1696" t="s">
        <v>127</v>
      </c>
      <c r="H1696" t="s">
        <v>1129</v>
      </c>
      <c r="I1696" t="s">
        <v>129</v>
      </c>
      <c r="J1696" t="s">
        <v>63</v>
      </c>
      <c r="K1696" t="s">
        <v>127</v>
      </c>
      <c r="M1696" t="b">
        <v>0</v>
      </c>
      <c r="N1696" t="s">
        <v>419</v>
      </c>
      <c r="O1696" t="s">
        <v>33</v>
      </c>
      <c r="Q1696">
        <v>116.76</v>
      </c>
      <c r="R1696">
        <v>1.9</v>
      </c>
      <c r="S1696" t="s">
        <v>132</v>
      </c>
      <c r="T1696">
        <v>68.900000000000006</v>
      </c>
      <c r="V1696">
        <v>100.9</v>
      </c>
      <c r="W1696">
        <v>81.900000000000006</v>
      </c>
      <c r="X1696">
        <v>12.8</v>
      </c>
      <c r="Y1696">
        <v>24.5</v>
      </c>
      <c r="Z1696">
        <v>36991981</v>
      </c>
      <c r="AA1696">
        <v>56.130366000000002</v>
      </c>
      <c r="AB1696">
        <v>-106.346771</v>
      </c>
    </row>
    <row r="1697" spans="1:28" hidden="1">
      <c r="A1697">
        <v>1647</v>
      </c>
      <c r="B1697">
        <v>1800</v>
      </c>
      <c r="C1697" t="s">
        <v>54</v>
      </c>
      <c r="D1697" t="s">
        <v>3362</v>
      </c>
      <c r="E1697">
        <v>80</v>
      </c>
      <c r="G1697" t="s">
        <v>38</v>
      </c>
      <c r="H1697" t="s">
        <v>65</v>
      </c>
      <c r="I1697" t="s">
        <v>3363</v>
      </c>
      <c r="J1697" t="s">
        <v>54</v>
      </c>
      <c r="K1697" t="s">
        <v>38</v>
      </c>
      <c r="M1697" t="b">
        <v>1</v>
      </c>
      <c r="N1697" t="s">
        <v>42</v>
      </c>
      <c r="O1697" t="s">
        <v>33</v>
      </c>
      <c r="Q1697">
        <v>117.24</v>
      </c>
      <c r="R1697">
        <v>7.5</v>
      </c>
      <c r="S1697" t="s">
        <v>44</v>
      </c>
      <c r="T1697">
        <v>88.2</v>
      </c>
      <c r="V1697">
        <v>101.8</v>
      </c>
      <c r="W1697">
        <v>78.5</v>
      </c>
      <c r="X1697">
        <v>9.6</v>
      </c>
      <c r="Y1697">
        <v>36.6</v>
      </c>
      <c r="Z1697">
        <v>328239523</v>
      </c>
      <c r="AA1697">
        <v>37.090240000000001</v>
      </c>
      <c r="AB1697">
        <v>-95.712890999999999</v>
      </c>
    </row>
    <row r="1698" spans="1:28">
      <c r="A1698">
        <v>1647</v>
      </c>
      <c r="B1698">
        <v>1800</v>
      </c>
      <c r="C1698" t="s">
        <v>45</v>
      </c>
      <c r="D1698" t="s">
        <v>3364</v>
      </c>
      <c r="E1698">
        <v>46</v>
      </c>
      <c r="F1698" t="str">
        <f>IF(E1698&gt;=90,"90-100",IF(E1698&gt;=80,"80-90",IF(E1698&gt;=70,"70-80",IF(E1698&gt;=60,"60-70",IF(E1698&gt;=50,"50-60",IF(E1698&gt;=40,"40-50",IF(E1698&gt;=30,"30-40","20-30")))))))</f>
        <v>40-50</v>
      </c>
      <c r="G1698" t="s">
        <v>38</v>
      </c>
      <c r="H1698" t="s">
        <v>65</v>
      </c>
      <c r="I1698" t="s">
        <v>3365</v>
      </c>
      <c r="J1698" t="s">
        <v>45</v>
      </c>
      <c r="K1698" t="s">
        <v>28</v>
      </c>
      <c r="L1698" t="s">
        <v>3366</v>
      </c>
      <c r="M1698" t="b">
        <v>1</v>
      </c>
      <c r="N1698" t="s">
        <v>42</v>
      </c>
      <c r="O1698" t="s">
        <v>4867</v>
      </c>
      <c r="P1698" t="s">
        <v>110</v>
      </c>
      <c r="Q1698">
        <v>117.24</v>
      </c>
      <c r="R1698">
        <v>7.5</v>
      </c>
      <c r="S1698" t="s">
        <v>44</v>
      </c>
      <c r="T1698">
        <v>88.2</v>
      </c>
      <c r="U1698" t="str">
        <f>IF(T1698&gt;=100,"above 100",IF(T1698&gt;=80,"80-100",IF(T1698&gt;=60,"60-80",IF(T1698&gt;=40,"40-60",IF(T1698&gt;=20,"20-60","0-20")))))</f>
        <v>80-100</v>
      </c>
      <c r="V1698">
        <v>101.8</v>
      </c>
      <c r="W1698">
        <v>78.5</v>
      </c>
      <c r="X1698">
        <v>9.6</v>
      </c>
      <c r="Y1698">
        <v>36.6</v>
      </c>
      <c r="Z1698">
        <v>328239523</v>
      </c>
      <c r="AA1698">
        <v>37.090240000000001</v>
      </c>
      <c r="AB1698">
        <v>-95.712890999999999</v>
      </c>
    </row>
    <row r="1699" spans="1:28" hidden="1">
      <c r="A1699">
        <v>1647</v>
      </c>
      <c r="B1699">
        <v>1800</v>
      </c>
      <c r="C1699" t="s">
        <v>63</v>
      </c>
      <c r="D1699" t="s">
        <v>3367</v>
      </c>
      <c r="E1699">
        <v>76</v>
      </c>
      <c r="G1699" t="s">
        <v>429</v>
      </c>
      <c r="H1699" t="s">
        <v>430</v>
      </c>
      <c r="I1699" t="s">
        <v>3368</v>
      </c>
      <c r="J1699" t="s">
        <v>63</v>
      </c>
      <c r="K1699" t="s">
        <v>429</v>
      </c>
      <c r="M1699" t="b">
        <v>0</v>
      </c>
      <c r="N1699" t="s">
        <v>419</v>
      </c>
      <c r="O1699" t="s">
        <v>33</v>
      </c>
      <c r="Q1699">
        <v>113.27</v>
      </c>
      <c r="R1699">
        <v>0.7</v>
      </c>
      <c r="S1699" t="s">
        <v>431</v>
      </c>
      <c r="T1699">
        <v>49.3</v>
      </c>
      <c r="V1699">
        <v>99.8</v>
      </c>
      <c r="W1699">
        <v>76.900000000000006</v>
      </c>
      <c r="X1699">
        <v>14.9</v>
      </c>
      <c r="Y1699">
        <v>29.5</v>
      </c>
      <c r="Z1699">
        <v>69625582</v>
      </c>
      <c r="AA1699">
        <v>15.870032</v>
      </c>
      <c r="AB1699">
        <v>100.992541</v>
      </c>
    </row>
    <row r="1700" spans="1:28" hidden="1">
      <c r="A1700">
        <v>1647</v>
      </c>
      <c r="B1700">
        <v>1800</v>
      </c>
      <c r="C1700" t="s">
        <v>217</v>
      </c>
      <c r="D1700" t="s">
        <v>3369</v>
      </c>
      <c r="E1700">
        <v>70</v>
      </c>
      <c r="G1700" t="s">
        <v>77</v>
      </c>
      <c r="H1700" t="s">
        <v>78</v>
      </c>
      <c r="I1700" t="s">
        <v>287</v>
      </c>
      <c r="J1700" t="s">
        <v>217</v>
      </c>
      <c r="K1700" t="s">
        <v>77</v>
      </c>
      <c r="M1700" t="b">
        <v>1</v>
      </c>
      <c r="N1700" t="s">
        <v>42</v>
      </c>
      <c r="O1700" t="s">
        <v>33</v>
      </c>
      <c r="Q1700">
        <v>180.44</v>
      </c>
      <c r="R1700">
        <v>7.7</v>
      </c>
      <c r="S1700" t="s">
        <v>81</v>
      </c>
      <c r="T1700">
        <v>28.1</v>
      </c>
      <c r="V1700">
        <v>113</v>
      </c>
      <c r="W1700">
        <v>69.400000000000006</v>
      </c>
      <c r="X1700">
        <v>11.2</v>
      </c>
      <c r="Y1700">
        <v>49.7</v>
      </c>
      <c r="Z1700">
        <v>1366417754</v>
      </c>
      <c r="AA1700">
        <v>20.593684</v>
      </c>
      <c r="AB1700">
        <v>78.962879999999998</v>
      </c>
    </row>
    <row r="1701" spans="1:28" hidden="1">
      <c r="A1701">
        <v>1647</v>
      </c>
      <c r="B1701">
        <v>1800</v>
      </c>
      <c r="C1701" t="s">
        <v>45</v>
      </c>
      <c r="D1701" t="s">
        <v>3370</v>
      </c>
      <c r="G1701" t="s">
        <v>148</v>
      </c>
      <c r="H1701" t="s">
        <v>3371</v>
      </c>
      <c r="I1701" t="s">
        <v>2616</v>
      </c>
      <c r="J1701" t="s">
        <v>45</v>
      </c>
      <c r="K1701" t="s">
        <v>148</v>
      </c>
      <c r="M1701" t="b">
        <v>0</v>
      </c>
      <c r="N1701" t="s">
        <v>42</v>
      </c>
      <c r="O1701" t="s">
        <v>88</v>
      </c>
      <c r="Q1701">
        <v>112.85</v>
      </c>
      <c r="R1701">
        <v>1.4</v>
      </c>
      <c r="S1701" t="s">
        <v>151</v>
      </c>
      <c r="T1701">
        <v>70.2</v>
      </c>
      <c r="V1701">
        <v>104</v>
      </c>
      <c r="W1701">
        <v>80.900000000000006</v>
      </c>
      <c r="X1701">
        <v>11.5</v>
      </c>
      <c r="Y1701">
        <v>48.8</v>
      </c>
      <c r="Z1701">
        <v>83132799</v>
      </c>
      <c r="AA1701">
        <v>51.165691000000002</v>
      </c>
      <c r="AB1701">
        <v>10.451525999999999</v>
      </c>
    </row>
    <row r="1702" spans="1:28" hidden="1">
      <c r="A1702">
        <v>1647</v>
      </c>
      <c r="B1702">
        <v>1800</v>
      </c>
      <c r="C1702" t="s">
        <v>236</v>
      </c>
      <c r="D1702" t="s">
        <v>3372</v>
      </c>
      <c r="E1702">
        <v>58</v>
      </c>
      <c r="G1702" t="s">
        <v>263</v>
      </c>
      <c r="H1702" t="s">
        <v>274</v>
      </c>
      <c r="I1702" t="s">
        <v>3373</v>
      </c>
      <c r="J1702" t="s">
        <v>236</v>
      </c>
      <c r="K1702" t="s">
        <v>263</v>
      </c>
      <c r="M1702" t="b">
        <v>1</v>
      </c>
      <c r="N1702" t="s">
        <v>853</v>
      </c>
      <c r="O1702" t="s">
        <v>33</v>
      </c>
      <c r="Q1702">
        <v>180.75</v>
      </c>
      <c r="R1702">
        <v>4.5</v>
      </c>
      <c r="S1702" t="s">
        <v>276</v>
      </c>
      <c r="T1702">
        <v>81.900000000000006</v>
      </c>
      <c r="V1702">
        <v>102.6</v>
      </c>
      <c r="W1702">
        <v>72.7</v>
      </c>
      <c r="X1702">
        <v>11.4</v>
      </c>
      <c r="Y1702">
        <v>46.2</v>
      </c>
      <c r="Z1702">
        <v>144373535</v>
      </c>
      <c r="AA1702">
        <v>61.524009999999997</v>
      </c>
      <c r="AB1702">
        <v>105.31875599999999</v>
      </c>
    </row>
    <row r="1703" spans="1:28" hidden="1">
      <c r="A1703">
        <v>1647</v>
      </c>
      <c r="B1703">
        <v>1800</v>
      </c>
      <c r="C1703" t="s">
        <v>101</v>
      </c>
      <c r="D1703" t="s">
        <v>3374</v>
      </c>
      <c r="E1703">
        <v>57</v>
      </c>
      <c r="G1703" t="s">
        <v>103</v>
      </c>
      <c r="H1703" t="s">
        <v>143</v>
      </c>
      <c r="I1703" t="s">
        <v>522</v>
      </c>
      <c r="J1703" t="s">
        <v>101</v>
      </c>
      <c r="K1703" t="s">
        <v>103</v>
      </c>
      <c r="M1703" t="b">
        <v>1</v>
      </c>
      <c r="N1703" t="s">
        <v>42</v>
      </c>
      <c r="O1703" t="s">
        <v>33</v>
      </c>
      <c r="Q1703">
        <v>125.08</v>
      </c>
      <c r="R1703">
        <v>2.9</v>
      </c>
      <c r="S1703" t="s">
        <v>106</v>
      </c>
      <c r="T1703">
        <v>50.6</v>
      </c>
      <c r="V1703">
        <v>100.2</v>
      </c>
      <c r="W1703">
        <v>77</v>
      </c>
      <c r="X1703">
        <v>9.4</v>
      </c>
      <c r="Y1703">
        <v>59.2</v>
      </c>
      <c r="Z1703">
        <v>1397715000</v>
      </c>
      <c r="AA1703">
        <v>35.861660000000001</v>
      </c>
      <c r="AB1703">
        <v>104.195397</v>
      </c>
    </row>
    <row r="1704" spans="1:28" hidden="1">
      <c r="A1704">
        <v>1647</v>
      </c>
      <c r="B1704">
        <v>1800</v>
      </c>
      <c r="C1704" t="s">
        <v>250</v>
      </c>
      <c r="D1704" t="s">
        <v>3375</v>
      </c>
      <c r="E1704">
        <v>75</v>
      </c>
      <c r="G1704" t="s">
        <v>103</v>
      </c>
      <c r="H1704" t="s">
        <v>3376</v>
      </c>
      <c r="I1704" t="s">
        <v>3377</v>
      </c>
      <c r="J1704" t="s">
        <v>250</v>
      </c>
      <c r="K1704" t="s">
        <v>103</v>
      </c>
      <c r="M1704" t="b">
        <v>1</v>
      </c>
      <c r="N1704" t="s">
        <v>42</v>
      </c>
      <c r="O1704" t="s">
        <v>33</v>
      </c>
      <c r="Q1704">
        <v>125.08</v>
      </c>
      <c r="R1704">
        <v>2.9</v>
      </c>
      <c r="S1704" t="s">
        <v>106</v>
      </c>
      <c r="T1704">
        <v>50.6</v>
      </c>
      <c r="V1704">
        <v>100.2</v>
      </c>
      <c r="W1704">
        <v>77</v>
      </c>
      <c r="X1704">
        <v>9.4</v>
      </c>
      <c r="Y1704">
        <v>59.2</v>
      </c>
      <c r="Z1704">
        <v>1397715000</v>
      </c>
      <c r="AA1704">
        <v>35.861660000000001</v>
      </c>
      <c r="AB1704">
        <v>104.195397</v>
      </c>
    </row>
    <row r="1705" spans="1:28" hidden="1">
      <c r="A1705">
        <v>1647</v>
      </c>
      <c r="B1705">
        <v>1800</v>
      </c>
      <c r="C1705" t="s">
        <v>45</v>
      </c>
      <c r="D1705" t="s">
        <v>3378</v>
      </c>
      <c r="E1705">
        <v>68</v>
      </c>
      <c r="G1705" t="s">
        <v>77</v>
      </c>
      <c r="H1705" t="s">
        <v>667</v>
      </c>
      <c r="I1705" t="s">
        <v>668</v>
      </c>
      <c r="J1705" t="s">
        <v>45</v>
      </c>
      <c r="K1705" t="s">
        <v>77</v>
      </c>
      <c r="M1705" t="b">
        <v>1</v>
      </c>
      <c r="N1705" t="s">
        <v>42</v>
      </c>
      <c r="O1705" t="s">
        <v>33</v>
      </c>
      <c r="Q1705">
        <v>180.44</v>
      </c>
      <c r="R1705">
        <v>7.7</v>
      </c>
      <c r="S1705" t="s">
        <v>81</v>
      </c>
      <c r="T1705">
        <v>28.1</v>
      </c>
      <c r="V1705">
        <v>113</v>
      </c>
      <c r="W1705">
        <v>69.400000000000006</v>
      </c>
      <c r="X1705">
        <v>11.2</v>
      </c>
      <c r="Y1705">
        <v>49.7</v>
      </c>
      <c r="Z1705">
        <v>1366417754</v>
      </c>
      <c r="AA1705">
        <v>20.593684</v>
      </c>
      <c r="AB1705">
        <v>78.962879999999998</v>
      </c>
    </row>
    <row r="1706" spans="1:28">
      <c r="A1706">
        <v>1647</v>
      </c>
      <c r="B1706">
        <v>1800</v>
      </c>
      <c r="C1706" t="s">
        <v>26</v>
      </c>
      <c r="D1706" t="s">
        <v>3379</v>
      </c>
      <c r="E1706">
        <v>60</v>
      </c>
      <c r="F1706" t="str">
        <f>IF(E1706&gt;=90,"90-100",IF(E1706&gt;=80,"80-90",IF(E1706&gt;=70,"70-80",IF(E1706&gt;=60,"60-70",IF(E1706&gt;=50,"50-60",IF(E1706&gt;=40,"40-50",IF(E1706&gt;=30,"30-40","20-30")))))))</f>
        <v>60-70</v>
      </c>
      <c r="G1706" t="s">
        <v>611</v>
      </c>
      <c r="H1706" t="s">
        <v>612</v>
      </c>
      <c r="I1706" t="s">
        <v>2158</v>
      </c>
      <c r="J1706" t="s">
        <v>26</v>
      </c>
      <c r="K1706" t="s">
        <v>611</v>
      </c>
      <c r="L1706" t="s">
        <v>3380</v>
      </c>
      <c r="M1706" t="b">
        <v>0</v>
      </c>
      <c r="N1706" t="s">
        <v>42</v>
      </c>
      <c r="O1706" t="s">
        <v>4867</v>
      </c>
      <c r="P1706" t="s">
        <v>131</v>
      </c>
      <c r="Q1706">
        <v>115.16</v>
      </c>
      <c r="R1706">
        <v>0.4</v>
      </c>
      <c r="S1706" t="s">
        <v>615</v>
      </c>
      <c r="T1706">
        <v>94.3</v>
      </c>
      <c r="U1706" t="str">
        <f>IF(T1706&gt;=100,"above 100",IF(T1706&gt;=80,"80-100",IF(T1706&gt;=60,"60-80",IF(T1706&gt;=40,"40-60",IF(T1706&gt;=20,"20-60","0-20")))))</f>
        <v>80-100</v>
      </c>
      <c r="V1706">
        <v>98.1</v>
      </c>
      <c r="W1706">
        <v>82.6</v>
      </c>
      <c r="X1706">
        <v>15.6</v>
      </c>
      <c r="Y1706">
        <v>33.200000000000003</v>
      </c>
      <c r="Z1706">
        <v>51709098</v>
      </c>
      <c r="AA1706">
        <v>35.907756999999997</v>
      </c>
      <c r="AB1706">
        <v>127.76692199999999</v>
      </c>
    </row>
    <row r="1707" spans="1:28" hidden="1">
      <c r="A1707">
        <v>1647</v>
      </c>
      <c r="B1707">
        <v>1800</v>
      </c>
      <c r="C1707" t="s">
        <v>101</v>
      </c>
      <c r="D1707" t="s">
        <v>3381</v>
      </c>
      <c r="E1707">
        <v>64</v>
      </c>
      <c r="G1707" t="s">
        <v>252</v>
      </c>
      <c r="I1707" t="s">
        <v>3382</v>
      </c>
      <c r="J1707" t="s">
        <v>101</v>
      </c>
      <c r="K1707" t="s">
        <v>252</v>
      </c>
      <c r="M1707" t="b">
        <v>1</v>
      </c>
      <c r="N1707" t="s">
        <v>32</v>
      </c>
      <c r="O1707" t="s">
        <v>33</v>
      </c>
      <c r="Q1707">
        <v>151.18</v>
      </c>
      <c r="R1707">
        <v>3</v>
      </c>
      <c r="S1707" t="s">
        <v>255</v>
      </c>
      <c r="T1707">
        <v>36.299999999999997</v>
      </c>
      <c r="V1707">
        <v>106.4</v>
      </c>
      <c r="W1707">
        <v>71.5</v>
      </c>
      <c r="X1707">
        <v>10.199999999999999</v>
      </c>
      <c r="Y1707">
        <v>30.1</v>
      </c>
      <c r="Z1707">
        <v>270203917</v>
      </c>
      <c r="AA1707">
        <v>-0.78927499999999995</v>
      </c>
      <c r="AB1707">
        <v>113.92132700000001</v>
      </c>
    </row>
    <row r="1708" spans="1:28" hidden="1">
      <c r="A1708">
        <v>1647</v>
      </c>
      <c r="B1708">
        <v>1800</v>
      </c>
      <c r="C1708" t="s">
        <v>217</v>
      </c>
      <c r="D1708" t="s">
        <v>3383</v>
      </c>
      <c r="E1708">
        <v>73</v>
      </c>
      <c r="G1708" t="s">
        <v>103</v>
      </c>
      <c r="H1708" t="s">
        <v>3384</v>
      </c>
      <c r="I1708" t="s">
        <v>3385</v>
      </c>
      <c r="J1708" t="s">
        <v>217</v>
      </c>
      <c r="K1708" t="s">
        <v>103</v>
      </c>
      <c r="M1708" t="b">
        <v>1</v>
      </c>
      <c r="N1708" t="s">
        <v>42</v>
      </c>
      <c r="O1708" t="s">
        <v>33</v>
      </c>
      <c r="Q1708">
        <v>125.08</v>
      </c>
      <c r="R1708">
        <v>2.9</v>
      </c>
      <c r="S1708" t="s">
        <v>106</v>
      </c>
      <c r="T1708">
        <v>50.6</v>
      </c>
      <c r="V1708">
        <v>100.2</v>
      </c>
      <c r="W1708">
        <v>77</v>
      </c>
      <c r="X1708">
        <v>9.4</v>
      </c>
      <c r="Y1708">
        <v>59.2</v>
      </c>
      <c r="Z1708">
        <v>1397715000</v>
      </c>
      <c r="AA1708">
        <v>35.861660000000001</v>
      </c>
      <c r="AB1708">
        <v>104.195397</v>
      </c>
    </row>
    <row r="1709" spans="1:28" hidden="1">
      <c r="A1709">
        <v>1647</v>
      </c>
      <c r="B1709">
        <v>1800</v>
      </c>
      <c r="C1709" t="s">
        <v>154</v>
      </c>
      <c r="D1709" t="s">
        <v>3386</v>
      </c>
      <c r="E1709">
        <v>83</v>
      </c>
      <c r="G1709" t="s">
        <v>172</v>
      </c>
      <c r="H1709" t="s">
        <v>172</v>
      </c>
      <c r="I1709" t="s">
        <v>154</v>
      </c>
      <c r="J1709" t="s">
        <v>154</v>
      </c>
      <c r="K1709" t="s">
        <v>38</v>
      </c>
      <c r="M1709" t="b">
        <v>1</v>
      </c>
      <c r="N1709" t="s">
        <v>32</v>
      </c>
      <c r="O1709" t="s">
        <v>33</v>
      </c>
    </row>
    <row r="1710" spans="1:28" hidden="1">
      <c r="A1710">
        <v>1647</v>
      </c>
      <c r="B1710">
        <v>1800</v>
      </c>
      <c r="C1710" t="s">
        <v>217</v>
      </c>
      <c r="D1710" t="s">
        <v>3387</v>
      </c>
      <c r="E1710">
        <v>62</v>
      </c>
      <c r="G1710" t="s">
        <v>1573</v>
      </c>
      <c r="H1710" t="s">
        <v>1574</v>
      </c>
      <c r="I1710" t="s">
        <v>362</v>
      </c>
      <c r="J1710" t="s">
        <v>217</v>
      </c>
      <c r="K1710" t="s">
        <v>1573</v>
      </c>
      <c r="M1710" t="b">
        <v>1</v>
      </c>
      <c r="N1710" t="s">
        <v>42</v>
      </c>
      <c r="O1710" t="s">
        <v>33</v>
      </c>
      <c r="Q1710">
        <v>163.52000000000001</v>
      </c>
      <c r="R1710">
        <v>2.8</v>
      </c>
      <c r="S1710" t="s">
        <v>1575</v>
      </c>
      <c r="T1710">
        <v>28.5</v>
      </c>
      <c r="V1710">
        <v>110.6</v>
      </c>
      <c r="W1710">
        <v>75.3</v>
      </c>
      <c r="X1710">
        <v>19.100000000000001</v>
      </c>
      <c r="Y1710">
        <v>37.6</v>
      </c>
      <c r="Z1710">
        <v>96462106</v>
      </c>
      <c r="AA1710">
        <v>14.058324000000001</v>
      </c>
      <c r="AB1710">
        <v>108.277199</v>
      </c>
    </row>
    <row r="1711" spans="1:28" hidden="1">
      <c r="A1711">
        <v>1647</v>
      </c>
      <c r="B1711">
        <v>1800</v>
      </c>
      <c r="C1711" t="s">
        <v>45</v>
      </c>
      <c r="D1711" t="s">
        <v>3388</v>
      </c>
      <c r="E1711">
        <v>67</v>
      </c>
      <c r="G1711" t="s">
        <v>38</v>
      </c>
      <c r="H1711" t="s">
        <v>557</v>
      </c>
      <c r="I1711" t="s">
        <v>572</v>
      </c>
      <c r="J1711" t="s">
        <v>45</v>
      </c>
      <c r="K1711" t="s">
        <v>38</v>
      </c>
      <c r="M1711" t="b">
        <v>1</v>
      </c>
      <c r="N1711" t="s">
        <v>42</v>
      </c>
      <c r="O1711" t="s">
        <v>33</v>
      </c>
      <c r="Q1711">
        <v>117.24</v>
      </c>
      <c r="R1711">
        <v>7.5</v>
      </c>
      <c r="S1711" t="s">
        <v>44</v>
      </c>
      <c r="T1711">
        <v>88.2</v>
      </c>
      <c r="V1711">
        <v>101.8</v>
      </c>
      <c r="W1711">
        <v>78.5</v>
      </c>
      <c r="X1711">
        <v>9.6</v>
      </c>
      <c r="Y1711">
        <v>36.6</v>
      </c>
      <c r="Z1711">
        <v>328239523</v>
      </c>
      <c r="AA1711">
        <v>37.090240000000001</v>
      </c>
      <c r="AB1711">
        <v>-95.712890999999999</v>
      </c>
    </row>
    <row r="1712" spans="1:28" hidden="1">
      <c r="A1712">
        <v>1647</v>
      </c>
      <c r="B1712">
        <v>1800</v>
      </c>
      <c r="C1712" t="s">
        <v>54</v>
      </c>
      <c r="D1712" t="s">
        <v>3389</v>
      </c>
      <c r="E1712">
        <v>46</v>
      </c>
      <c r="G1712" t="s">
        <v>38</v>
      </c>
      <c r="H1712" t="s">
        <v>902</v>
      </c>
      <c r="I1712" t="s">
        <v>2509</v>
      </c>
      <c r="J1712" t="s">
        <v>54</v>
      </c>
      <c r="K1712" t="s">
        <v>38</v>
      </c>
      <c r="M1712" t="b">
        <v>1</v>
      </c>
      <c r="N1712" t="s">
        <v>42</v>
      </c>
      <c r="O1712" t="s">
        <v>33</v>
      </c>
      <c r="Q1712">
        <v>117.24</v>
      </c>
      <c r="R1712">
        <v>7.5</v>
      </c>
      <c r="S1712" t="s">
        <v>44</v>
      </c>
      <c r="T1712">
        <v>88.2</v>
      </c>
      <c r="V1712">
        <v>101.8</v>
      </c>
      <c r="W1712">
        <v>78.5</v>
      </c>
      <c r="X1712">
        <v>9.6</v>
      </c>
      <c r="Y1712">
        <v>36.6</v>
      </c>
      <c r="Z1712">
        <v>328239523</v>
      </c>
      <c r="AA1712">
        <v>37.090240000000001</v>
      </c>
      <c r="AB1712">
        <v>-95.712890999999999</v>
      </c>
    </row>
    <row r="1713" spans="1:28" hidden="1">
      <c r="A1713">
        <v>1647</v>
      </c>
      <c r="B1713">
        <v>1800</v>
      </c>
      <c r="C1713" t="s">
        <v>45</v>
      </c>
      <c r="D1713" t="s">
        <v>3390</v>
      </c>
      <c r="E1713">
        <v>53</v>
      </c>
      <c r="G1713" t="s">
        <v>438</v>
      </c>
      <c r="H1713" t="s">
        <v>1099</v>
      </c>
      <c r="I1713" t="s">
        <v>1209</v>
      </c>
      <c r="J1713" t="s">
        <v>45</v>
      </c>
      <c r="K1713" t="s">
        <v>438</v>
      </c>
      <c r="M1713" t="b">
        <v>1</v>
      </c>
      <c r="N1713" t="s">
        <v>42</v>
      </c>
      <c r="O1713" t="s">
        <v>33</v>
      </c>
      <c r="Q1713">
        <v>115.91</v>
      </c>
      <c r="R1713">
        <v>2.6</v>
      </c>
      <c r="S1713" t="s">
        <v>1101</v>
      </c>
      <c r="T1713">
        <v>85</v>
      </c>
      <c r="V1713">
        <v>104.2</v>
      </c>
      <c r="W1713">
        <v>81.8</v>
      </c>
      <c r="X1713">
        <v>23</v>
      </c>
      <c r="Y1713">
        <v>41.2</v>
      </c>
      <c r="Z1713">
        <v>17332850</v>
      </c>
      <c r="AA1713">
        <v>52.132632999999998</v>
      </c>
      <c r="AB1713">
        <v>5.2912660000000002</v>
      </c>
    </row>
    <row r="1714" spans="1:28" hidden="1">
      <c r="A1714">
        <v>1647</v>
      </c>
      <c r="B1714">
        <v>1800</v>
      </c>
      <c r="C1714" t="s">
        <v>217</v>
      </c>
      <c r="D1714" t="s">
        <v>3391</v>
      </c>
      <c r="E1714">
        <v>69</v>
      </c>
      <c r="G1714" t="s">
        <v>148</v>
      </c>
      <c r="H1714" t="s">
        <v>3392</v>
      </c>
      <c r="I1714" t="s">
        <v>2572</v>
      </c>
      <c r="J1714" t="s">
        <v>217</v>
      </c>
      <c r="K1714" t="s">
        <v>148</v>
      </c>
      <c r="M1714" t="b">
        <v>0</v>
      </c>
      <c r="N1714" t="s">
        <v>42</v>
      </c>
      <c r="O1714" t="s">
        <v>33</v>
      </c>
      <c r="Q1714">
        <v>112.85</v>
      </c>
      <c r="R1714">
        <v>1.4</v>
      </c>
      <c r="S1714" t="s">
        <v>151</v>
      </c>
      <c r="T1714">
        <v>70.2</v>
      </c>
      <c r="V1714">
        <v>104</v>
      </c>
      <c r="W1714">
        <v>80.900000000000006</v>
      </c>
      <c r="X1714">
        <v>11.5</v>
      </c>
      <c r="Y1714">
        <v>48.8</v>
      </c>
      <c r="Z1714">
        <v>83132799</v>
      </c>
      <c r="AA1714">
        <v>51.165691000000002</v>
      </c>
      <c r="AB1714">
        <v>10.451525999999999</v>
      </c>
    </row>
    <row r="1715" spans="1:28" hidden="1">
      <c r="A1715">
        <v>1647</v>
      </c>
      <c r="B1715">
        <v>1800</v>
      </c>
      <c r="C1715" t="s">
        <v>45</v>
      </c>
      <c r="D1715" t="s">
        <v>3393</v>
      </c>
      <c r="E1715">
        <v>35</v>
      </c>
      <c r="G1715" t="s">
        <v>38</v>
      </c>
      <c r="H1715" t="s">
        <v>652</v>
      </c>
      <c r="I1715" t="s">
        <v>3394</v>
      </c>
      <c r="J1715" t="s">
        <v>45</v>
      </c>
      <c r="K1715" t="s">
        <v>38</v>
      </c>
      <c r="M1715" t="b">
        <v>1</v>
      </c>
      <c r="N1715" t="s">
        <v>42</v>
      </c>
      <c r="O1715" t="s">
        <v>33</v>
      </c>
      <c r="Q1715">
        <v>117.24</v>
      </c>
      <c r="R1715">
        <v>7.5</v>
      </c>
      <c r="S1715" t="s">
        <v>44</v>
      </c>
      <c r="T1715">
        <v>88.2</v>
      </c>
      <c r="V1715">
        <v>101.8</v>
      </c>
      <c r="W1715">
        <v>78.5</v>
      </c>
      <c r="X1715">
        <v>9.6</v>
      </c>
      <c r="Y1715">
        <v>36.6</v>
      </c>
      <c r="Z1715">
        <v>328239523</v>
      </c>
      <c r="AA1715">
        <v>37.090240000000001</v>
      </c>
      <c r="AB1715">
        <v>-95.712890999999999</v>
      </c>
    </row>
    <row r="1716" spans="1:28" hidden="1">
      <c r="A1716">
        <v>1647</v>
      </c>
      <c r="B1716">
        <v>1800</v>
      </c>
      <c r="C1716" t="s">
        <v>63</v>
      </c>
      <c r="D1716" t="s">
        <v>3395</v>
      </c>
      <c r="E1716">
        <v>62</v>
      </c>
      <c r="G1716" t="s">
        <v>38</v>
      </c>
      <c r="H1716" t="s">
        <v>480</v>
      </c>
      <c r="I1716" t="s">
        <v>1764</v>
      </c>
      <c r="J1716" t="s">
        <v>63</v>
      </c>
      <c r="K1716" t="s">
        <v>38</v>
      </c>
      <c r="M1716" t="b">
        <v>1</v>
      </c>
      <c r="N1716" t="s">
        <v>42</v>
      </c>
      <c r="O1716" t="s">
        <v>33</v>
      </c>
      <c r="Q1716">
        <v>117.24</v>
      </c>
      <c r="R1716">
        <v>7.5</v>
      </c>
      <c r="S1716" t="s">
        <v>44</v>
      </c>
      <c r="T1716">
        <v>88.2</v>
      </c>
      <c r="V1716">
        <v>101.8</v>
      </c>
      <c r="W1716">
        <v>78.5</v>
      </c>
      <c r="X1716">
        <v>9.6</v>
      </c>
      <c r="Y1716">
        <v>36.6</v>
      </c>
      <c r="Z1716">
        <v>328239523</v>
      </c>
      <c r="AA1716">
        <v>37.090240000000001</v>
      </c>
      <c r="AB1716">
        <v>-95.712890999999999</v>
      </c>
    </row>
    <row r="1717" spans="1:28">
      <c r="A1717">
        <v>1647</v>
      </c>
      <c r="B1717">
        <v>1800</v>
      </c>
      <c r="C1717" t="s">
        <v>45</v>
      </c>
      <c r="D1717" t="s">
        <v>3396</v>
      </c>
      <c r="E1717">
        <v>51</v>
      </c>
      <c r="F1717" t="str">
        <f>IF(E1717&gt;=90,"90-100",IF(E1717&gt;=80,"80-90",IF(E1717&gt;=70,"70-80",IF(E1717&gt;=60,"60-70",IF(E1717&gt;=50,"50-60",IF(E1717&gt;=40,"40-50",IF(E1717&gt;=30,"30-40","20-30")))))))</f>
        <v>50-60</v>
      </c>
      <c r="G1717" t="s">
        <v>38</v>
      </c>
      <c r="H1717" t="s">
        <v>652</v>
      </c>
      <c r="I1717" t="s">
        <v>1459</v>
      </c>
      <c r="J1717" t="s">
        <v>45</v>
      </c>
      <c r="K1717" t="s">
        <v>38</v>
      </c>
      <c r="L1717" t="s">
        <v>1459</v>
      </c>
      <c r="M1717" t="b">
        <v>1</v>
      </c>
      <c r="N1717" t="s">
        <v>42</v>
      </c>
      <c r="O1717" t="s">
        <v>4867</v>
      </c>
      <c r="P1717" t="s">
        <v>3397</v>
      </c>
      <c r="Q1717">
        <v>117.24</v>
      </c>
      <c r="R1717">
        <v>7.5</v>
      </c>
      <c r="S1717" t="s">
        <v>44</v>
      </c>
      <c r="T1717">
        <v>88.2</v>
      </c>
      <c r="U1717" t="str">
        <f>IF(T1717&gt;=100,"above 100",IF(T1717&gt;=80,"80-100",IF(T1717&gt;=60,"60-80",IF(T1717&gt;=40,"40-60",IF(T1717&gt;=20,"20-60","0-20")))))</f>
        <v>80-100</v>
      </c>
      <c r="V1717">
        <v>101.8</v>
      </c>
      <c r="W1717">
        <v>78.5</v>
      </c>
      <c r="X1717">
        <v>9.6</v>
      </c>
      <c r="Y1717">
        <v>36.6</v>
      </c>
      <c r="Z1717">
        <v>328239523</v>
      </c>
      <c r="AA1717">
        <v>37.090240000000001</v>
      </c>
      <c r="AB1717">
        <v>-95.712890999999999</v>
      </c>
    </row>
    <row r="1718" spans="1:28" hidden="1">
      <c r="A1718">
        <v>1647</v>
      </c>
      <c r="B1718">
        <v>1800</v>
      </c>
      <c r="C1718" t="s">
        <v>236</v>
      </c>
      <c r="D1718" t="s">
        <v>3398</v>
      </c>
      <c r="E1718">
        <v>75</v>
      </c>
      <c r="G1718" t="s">
        <v>238</v>
      </c>
      <c r="H1718" t="s">
        <v>492</v>
      </c>
      <c r="I1718" t="s">
        <v>231</v>
      </c>
      <c r="J1718" t="s">
        <v>236</v>
      </c>
      <c r="K1718" t="s">
        <v>512</v>
      </c>
      <c r="M1718" t="b">
        <v>0</v>
      </c>
      <c r="N1718" t="s">
        <v>32</v>
      </c>
      <c r="O1718" t="s">
        <v>33</v>
      </c>
      <c r="Q1718">
        <v>119.8</v>
      </c>
      <c r="R1718">
        <v>1.6</v>
      </c>
      <c r="S1718" t="s">
        <v>243</v>
      </c>
      <c r="T1718">
        <v>113.1</v>
      </c>
      <c r="V1718">
        <v>100.3</v>
      </c>
      <c r="W1718">
        <v>82.7</v>
      </c>
      <c r="X1718">
        <v>23</v>
      </c>
      <c r="Y1718">
        <v>47.4</v>
      </c>
      <c r="Z1718">
        <v>25766605</v>
      </c>
      <c r="AA1718">
        <v>-25.274398000000001</v>
      </c>
      <c r="AB1718">
        <v>133.775136</v>
      </c>
    </row>
    <row r="1719" spans="1:28" hidden="1">
      <c r="A1719">
        <v>1647</v>
      </c>
      <c r="B1719">
        <v>1800</v>
      </c>
      <c r="C1719" t="s">
        <v>54</v>
      </c>
      <c r="D1719" t="s">
        <v>3399</v>
      </c>
      <c r="E1719">
        <v>72</v>
      </c>
      <c r="G1719" t="s">
        <v>810</v>
      </c>
      <c r="H1719" t="s">
        <v>811</v>
      </c>
      <c r="I1719" t="s">
        <v>1152</v>
      </c>
      <c r="J1719" t="s">
        <v>54</v>
      </c>
      <c r="K1719" t="s">
        <v>810</v>
      </c>
      <c r="M1719" t="b">
        <v>0</v>
      </c>
      <c r="N1719" t="s">
        <v>42</v>
      </c>
      <c r="O1719" t="s">
        <v>33</v>
      </c>
    </row>
    <row r="1720" spans="1:28" hidden="1">
      <c r="A1720">
        <v>1647</v>
      </c>
      <c r="B1720">
        <v>1800</v>
      </c>
      <c r="C1720" t="s">
        <v>250</v>
      </c>
      <c r="D1720" t="s">
        <v>3400</v>
      </c>
      <c r="E1720">
        <v>56</v>
      </c>
      <c r="G1720" t="s">
        <v>103</v>
      </c>
      <c r="H1720" t="s">
        <v>195</v>
      </c>
      <c r="I1720" t="s">
        <v>196</v>
      </c>
      <c r="J1720" t="s">
        <v>250</v>
      </c>
      <c r="K1720" t="s">
        <v>103</v>
      </c>
      <c r="M1720" t="b">
        <v>1</v>
      </c>
      <c r="N1720" t="s">
        <v>42</v>
      </c>
      <c r="O1720" t="s">
        <v>33</v>
      </c>
      <c r="Q1720">
        <v>125.08</v>
      </c>
      <c r="R1720">
        <v>2.9</v>
      </c>
      <c r="S1720" t="s">
        <v>106</v>
      </c>
      <c r="T1720">
        <v>50.6</v>
      </c>
      <c r="V1720">
        <v>100.2</v>
      </c>
      <c r="W1720">
        <v>77</v>
      </c>
      <c r="X1720">
        <v>9.4</v>
      </c>
      <c r="Y1720">
        <v>59.2</v>
      </c>
      <c r="Z1720">
        <v>1397715000</v>
      </c>
      <c r="AA1720">
        <v>35.861660000000001</v>
      </c>
      <c r="AB1720">
        <v>104.195397</v>
      </c>
    </row>
    <row r="1721" spans="1:28" hidden="1">
      <c r="A1721">
        <v>1647</v>
      </c>
      <c r="B1721">
        <v>1800</v>
      </c>
      <c r="C1721" t="s">
        <v>288</v>
      </c>
      <c r="D1721" t="s">
        <v>3401</v>
      </c>
      <c r="E1721">
        <v>52</v>
      </c>
      <c r="G1721" t="s">
        <v>38</v>
      </c>
      <c r="H1721" t="s">
        <v>1331</v>
      </c>
      <c r="I1721" t="s">
        <v>971</v>
      </c>
      <c r="J1721" t="s">
        <v>288</v>
      </c>
      <c r="K1721" t="s">
        <v>38</v>
      </c>
      <c r="M1721" t="b">
        <v>0</v>
      </c>
      <c r="N1721" t="s">
        <v>42</v>
      </c>
      <c r="O1721" t="s">
        <v>88</v>
      </c>
      <c r="Q1721">
        <v>117.24</v>
      </c>
      <c r="R1721">
        <v>7.5</v>
      </c>
      <c r="S1721" t="s">
        <v>44</v>
      </c>
      <c r="T1721">
        <v>88.2</v>
      </c>
      <c r="V1721">
        <v>101.8</v>
      </c>
      <c r="W1721">
        <v>78.5</v>
      </c>
      <c r="X1721">
        <v>9.6</v>
      </c>
      <c r="Y1721">
        <v>36.6</v>
      </c>
      <c r="Z1721">
        <v>328239523</v>
      </c>
      <c r="AA1721">
        <v>37.090240000000001</v>
      </c>
      <c r="AB1721">
        <v>-95.712890999999999</v>
      </c>
    </row>
    <row r="1722" spans="1:28" hidden="1">
      <c r="A1722">
        <v>1647</v>
      </c>
      <c r="B1722">
        <v>1800</v>
      </c>
      <c r="C1722" t="s">
        <v>221</v>
      </c>
      <c r="D1722" t="s">
        <v>3402</v>
      </c>
      <c r="E1722">
        <v>50</v>
      </c>
      <c r="G1722" t="s">
        <v>103</v>
      </c>
      <c r="H1722" t="s">
        <v>1494</v>
      </c>
      <c r="I1722" t="s">
        <v>223</v>
      </c>
      <c r="J1722" t="s">
        <v>221</v>
      </c>
      <c r="K1722" t="s">
        <v>103</v>
      </c>
      <c r="M1722" t="b">
        <v>1</v>
      </c>
      <c r="N1722" t="s">
        <v>42</v>
      </c>
      <c r="O1722" t="s">
        <v>33</v>
      </c>
      <c r="Q1722">
        <v>125.08</v>
      </c>
      <c r="R1722">
        <v>2.9</v>
      </c>
      <c r="S1722" t="s">
        <v>106</v>
      </c>
      <c r="T1722">
        <v>50.6</v>
      </c>
      <c r="V1722">
        <v>100.2</v>
      </c>
      <c r="W1722">
        <v>77</v>
      </c>
      <c r="X1722">
        <v>9.4</v>
      </c>
      <c r="Y1722">
        <v>59.2</v>
      </c>
      <c r="Z1722">
        <v>1397715000</v>
      </c>
      <c r="AA1722">
        <v>35.861660000000001</v>
      </c>
      <c r="AB1722">
        <v>104.195397</v>
      </c>
    </row>
    <row r="1723" spans="1:28" hidden="1">
      <c r="A1723">
        <v>1647</v>
      </c>
      <c r="B1723">
        <v>1800</v>
      </c>
      <c r="C1723" t="s">
        <v>26</v>
      </c>
      <c r="D1723" t="s">
        <v>3403</v>
      </c>
      <c r="E1723">
        <v>82</v>
      </c>
      <c r="G1723" t="s">
        <v>198</v>
      </c>
      <c r="I1723" t="s">
        <v>3404</v>
      </c>
      <c r="J1723" t="s">
        <v>26</v>
      </c>
      <c r="K1723" t="s">
        <v>198</v>
      </c>
      <c r="M1723" t="b">
        <v>1</v>
      </c>
      <c r="N1723" t="s">
        <v>32</v>
      </c>
      <c r="O1723" t="s">
        <v>33</v>
      </c>
      <c r="Q1723">
        <v>105.48</v>
      </c>
      <c r="R1723">
        <v>0.5</v>
      </c>
      <c r="S1723" t="s">
        <v>201</v>
      </c>
      <c r="T1723">
        <v>63.2</v>
      </c>
      <c r="V1723">
        <v>98.8</v>
      </c>
      <c r="W1723">
        <v>84.2</v>
      </c>
      <c r="X1723">
        <v>11.9</v>
      </c>
      <c r="Y1723">
        <v>46.7</v>
      </c>
      <c r="Z1723">
        <v>126226568</v>
      </c>
      <c r="AA1723">
        <v>36.204824000000002</v>
      </c>
      <c r="AB1723">
        <v>138.25292400000001</v>
      </c>
    </row>
    <row r="1724" spans="1:28" hidden="1">
      <c r="A1724">
        <v>1647</v>
      </c>
      <c r="B1724">
        <v>1800</v>
      </c>
      <c r="C1724" t="s">
        <v>217</v>
      </c>
      <c r="D1724" t="s">
        <v>3405</v>
      </c>
      <c r="E1724">
        <v>60</v>
      </c>
      <c r="G1724" t="s">
        <v>38</v>
      </c>
      <c r="H1724" t="s">
        <v>1244</v>
      </c>
      <c r="I1724" t="s">
        <v>362</v>
      </c>
      <c r="J1724" t="s">
        <v>217</v>
      </c>
      <c r="K1724" t="s">
        <v>127</v>
      </c>
      <c r="M1724" t="b">
        <v>0</v>
      </c>
      <c r="N1724" t="s">
        <v>32</v>
      </c>
      <c r="O1724" t="s">
        <v>33</v>
      </c>
      <c r="Q1724">
        <v>117.24</v>
      </c>
      <c r="R1724">
        <v>7.5</v>
      </c>
      <c r="S1724" t="s">
        <v>44</v>
      </c>
      <c r="T1724">
        <v>88.2</v>
      </c>
      <c r="V1724">
        <v>101.8</v>
      </c>
      <c r="W1724">
        <v>78.5</v>
      </c>
      <c r="X1724">
        <v>9.6</v>
      </c>
      <c r="Y1724">
        <v>36.6</v>
      </c>
      <c r="Z1724">
        <v>328239523</v>
      </c>
      <c r="AA1724">
        <v>37.090240000000001</v>
      </c>
      <c r="AB1724">
        <v>-95.712890999999999</v>
      </c>
    </row>
    <row r="1725" spans="1:28" hidden="1">
      <c r="A1725">
        <v>1647</v>
      </c>
      <c r="B1725">
        <v>1800</v>
      </c>
      <c r="C1725" t="s">
        <v>221</v>
      </c>
      <c r="D1725" t="s">
        <v>3406</v>
      </c>
      <c r="E1725">
        <v>70</v>
      </c>
      <c r="G1725" t="s">
        <v>103</v>
      </c>
      <c r="H1725" t="s">
        <v>489</v>
      </c>
      <c r="I1725" t="s">
        <v>223</v>
      </c>
      <c r="J1725" t="s">
        <v>221</v>
      </c>
      <c r="K1725" t="s">
        <v>103</v>
      </c>
      <c r="M1725" t="b">
        <v>1</v>
      </c>
      <c r="N1725" t="s">
        <v>42</v>
      </c>
      <c r="O1725" t="s">
        <v>33</v>
      </c>
      <c r="Q1725">
        <v>125.08</v>
      </c>
      <c r="R1725">
        <v>2.9</v>
      </c>
      <c r="S1725" t="s">
        <v>106</v>
      </c>
      <c r="T1725">
        <v>50.6</v>
      </c>
      <c r="V1725">
        <v>100.2</v>
      </c>
      <c r="W1725">
        <v>77</v>
      </c>
      <c r="X1725">
        <v>9.4</v>
      </c>
      <c r="Y1725">
        <v>59.2</v>
      </c>
      <c r="Z1725">
        <v>1397715000</v>
      </c>
      <c r="AA1725">
        <v>35.861660000000001</v>
      </c>
      <c r="AB1725">
        <v>104.195397</v>
      </c>
    </row>
    <row r="1726" spans="1:28">
      <c r="A1726">
        <v>1725</v>
      </c>
      <c r="B1726">
        <v>1700</v>
      </c>
      <c r="C1726" t="s">
        <v>478</v>
      </c>
      <c r="D1726" t="s">
        <v>3407</v>
      </c>
      <c r="E1726">
        <v>67</v>
      </c>
      <c r="F1726" t="str">
        <f>IF(E1726&gt;=90,"90-100",IF(E1726&gt;=80,"80-90",IF(E1726&gt;=70,"70-80",IF(E1726&gt;=60,"60-70",IF(E1726&gt;=50,"50-60",IF(E1726&gt;=40,"40-50",IF(E1726&gt;=30,"30-40","20-30")))))))</f>
        <v>60-70</v>
      </c>
      <c r="G1726" t="s">
        <v>38</v>
      </c>
      <c r="H1726" t="s">
        <v>327</v>
      </c>
      <c r="I1726" t="s">
        <v>3408</v>
      </c>
      <c r="J1726" t="s">
        <v>478</v>
      </c>
      <c r="K1726" t="s">
        <v>38</v>
      </c>
      <c r="L1726" t="s">
        <v>3408</v>
      </c>
      <c r="M1726" t="b">
        <v>0</v>
      </c>
      <c r="N1726" t="s">
        <v>192</v>
      </c>
      <c r="O1726" t="s">
        <v>4866</v>
      </c>
      <c r="P1726" t="s">
        <v>85</v>
      </c>
      <c r="Q1726">
        <v>117.24</v>
      </c>
      <c r="R1726">
        <v>7.5</v>
      </c>
      <c r="S1726" t="s">
        <v>44</v>
      </c>
      <c r="T1726">
        <v>88.2</v>
      </c>
      <c r="U1726" t="str">
        <f t="shared" ref="U1726:U1727" si="44">IF(T1726&gt;=100,"above 100",IF(T1726&gt;=80,"80-100",IF(T1726&gt;=60,"60-80",IF(T1726&gt;=40,"40-60",IF(T1726&gt;=20,"20-60","0-20")))))</f>
        <v>80-100</v>
      </c>
      <c r="V1726">
        <v>101.8</v>
      </c>
      <c r="W1726">
        <v>78.5</v>
      </c>
      <c r="X1726">
        <v>9.6</v>
      </c>
      <c r="Y1726">
        <v>36.6</v>
      </c>
      <c r="Z1726">
        <v>328239523</v>
      </c>
      <c r="AA1726">
        <v>37.090240000000001</v>
      </c>
      <c r="AB1726">
        <v>-95.712890999999999</v>
      </c>
    </row>
    <row r="1727" spans="1:28">
      <c r="A1727">
        <v>1725</v>
      </c>
      <c r="B1727">
        <v>1700</v>
      </c>
      <c r="C1727" t="s">
        <v>54</v>
      </c>
      <c r="D1727" t="s">
        <v>3409</v>
      </c>
      <c r="E1727">
        <v>51</v>
      </c>
      <c r="F1727" t="str">
        <f>IF(E1727&gt;=90,"90-100",IF(E1727&gt;=80,"80-90",IF(E1727&gt;=70,"70-80",IF(E1727&gt;=60,"60-70",IF(E1727&gt;=50,"50-60",IF(E1727&gt;=40,"40-50",IF(E1727&gt;=30,"30-40","20-30")))))))</f>
        <v>50-60</v>
      </c>
      <c r="G1727" t="s">
        <v>38</v>
      </c>
      <c r="H1727" t="s">
        <v>403</v>
      </c>
      <c r="I1727" t="s">
        <v>3410</v>
      </c>
      <c r="J1727" t="s">
        <v>54</v>
      </c>
      <c r="K1727" t="s">
        <v>38</v>
      </c>
      <c r="L1727" t="s">
        <v>3411</v>
      </c>
      <c r="M1727" t="b">
        <v>1</v>
      </c>
      <c r="N1727" t="s">
        <v>419</v>
      </c>
      <c r="O1727" t="s">
        <v>4867</v>
      </c>
      <c r="P1727" t="s">
        <v>468</v>
      </c>
      <c r="Q1727">
        <v>117.24</v>
      </c>
      <c r="R1727">
        <v>7.5</v>
      </c>
      <c r="S1727" t="s">
        <v>44</v>
      </c>
      <c r="T1727">
        <v>88.2</v>
      </c>
      <c r="U1727" t="str">
        <f t="shared" si="44"/>
        <v>80-100</v>
      </c>
      <c r="V1727">
        <v>101.8</v>
      </c>
      <c r="W1727">
        <v>78.5</v>
      </c>
      <c r="X1727">
        <v>9.6</v>
      </c>
      <c r="Y1727">
        <v>36.6</v>
      </c>
      <c r="Z1727">
        <v>328239523</v>
      </c>
      <c r="AA1727">
        <v>37.090240000000001</v>
      </c>
      <c r="AB1727">
        <v>-95.712890999999999</v>
      </c>
    </row>
    <row r="1728" spans="1:28" hidden="1">
      <c r="A1728">
        <v>1725</v>
      </c>
      <c r="B1728">
        <v>1700</v>
      </c>
      <c r="C1728" t="s">
        <v>236</v>
      </c>
      <c r="D1728" t="s">
        <v>3412</v>
      </c>
      <c r="E1728">
        <v>85</v>
      </c>
      <c r="G1728" t="s">
        <v>164</v>
      </c>
      <c r="H1728" t="s">
        <v>3413</v>
      </c>
      <c r="I1728" t="s">
        <v>362</v>
      </c>
      <c r="J1728" t="s">
        <v>236</v>
      </c>
      <c r="K1728" t="s">
        <v>164</v>
      </c>
      <c r="M1728" t="b">
        <v>1</v>
      </c>
      <c r="N1728" t="s">
        <v>192</v>
      </c>
      <c r="O1728" t="s">
        <v>33</v>
      </c>
      <c r="Q1728">
        <v>110.62</v>
      </c>
      <c r="R1728">
        <v>0.6</v>
      </c>
      <c r="S1728" t="s">
        <v>539</v>
      </c>
      <c r="T1728">
        <v>61.9</v>
      </c>
      <c r="V1728">
        <v>101.9</v>
      </c>
      <c r="W1728">
        <v>82.9</v>
      </c>
      <c r="X1728">
        <v>24.3</v>
      </c>
      <c r="Y1728">
        <v>59.1</v>
      </c>
      <c r="Z1728">
        <v>60297396</v>
      </c>
      <c r="AA1728">
        <v>41.871940000000002</v>
      </c>
      <c r="AB1728">
        <v>12.56738</v>
      </c>
    </row>
    <row r="1729" spans="1:28" hidden="1">
      <c r="A1729">
        <v>1725</v>
      </c>
      <c r="B1729">
        <v>1700</v>
      </c>
      <c r="C1729" t="s">
        <v>221</v>
      </c>
      <c r="D1729" t="s">
        <v>3414</v>
      </c>
      <c r="E1729">
        <v>57</v>
      </c>
      <c r="G1729" t="s">
        <v>438</v>
      </c>
      <c r="H1729" t="s">
        <v>1099</v>
      </c>
      <c r="I1729" t="s">
        <v>223</v>
      </c>
      <c r="J1729" t="s">
        <v>221</v>
      </c>
      <c r="K1729" t="s">
        <v>438</v>
      </c>
      <c r="M1729" t="b">
        <v>0</v>
      </c>
      <c r="N1729" t="s">
        <v>32</v>
      </c>
      <c r="O1729" t="s">
        <v>33</v>
      </c>
      <c r="Q1729">
        <v>115.91</v>
      </c>
      <c r="R1729">
        <v>2.6</v>
      </c>
      <c r="S1729" t="s">
        <v>1101</v>
      </c>
      <c r="T1729">
        <v>85</v>
      </c>
      <c r="V1729">
        <v>104.2</v>
      </c>
      <c r="W1729">
        <v>81.8</v>
      </c>
      <c r="X1729">
        <v>23</v>
      </c>
      <c r="Y1729">
        <v>41.2</v>
      </c>
      <c r="Z1729">
        <v>17332850</v>
      </c>
      <c r="AA1729">
        <v>52.132632999999998</v>
      </c>
      <c r="AB1729">
        <v>5.2912660000000002</v>
      </c>
    </row>
    <row r="1730" spans="1:28" hidden="1">
      <c r="A1730">
        <v>1725</v>
      </c>
      <c r="B1730">
        <v>1700</v>
      </c>
      <c r="C1730" t="s">
        <v>63</v>
      </c>
      <c r="D1730" t="s">
        <v>3415</v>
      </c>
      <c r="E1730">
        <v>50</v>
      </c>
      <c r="G1730" t="s">
        <v>611</v>
      </c>
      <c r="H1730" t="s">
        <v>612</v>
      </c>
      <c r="I1730" t="s">
        <v>2448</v>
      </c>
      <c r="J1730" t="s">
        <v>63</v>
      </c>
      <c r="K1730" t="s">
        <v>611</v>
      </c>
      <c r="M1730" t="b">
        <v>1</v>
      </c>
      <c r="N1730" t="s">
        <v>42</v>
      </c>
      <c r="O1730" t="s">
        <v>33</v>
      </c>
      <c r="Q1730">
        <v>115.16</v>
      </c>
      <c r="R1730">
        <v>0.4</v>
      </c>
      <c r="S1730" t="s">
        <v>615</v>
      </c>
      <c r="T1730">
        <v>94.3</v>
      </c>
      <c r="V1730">
        <v>98.1</v>
      </c>
      <c r="W1730">
        <v>82.6</v>
      </c>
      <c r="X1730">
        <v>15.6</v>
      </c>
      <c r="Y1730">
        <v>33.200000000000003</v>
      </c>
      <c r="Z1730">
        <v>51709098</v>
      </c>
      <c r="AA1730">
        <v>35.907756999999997</v>
      </c>
      <c r="AB1730">
        <v>127.76692199999999</v>
      </c>
    </row>
    <row r="1731" spans="1:28">
      <c r="A1731">
        <v>1725</v>
      </c>
      <c r="B1731">
        <v>1700</v>
      </c>
      <c r="C1731" t="s">
        <v>54</v>
      </c>
      <c r="D1731" t="s">
        <v>3416</v>
      </c>
      <c r="E1731">
        <v>77</v>
      </c>
      <c r="F1731" t="str">
        <f>IF(E1731&gt;=90,"90-100",IF(E1731&gt;=80,"80-90",IF(E1731&gt;=70,"70-80",IF(E1731&gt;=60,"60-70",IF(E1731&gt;=50,"50-60",IF(E1731&gt;=40,"40-50",IF(E1731&gt;=30,"30-40","20-30")))))))</f>
        <v>70-80</v>
      </c>
      <c r="G1731" t="s">
        <v>38</v>
      </c>
      <c r="H1731" t="s">
        <v>39</v>
      </c>
      <c r="I1731" t="s">
        <v>3417</v>
      </c>
      <c r="J1731" t="s">
        <v>54</v>
      </c>
      <c r="K1731" t="s">
        <v>38</v>
      </c>
      <c r="L1731" t="s">
        <v>3418</v>
      </c>
      <c r="M1731" t="b">
        <v>1</v>
      </c>
      <c r="N1731" t="s">
        <v>419</v>
      </c>
      <c r="O1731" t="s">
        <v>4867</v>
      </c>
      <c r="P1731" t="s">
        <v>34</v>
      </c>
      <c r="Q1731">
        <v>117.24</v>
      </c>
      <c r="R1731">
        <v>7.5</v>
      </c>
      <c r="S1731" t="s">
        <v>44</v>
      </c>
      <c r="T1731">
        <v>88.2</v>
      </c>
      <c r="U1731" t="str">
        <f t="shared" ref="U1731:U1732" si="45">IF(T1731&gt;=100,"above 100",IF(T1731&gt;=80,"80-100",IF(T1731&gt;=60,"60-80",IF(T1731&gt;=40,"40-60",IF(T1731&gt;=20,"20-60","0-20")))))</f>
        <v>80-100</v>
      </c>
      <c r="V1731">
        <v>101.8</v>
      </c>
      <c r="W1731">
        <v>78.5</v>
      </c>
      <c r="X1731">
        <v>9.6</v>
      </c>
      <c r="Y1731">
        <v>36.6</v>
      </c>
      <c r="Z1731">
        <v>328239523</v>
      </c>
      <c r="AA1731">
        <v>37.090240000000001</v>
      </c>
      <c r="AB1731">
        <v>-95.712890999999999</v>
      </c>
    </row>
    <row r="1732" spans="1:28">
      <c r="A1732">
        <v>1725</v>
      </c>
      <c r="B1732">
        <v>1700</v>
      </c>
      <c r="C1732" t="s">
        <v>45</v>
      </c>
      <c r="D1732" t="s">
        <v>3419</v>
      </c>
      <c r="E1732">
        <v>61</v>
      </c>
      <c r="F1732" t="str">
        <f>IF(E1732&gt;=90,"90-100",IF(E1732&gt;=80,"80-90",IF(E1732&gt;=70,"70-80",IF(E1732&gt;=60,"60-70",IF(E1732&gt;=50,"50-60",IF(E1732&gt;=40,"40-50",IF(E1732&gt;=30,"30-40","20-30")))))))</f>
        <v>60-70</v>
      </c>
      <c r="G1732" t="s">
        <v>38</v>
      </c>
      <c r="H1732" t="s">
        <v>39</v>
      </c>
      <c r="I1732" t="s">
        <v>699</v>
      </c>
      <c r="J1732" t="s">
        <v>45</v>
      </c>
      <c r="K1732" t="s">
        <v>38</v>
      </c>
      <c r="L1732" t="s">
        <v>3420</v>
      </c>
      <c r="M1732" t="b">
        <v>1</v>
      </c>
      <c r="N1732" t="s">
        <v>42</v>
      </c>
      <c r="O1732" t="s">
        <v>4867</v>
      </c>
      <c r="P1732" t="s">
        <v>468</v>
      </c>
      <c r="Q1732">
        <v>117.24</v>
      </c>
      <c r="R1732">
        <v>7.5</v>
      </c>
      <c r="S1732" t="s">
        <v>44</v>
      </c>
      <c r="T1732">
        <v>88.2</v>
      </c>
      <c r="U1732" t="str">
        <f t="shared" si="45"/>
        <v>80-100</v>
      </c>
      <c r="V1732">
        <v>101.8</v>
      </c>
      <c r="W1732">
        <v>78.5</v>
      </c>
      <c r="X1732">
        <v>9.6</v>
      </c>
      <c r="Y1732">
        <v>36.6</v>
      </c>
      <c r="Z1732">
        <v>328239523</v>
      </c>
      <c r="AA1732">
        <v>37.090240000000001</v>
      </c>
      <c r="AB1732">
        <v>-95.712890999999999</v>
      </c>
    </row>
    <row r="1733" spans="1:28" hidden="1">
      <c r="A1733">
        <v>1725</v>
      </c>
      <c r="B1733">
        <v>1700</v>
      </c>
      <c r="C1733" t="s">
        <v>217</v>
      </c>
      <c r="D1733" t="s">
        <v>3421</v>
      </c>
      <c r="G1733" t="s">
        <v>103</v>
      </c>
      <c r="H1733" t="s">
        <v>489</v>
      </c>
      <c r="I1733" t="s">
        <v>2059</v>
      </c>
      <c r="J1733" t="s">
        <v>217</v>
      </c>
      <c r="K1733" t="s">
        <v>103</v>
      </c>
      <c r="M1733" t="b">
        <v>1</v>
      </c>
      <c r="N1733" t="s">
        <v>42</v>
      </c>
      <c r="O1733" t="s">
        <v>33</v>
      </c>
      <c r="Q1733">
        <v>125.08</v>
      </c>
      <c r="R1733">
        <v>2.9</v>
      </c>
      <c r="S1733" t="s">
        <v>106</v>
      </c>
      <c r="T1733">
        <v>50.6</v>
      </c>
      <c r="V1733">
        <v>100.2</v>
      </c>
      <c r="W1733">
        <v>77</v>
      </c>
      <c r="X1733">
        <v>9.4</v>
      </c>
      <c r="Y1733">
        <v>59.2</v>
      </c>
      <c r="Z1733">
        <v>1397715000</v>
      </c>
      <c r="AA1733">
        <v>35.861660000000001</v>
      </c>
      <c r="AB1733">
        <v>104.195397</v>
      </c>
    </row>
    <row r="1734" spans="1:28" hidden="1">
      <c r="A1734">
        <v>1725</v>
      </c>
      <c r="B1734">
        <v>1700</v>
      </c>
      <c r="C1734" t="s">
        <v>217</v>
      </c>
      <c r="D1734" t="s">
        <v>3422</v>
      </c>
      <c r="E1734">
        <v>79</v>
      </c>
      <c r="G1734" t="s">
        <v>438</v>
      </c>
      <c r="H1734" t="s">
        <v>3423</v>
      </c>
      <c r="I1734" t="s">
        <v>3424</v>
      </c>
      <c r="J1734" t="s">
        <v>217</v>
      </c>
      <c r="K1734" t="s">
        <v>438</v>
      </c>
      <c r="M1734" t="b">
        <v>0</v>
      </c>
      <c r="N1734" t="s">
        <v>42</v>
      </c>
      <c r="O1734" t="s">
        <v>33</v>
      </c>
      <c r="Q1734">
        <v>115.91</v>
      </c>
      <c r="R1734">
        <v>2.6</v>
      </c>
      <c r="S1734" t="s">
        <v>1101</v>
      </c>
      <c r="T1734">
        <v>85</v>
      </c>
      <c r="V1734">
        <v>104.2</v>
      </c>
      <c r="W1734">
        <v>81.8</v>
      </c>
      <c r="X1734">
        <v>23</v>
      </c>
      <c r="Y1734">
        <v>41.2</v>
      </c>
      <c r="Z1734">
        <v>17332850</v>
      </c>
      <c r="AA1734">
        <v>52.132632999999998</v>
      </c>
      <c r="AB1734">
        <v>5.2912660000000002</v>
      </c>
    </row>
    <row r="1735" spans="1:28" hidden="1">
      <c r="A1735">
        <v>1725</v>
      </c>
      <c r="B1735">
        <v>1700</v>
      </c>
      <c r="C1735" t="s">
        <v>101</v>
      </c>
      <c r="D1735" t="s">
        <v>3425</v>
      </c>
      <c r="E1735">
        <v>83</v>
      </c>
      <c r="G1735" t="s">
        <v>38</v>
      </c>
      <c r="H1735" t="s">
        <v>1491</v>
      </c>
      <c r="I1735" t="s">
        <v>3426</v>
      </c>
      <c r="J1735" t="s">
        <v>101</v>
      </c>
      <c r="K1735" t="s">
        <v>38</v>
      </c>
      <c r="M1735" t="b">
        <v>1</v>
      </c>
      <c r="N1735" t="s">
        <v>32</v>
      </c>
      <c r="O1735" t="s">
        <v>33</v>
      </c>
      <c r="Q1735">
        <v>117.24</v>
      </c>
      <c r="R1735">
        <v>7.5</v>
      </c>
      <c r="S1735" t="s">
        <v>44</v>
      </c>
      <c r="T1735">
        <v>88.2</v>
      </c>
      <c r="V1735">
        <v>101.8</v>
      </c>
      <c r="W1735">
        <v>78.5</v>
      </c>
      <c r="X1735">
        <v>9.6</v>
      </c>
      <c r="Y1735">
        <v>36.6</v>
      </c>
      <c r="Z1735">
        <v>328239523</v>
      </c>
      <c r="AA1735">
        <v>37.090240000000001</v>
      </c>
      <c r="AB1735">
        <v>-95.712890999999999</v>
      </c>
    </row>
    <row r="1736" spans="1:28" hidden="1">
      <c r="A1736">
        <v>1725</v>
      </c>
      <c r="B1736">
        <v>1700</v>
      </c>
      <c r="C1736" t="s">
        <v>54</v>
      </c>
      <c r="D1736" t="s">
        <v>3427</v>
      </c>
      <c r="E1736">
        <v>53</v>
      </c>
      <c r="G1736" t="s">
        <v>389</v>
      </c>
      <c r="H1736" t="s">
        <v>390</v>
      </c>
      <c r="I1736" t="s">
        <v>231</v>
      </c>
      <c r="J1736" t="s">
        <v>54</v>
      </c>
      <c r="K1736" t="s">
        <v>389</v>
      </c>
      <c r="M1736" t="b">
        <v>1</v>
      </c>
      <c r="N1736" t="s">
        <v>32</v>
      </c>
      <c r="O1736" t="s">
        <v>33</v>
      </c>
      <c r="Q1736">
        <v>116.48</v>
      </c>
      <c r="R1736">
        <v>2.8</v>
      </c>
      <c r="S1736" t="s">
        <v>392</v>
      </c>
      <c r="T1736">
        <v>64.099999999999994</v>
      </c>
      <c r="V1736">
        <v>100.7</v>
      </c>
      <c r="W1736">
        <v>79</v>
      </c>
      <c r="X1736">
        <v>14.9</v>
      </c>
      <c r="Y1736">
        <v>46.1</v>
      </c>
      <c r="Z1736">
        <v>10669709</v>
      </c>
      <c r="AA1736">
        <v>49.817492000000001</v>
      </c>
      <c r="AB1736">
        <v>15.472962000000001</v>
      </c>
    </row>
    <row r="1737" spans="1:28" hidden="1">
      <c r="A1737">
        <v>1725</v>
      </c>
      <c r="B1737">
        <v>1700</v>
      </c>
      <c r="C1737" t="s">
        <v>288</v>
      </c>
      <c r="D1737" t="s">
        <v>3428</v>
      </c>
      <c r="E1737">
        <v>53</v>
      </c>
      <c r="G1737" t="s">
        <v>38</v>
      </c>
      <c r="H1737" t="s">
        <v>3429</v>
      </c>
      <c r="I1737" t="s">
        <v>2892</v>
      </c>
      <c r="J1737" t="s">
        <v>288</v>
      </c>
      <c r="K1737" t="s">
        <v>38</v>
      </c>
      <c r="M1737" t="b">
        <v>1</v>
      </c>
      <c r="N1737" t="s">
        <v>419</v>
      </c>
      <c r="O1737" t="s">
        <v>33</v>
      </c>
      <c r="Q1737">
        <v>117.24</v>
      </c>
      <c r="R1737">
        <v>7.5</v>
      </c>
      <c r="S1737" t="s">
        <v>44</v>
      </c>
      <c r="T1737">
        <v>88.2</v>
      </c>
      <c r="V1737">
        <v>101.8</v>
      </c>
      <c r="W1737">
        <v>78.5</v>
      </c>
      <c r="X1737">
        <v>9.6</v>
      </c>
      <c r="Y1737">
        <v>36.6</v>
      </c>
      <c r="Z1737">
        <v>328239523</v>
      </c>
      <c r="AA1737">
        <v>37.090240000000001</v>
      </c>
      <c r="AB1737">
        <v>-95.712890999999999</v>
      </c>
    </row>
    <row r="1738" spans="1:28" hidden="1">
      <c r="A1738">
        <v>1725</v>
      </c>
      <c r="B1738">
        <v>1700</v>
      </c>
      <c r="C1738" t="s">
        <v>54</v>
      </c>
      <c r="D1738" t="s">
        <v>3430</v>
      </c>
      <c r="E1738">
        <v>47</v>
      </c>
      <c r="G1738" t="s">
        <v>164</v>
      </c>
      <c r="H1738" t="s">
        <v>3431</v>
      </c>
      <c r="I1738" t="s">
        <v>3432</v>
      </c>
      <c r="J1738" t="s">
        <v>54</v>
      </c>
      <c r="K1738" t="s">
        <v>164</v>
      </c>
      <c r="M1738" t="b">
        <v>0</v>
      </c>
      <c r="N1738" t="s">
        <v>42</v>
      </c>
      <c r="O1738" t="s">
        <v>33</v>
      </c>
      <c r="Q1738">
        <v>110.62</v>
      </c>
      <c r="R1738">
        <v>0.6</v>
      </c>
      <c r="S1738" t="s">
        <v>539</v>
      </c>
      <c r="T1738">
        <v>61.9</v>
      </c>
      <c r="V1738">
        <v>101.9</v>
      </c>
      <c r="W1738">
        <v>82.9</v>
      </c>
      <c r="X1738">
        <v>24.3</v>
      </c>
      <c r="Y1738">
        <v>59.1</v>
      </c>
      <c r="Z1738">
        <v>60297396</v>
      </c>
      <c r="AA1738">
        <v>41.871940000000002</v>
      </c>
      <c r="AB1738">
        <v>12.56738</v>
      </c>
    </row>
    <row r="1739" spans="1:28" hidden="1">
      <c r="A1739">
        <v>1725</v>
      </c>
      <c r="B1739">
        <v>1700</v>
      </c>
      <c r="C1739" t="s">
        <v>36</v>
      </c>
      <c r="D1739" t="s">
        <v>3433</v>
      </c>
      <c r="E1739">
        <v>74</v>
      </c>
      <c r="G1739" t="s">
        <v>28</v>
      </c>
      <c r="H1739" t="s">
        <v>29</v>
      </c>
      <c r="I1739" t="s">
        <v>3434</v>
      </c>
      <c r="J1739" t="s">
        <v>36</v>
      </c>
      <c r="K1739" t="s">
        <v>28</v>
      </c>
      <c r="M1739" t="b">
        <v>0</v>
      </c>
      <c r="N1739" t="s">
        <v>42</v>
      </c>
      <c r="O1739" t="s">
        <v>33</v>
      </c>
      <c r="Q1739">
        <v>110.05</v>
      </c>
      <c r="R1739">
        <v>1.1000000000000001</v>
      </c>
      <c r="S1739" t="s">
        <v>35</v>
      </c>
      <c r="T1739">
        <v>65.599999999999994</v>
      </c>
      <c r="V1739">
        <v>102.5</v>
      </c>
      <c r="W1739">
        <v>82.5</v>
      </c>
      <c r="X1739">
        <v>24.2</v>
      </c>
      <c r="Y1739">
        <v>60.7</v>
      </c>
      <c r="Z1739">
        <v>67059887</v>
      </c>
      <c r="AA1739">
        <v>46.227637999999999</v>
      </c>
      <c r="AB1739">
        <v>2.213749</v>
      </c>
    </row>
    <row r="1740" spans="1:28" hidden="1">
      <c r="A1740">
        <v>1725</v>
      </c>
      <c r="B1740">
        <v>1700</v>
      </c>
      <c r="C1740" t="s">
        <v>63</v>
      </c>
      <c r="D1740" t="s">
        <v>3435</v>
      </c>
      <c r="E1740">
        <v>75</v>
      </c>
      <c r="G1740" t="s">
        <v>198</v>
      </c>
      <c r="H1740" t="s">
        <v>199</v>
      </c>
      <c r="I1740" t="s">
        <v>1448</v>
      </c>
      <c r="J1740" t="s">
        <v>63</v>
      </c>
      <c r="K1740" t="s">
        <v>198</v>
      </c>
      <c r="M1740" t="b">
        <v>1</v>
      </c>
      <c r="N1740" t="s">
        <v>42</v>
      </c>
      <c r="O1740" t="s">
        <v>33</v>
      </c>
      <c r="Q1740">
        <v>105.48</v>
      </c>
      <c r="R1740">
        <v>0.5</v>
      </c>
      <c r="S1740" t="s">
        <v>201</v>
      </c>
      <c r="T1740">
        <v>63.2</v>
      </c>
      <c r="V1740">
        <v>98.8</v>
      </c>
      <c r="W1740">
        <v>84.2</v>
      </c>
      <c r="X1740">
        <v>11.9</v>
      </c>
      <c r="Y1740">
        <v>46.7</v>
      </c>
      <c r="Z1740">
        <v>126226568</v>
      </c>
      <c r="AA1740">
        <v>36.204824000000002</v>
      </c>
      <c r="AB1740">
        <v>138.25292400000001</v>
      </c>
    </row>
    <row r="1741" spans="1:28" hidden="1">
      <c r="A1741">
        <v>1725</v>
      </c>
      <c r="B1741">
        <v>1700</v>
      </c>
      <c r="C1741" t="s">
        <v>54</v>
      </c>
      <c r="D1741" t="s">
        <v>3436</v>
      </c>
      <c r="E1741">
        <v>81</v>
      </c>
      <c r="G1741" t="s">
        <v>38</v>
      </c>
      <c r="H1741" t="s">
        <v>331</v>
      </c>
      <c r="I1741" t="s">
        <v>1000</v>
      </c>
      <c r="J1741" t="s">
        <v>54</v>
      </c>
      <c r="K1741" t="s">
        <v>38</v>
      </c>
      <c r="M1741" t="b">
        <v>1</v>
      </c>
      <c r="N1741" t="s">
        <v>42</v>
      </c>
      <c r="O1741" t="s">
        <v>33</v>
      </c>
      <c r="Q1741">
        <v>117.24</v>
      </c>
      <c r="R1741">
        <v>7.5</v>
      </c>
      <c r="S1741" t="s">
        <v>44</v>
      </c>
      <c r="T1741">
        <v>88.2</v>
      </c>
      <c r="V1741">
        <v>101.8</v>
      </c>
      <c r="W1741">
        <v>78.5</v>
      </c>
      <c r="X1741">
        <v>9.6</v>
      </c>
      <c r="Y1741">
        <v>36.6</v>
      </c>
      <c r="Z1741">
        <v>328239523</v>
      </c>
      <c r="AA1741">
        <v>37.090240000000001</v>
      </c>
      <c r="AB1741">
        <v>-95.712890999999999</v>
      </c>
    </row>
    <row r="1742" spans="1:28" hidden="1">
      <c r="A1742">
        <v>1725</v>
      </c>
      <c r="B1742">
        <v>1700</v>
      </c>
      <c r="C1742" t="s">
        <v>54</v>
      </c>
      <c r="D1742" t="s">
        <v>3437</v>
      </c>
      <c r="E1742">
        <v>68</v>
      </c>
      <c r="G1742" t="s">
        <v>156</v>
      </c>
      <c r="H1742" t="s">
        <v>413</v>
      </c>
      <c r="I1742" t="s">
        <v>782</v>
      </c>
      <c r="J1742" t="s">
        <v>54</v>
      </c>
      <c r="K1742" t="s">
        <v>148</v>
      </c>
      <c r="M1742" t="b">
        <v>0</v>
      </c>
      <c r="N1742" t="s">
        <v>419</v>
      </c>
      <c r="O1742" t="s">
        <v>33</v>
      </c>
      <c r="Q1742">
        <v>99.55</v>
      </c>
      <c r="R1742">
        <v>0.4</v>
      </c>
      <c r="S1742" t="s">
        <v>159</v>
      </c>
      <c r="T1742">
        <v>59.6</v>
      </c>
      <c r="V1742">
        <v>105.2</v>
      </c>
      <c r="W1742">
        <v>83.6</v>
      </c>
      <c r="X1742">
        <v>10.1</v>
      </c>
      <c r="Y1742">
        <v>28.8</v>
      </c>
      <c r="Z1742">
        <v>8574832</v>
      </c>
      <c r="AA1742">
        <v>46.818187999999999</v>
      </c>
      <c r="AB1742">
        <v>8.2275120000000008</v>
      </c>
    </row>
    <row r="1743" spans="1:28" hidden="1">
      <c r="A1743">
        <v>1725</v>
      </c>
      <c r="B1743">
        <v>1700</v>
      </c>
      <c r="C1743" t="s">
        <v>221</v>
      </c>
      <c r="D1743" t="s">
        <v>3438</v>
      </c>
      <c r="E1743">
        <v>67</v>
      </c>
      <c r="G1743" t="s">
        <v>38</v>
      </c>
      <c r="H1743" t="s">
        <v>123</v>
      </c>
      <c r="I1743" t="s">
        <v>223</v>
      </c>
      <c r="J1743" t="s">
        <v>221</v>
      </c>
      <c r="K1743" t="s">
        <v>38</v>
      </c>
      <c r="M1743" t="b">
        <v>1</v>
      </c>
      <c r="N1743" t="s">
        <v>32</v>
      </c>
      <c r="O1743" t="s">
        <v>33</v>
      </c>
      <c r="Q1743">
        <v>117.24</v>
      </c>
      <c r="R1743">
        <v>7.5</v>
      </c>
      <c r="S1743" t="s">
        <v>44</v>
      </c>
      <c r="T1743">
        <v>88.2</v>
      </c>
      <c r="V1743">
        <v>101.8</v>
      </c>
      <c r="W1743">
        <v>78.5</v>
      </c>
      <c r="X1743">
        <v>9.6</v>
      </c>
      <c r="Y1743">
        <v>36.6</v>
      </c>
      <c r="Z1743">
        <v>328239523</v>
      </c>
      <c r="AA1743">
        <v>37.090240000000001</v>
      </c>
      <c r="AB1743">
        <v>-95.712890999999999</v>
      </c>
    </row>
    <row r="1744" spans="1:28" hidden="1">
      <c r="A1744">
        <v>1725</v>
      </c>
      <c r="B1744">
        <v>1700</v>
      </c>
      <c r="C1744" t="s">
        <v>26</v>
      </c>
      <c r="D1744" t="s">
        <v>3439</v>
      </c>
      <c r="E1744">
        <v>73</v>
      </c>
      <c r="G1744" t="s">
        <v>384</v>
      </c>
      <c r="H1744" t="s">
        <v>3440</v>
      </c>
      <c r="I1744" t="s">
        <v>818</v>
      </c>
      <c r="J1744" t="s">
        <v>26</v>
      </c>
      <c r="K1744" t="s">
        <v>384</v>
      </c>
      <c r="M1744" t="b">
        <v>1</v>
      </c>
      <c r="N1744" t="s">
        <v>42</v>
      </c>
      <c r="O1744" t="s">
        <v>33</v>
      </c>
      <c r="Q1744">
        <v>167.4</v>
      </c>
      <c r="R1744">
        <v>3.7</v>
      </c>
      <c r="S1744" t="s">
        <v>563</v>
      </c>
      <c r="T1744">
        <v>51.3</v>
      </c>
      <c r="V1744">
        <v>115.4</v>
      </c>
      <c r="W1744">
        <v>75.7</v>
      </c>
      <c r="X1744">
        <v>14.2</v>
      </c>
      <c r="Y1744">
        <v>65.099999999999994</v>
      </c>
      <c r="Z1744">
        <v>212559417</v>
      </c>
      <c r="AA1744">
        <v>-14.235004</v>
      </c>
      <c r="AB1744">
        <v>-51.925280000000001</v>
      </c>
    </row>
    <row r="1745" spans="1:28" hidden="1">
      <c r="A1745">
        <v>1725</v>
      </c>
      <c r="B1745">
        <v>1700</v>
      </c>
      <c r="C1745" t="s">
        <v>26</v>
      </c>
      <c r="D1745" t="s">
        <v>3441</v>
      </c>
      <c r="E1745">
        <v>83</v>
      </c>
      <c r="G1745" t="s">
        <v>238</v>
      </c>
      <c r="H1745" t="s">
        <v>492</v>
      </c>
      <c r="I1745" t="s">
        <v>150</v>
      </c>
      <c r="J1745" t="s">
        <v>26</v>
      </c>
      <c r="K1745" t="s">
        <v>238</v>
      </c>
      <c r="M1745" t="b">
        <v>1</v>
      </c>
      <c r="N1745" t="s">
        <v>42</v>
      </c>
      <c r="O1745" t="s">
        <v>33</v>
      </c>
      <c r="Q1745">
        <v>119.8</v>
      </c>
      <c r="R1745">
        <v>1.6</v>
      </c>
      <c r="S1745" t="s">
        <v>243</v>
      </c>
      <c r="T1745">
        <v>113.1</v>
      </c>
      <c r="V1745">
        <v>100.3</v>
      </c>
      <c r="W1745">
        <v>82.7</v>
      </c>
      <c r="X1745">
        <v>23</v>
      </c>
      <c r="Y1745">
        <v>47.4</v>
      </c>
      <c r="Z1745">
        <v>25766605</v>
      </c>
      <c r="AA1745">
        <v>-25.274398000000001</v>
      </c>
      <c r="AB1745">
        <v>133.775136</v>
      </c>
    </row>
    <row r="1746" spans="1:28" hidden="1">
      <c r="A1746">
        <v>1725</v>
      </c>
      <c r="B1746">
        <v>1700</v>
      </c>
      <c r="C1746" t="s">
        <v>45</v>
      </c>
      <c r="D1746" t="s">
        <v>3442</v>
      </c>
      <c r="E1746">
        <v>49</v>
      </c>
      <c r="G1746" t="s">
        <v>103</v>
      </c>
      <c r="H1746" t="s">
        <v>176</v>
      </c>
      <c r="I1746" t="s">
        <v>572</v>
      </c>
      <c r="J1746" t="s">
        <v>45</v>
      </c>
      <c r="K1746" t="s">
        <v>103</v>
      </c>
      <c r="M1746" t="b">
        <v>1</v>
      </c>
      <c r="N1746" t="s">
        <v>419</v>
      </c>
      <c r="O1746" t="s">
        <v>33</v>
      </c>
      <c r="Q1746">
        <v>125.08</v>
      </c>
      <c r="R1746">
        <v>2.9</v>
      </c>
      <c r="S1746" t="s">
        <v>106</v>
      </c>
      <c r="T1746">
        <v>50.6</v>
      </c>
      <c r="V1746">
        <v>100.2</v>
      </c>
      <c r="W1746">
        <v>77</v>
      </c>
      <c r="X1746">
        <v>9.4</v>
      </c>
      <c r="Y1746">
        <v>59.2</v>
      </c>
      <c r="Z1746">
        <v>1397715000</v>
      </c>
      <c r="AA1746">
        <v>35.861660000000001</v>
      </c>
      <c r="AB1746">
        <v>104.195397</v>
      </c>
    </row>
    <row r="1747" spans="1:28" hidden="1">
      <c r="A1747">
        <v>1725</v>
      </c>
      <c r="B1747">
        <v>1700</v>
      </c>
      <c r="C1747" t="s">
        <v>221</v>
      </c>
      <c r="D1747" t="s">
        <v>3443</v>
      </c>
      <c r="E1747">
        <v>73</v>
      </c>
      <c r="G1747" t="s">
        <v>429</v>
      </c>
      <c r="H1747" t="s">
        <v>430</v>
      </c>
      <c r="I1747" t="s">
        <v>1843</v>
      </c>
      <c r="J1747" t="s">
        <v>221</v>
      </c>
      <c r="K1747" t="s">
        <v>429</v>
      </c>
      <c r="M1747" t="b">
        <v>1</v>
      </c>
      <c r="N1747" t="s">
        <v>419</v>
      </c>
      <c r="O1747" t="s">
        <v>33</v>
      </c>
      <c r="Q1747">
        <v>113.27</v>
      </c>
      <c r="R1747">
        <v>0.7</v>
      </c>
      <c r="S1747" t="s">
        <v>431</v>
      </c>
      <c r="T1747">
        <v>49.3</v>
      </c>
      <c r="V1747">
        <v>99.8</v>
      </c>
      <c r="W1747">
        <v>76.900000000000006</v>
      </c>
      <c r="X1747">
        <v>14.9</v>
      </c>
      <c r="Y1747">
        <v>29.5</v>
      </c>
      <c r="Z1747">
        <v>69625582</v>
      </c>
      <c r="AA1747">
        <v>15.870032</v>
      </c>
      <c r="AB1747">
        <v>100.992541</v>
      </c>
    </row>
    <row r="1748" spans="1:28" hidden="1">
      <c r="A1748">
        <v>1725</v>
      </c>
      <c r="B1748">
        <v>1700</v>
      </c>
      <c r="C1748" t="s">
        <v>54</v>
      </c>
      <c r="D1748" t="s">
        <v>3444</v>
      </c>
      <c r="E1748">
        <v>66</v>
      </c>
      <c r="G1748" t="s">
        <v>127</v>
      </c>
      <c r="H1748" t="s">
        <v>128</v>
      </c>
      <c r="I1748" t="s">
        <v>3445</v>
      </c>
      <c r="J1748" t="s">
        <v>54</v>
      </c>
      <c r="K1748" t="s">
        <v>127</v>
      </c>
      <c r="M1748" t="b">
        <v>1</v>
      </c>
      <c r="N1748" t="s">
        <v>42</v>
      </c>
      <c r="O1748" t="s">
        <v>33</v>
      </c>
      <c r="Q1748">
        <v>116.76</v>
      </c>
      <c r="R1748">
        <v>1.9</v>
      </c>
      <c r="S1748" t="s">
        <v>132</v>
      </c>
      <c r="T1748">
        <v>68.900000000000006</v>
      </c>
      <c r="V1748">
        <v>100.9</v>
      </c>
      <c r="W1748">
        <v>81.900000000000006</v>
      </c>
      <c r="X1748">
        <v>12.8</v>
      </c>
      <c r="Y1748">
        <v>24.5</v>
      </c>
      <c r="Z1748">
        <v>36991981</v>
      </c>
      <c r="AA1748">
        <v>56.130366000000002</v>
      </c>
      <c r="AB1748">
        <v>-106.346771</v>
      </c>
    </row>
    <row r="1749" spans="1:28" hidden="1">
      <c r="A1749">
        <v>1725</v>
      </c>
      <c r="B1749">
        <v>1700</v>
      </c>
      <c r="C1749" t="s">
        <v>217</v>
      </c>
      <c r="D1749" t="s">
        <v>3446</v>
      </c>
      <c r="E1749">
        <v>64</v>
      </c>
      <c r="G1749" t="s">
        <v>1634</v>
      </c>
      <c r="H1749" t="s">
        <v>3102</v>
      </c>
      <c r="I1749" t="s">
        <v>1636</v>
      </c>
      <c r="J1749" t="s">
        <v>217</v>
      </c>
      <c r="K1749" t="s">
        <v>1634</v>
      </c>
      <c r="M1749" t="b">
        <v>0</v>
      </c>
      <c r="N1749" t="s">
        <v>32</v>
      </c>
      <c r="O1749" t="s">
        <v>33</v>
      </c>
      <c r="Q1749">
        <v>112.33</v>
      </c>
      <c r="R1749">
        <v>1</v>
      </c>
      <c r="S1749" t="s">
        <v>1637</v>
      </c>
      <c r="T1749">
        <v>88.2</v>
      </c>
      <c r="V1749">
        <v>100.2</v>
      </c>
      <c r="W1749">
        <v>81.7</v>
      </c>
      <c r="X1749">
        <v>20.8</v>
      </c>
      <c r="Y1749">
        <v>36.6</v>
      </c>
      <c r="Z1749">
        <v>5520314</v>
      </c>
      <c r="AA1749">
        <v>61.924109999999999</v>
      </c>
      <c r="AB1749">
        <v>25.748151</v>
      </c>
    </row>
    <row r="1750" spans="1:28" hidden="1">
      <c r="A1750">
        <v>1725</v>
      </c>
      <c r="B1750">
        <v>1700</v>
      </c>
      <c r="C1750" t="s">
        <v>221</v>
      </c>
      <c r="D1750" t="s">
        <v>3447</v>
      </c>
      <c r="E1750">
        <v>68</v>
      </c>
      <c r="G1750" t="s">
        <v>395</v>
      </c>
      <c r="H1750" t="s">
        <v>395</v>
      </c>
      <c r="I1750" t="s">
        <v>223</v>
      </c>
      <c r="J1750" t="s">
        <v>221</v>
      </c>
      <c r="K1750" t="s">
        <v>395</v>
      </c>
      <c r="M1750" t="b">
        <v>0</v>
      </c>
      <c r="N1750" t="s">
        <v>32</v>
      </c>
      <c r="O1750" t="s">
        <v>33</v>
      </c>
      <c r="Q1750">
        <v>114.41</v>
      </c>
      <c r="R1750">
        <v>0.6</v>
      </c>
      <c r="S1750" t="s">
        <v>451</v>
      </c>
      <c r="T1750">
        <v>84.8</v>
      </c>
      <c r="V1750">
        <v>100.6</v>
      </c>
      <c r="W1750">
        <v>83.1</v>
      </c>
      <c r="X1750">
        <v>13.1</v>
      </c>
      <c r="Y1750">
        <v>21</v>
      </c>
      <c r="Z1750">
        <v>5703569</v>
      </c>
      <c r="AA1750">
        <v>1.3520829999999999</v>
      </c>
      <c r="AB1750">
        <v>103.819836</v>
      </c>
    </row>
    <row r="1751" spans="1:28" hidden="1">
      <c r="A1751">
        <v>1725</v>
      </c>
      <c r="B1751">
        <v>1700</v>
      </c>
      <c r="C1751" t="s">
        <v>54</v>
      </c>
      <c r="D1751" t="s">
        <v>3448</v>
      </c>
      <c r="E1751">
        <v>90</v>
      </c>
      <c r="G1751" t="s">
        <v>127</v>
      </c>
      <c r="H1751" t="s">
        <v>128</v>
      </c>
      <c r="I1751" t="s">
        <v>3449</v>
      </c>
      <c r="J1751" t="s">
        <v>54</v>
      </c>
      <c r="K1751" t="s">
        <v>127</v>
      </c>
      <c r="M1751" t="b">
        <v>1</v>
      </c>
      <c r="N1751" t="s">
        <v>42</v>
      </c>
      <c r="O1751" t="s">
        <v>33</v>
      </c>
      <c r="Q1751">
        <v>116.76</v>
      </c>
      <c r="R1751">
        <v>1.9</v>
      </c>
      <c r="S1751" t="s">
        <v>132</v>
      </c>
      <c r="T1751">
        <v>68.900000000000006</v>
      </c>
      <c r="V1751">
        <v>100.9</v>
      </c>
      <c r="W1751">
        <v>81.900000000000006</v>
      </c>
      <c r="X1751">
        <v>12.8</v>
      </c>
      <c r="Y1751">
        <v>24.5</v>
      </c>
      <c r="Z1751">
        <v>36991981</v>
      </c>
      <c r="AA1751">
        <v>56.130366000000002</v>
      </c>
      <c r="AB1751">
        <v>-106.346771</v>
      </c>
    </row>
    <row r="1752" spans="1:28" hidden="1">
      <c r="A1752">
        <v>1725</v>
      </c>
      <c r="B1752">
        <v>1700</v>
      </c>
      <c r="C1752" t="s">
        <v>217</v>
      </c>
      <c r="D1752" t="s">
        <v>3450</v>
      </c>
      <c r="E1752">
        <v>71</v>
      </c>
      <c r="G1752" t="s">
        <v>77</v>
      </c>
      <c r="H1752" t="s">
        <v>248</v>
      </c>
      <c r="I1752" t="s">
        <v>287</v>
      </c>
      <c r="J1752" t="s">
        <v>217</v>
      </c>
      <c r="K1752" t="s">
        <v>77</v>
      </c>
      <c r="M1752" t="b">
        <v>0</v>
      </c>
      <c r="N1752" t="s">
        <v>192</v>
      </c>
      <c r="O1752" t="s">
        <v>33</v>
      </c>
      <c r="Q1752">
        <v>180.44</v>
      </c>
      <c r="R1752">
        <v>7.7</v>
      </c>
      <c r="S1752" t="s">
        <v>81</v>
      </c>
      <c r="T1752">
        <v>28.1</v>
      </c>
      <c r="V1752">
        <v>113</v>
      </c>
      <c r="W1752">
        <v>69.400000000000006</v>
      </c>
      <c r="X1752">
        <v>11.2</v>
      </c>
      <c r="Y1752">
        <v>49.7</v>
      </c>
      <c r="Z1752">
        <v>1366417754</v>
      </c>
      <c r="AA1752">
        <v>20.593684</v>
      </c>
      <c r="AB1752">
        <v>78.962879999999998</v>
      </c>
    </row>
    <row r="1753" spans="1:28" hidden="1">
      <c r="A1753">
        <v>1725</v>
      </c>
      <c r="B1753">
        <v>1700</v>
      </c>
      <c r="C1753" t="s">
        <v>221</v>
      </c>
      <c r="D1753" t="s">
        <v>3451</v>
      </c>
      <c r="E1753">
        <v>72</v>
      </c>
      <c r="G1753" t="s">
        <v>429</v>
      </c>
      <c r="H1753" t="s">
        <v>430</v>
      </c>
      <c r="I1753" t="s">
        <v>3452</v>
      </c>
      <c r="J1753" t="s">
        <v>221</v>
      </c>
      <c r="K1753" t="s">
        <v>429</v>
      </c>
      <c r="M1753" t="b">
        <v>1</v>
      </c>
      <c r="N1753" t="s">
        <v>42</v>
      </c>
      <c r="O1753" t="s">
        <v>33</v>
      </c>
      <c r="Q1753">
        <v>113.27</v>
      </c>
      <c r="R1753">
        <v>0.7</v>
      </c>
      <c r="S1753" t="s">
        <v>431</v>
      </c>
      <c r="T1753">
        <v>49.3</v>
      </c>
      <c r="V1753">
        <v>99.8</v>
      </c>
      <c r="W1753">
        <v>76.900000000000006</v>
      </c>
      <c r="X1753">
        <v>14.9</v>
      </c>
      <c r="Y1753">
        <v>29.5</v>
      </c>
      <c r="Z1753">
        <v>69625582</v>
      </c>
      <c r="AA1753">
        <v>15.870032</v>
      </c>
      <c r="AB1753">
        <v>100.992541</v>
      </c>
    </row>
    <row r="1754" spans="1:28">
      <c r="A1754">
        <v>1725</v>
      </c>
      <c r="B1754">
        <v>1700</v>
      </c>
      <c r="C1754" t="s">
        <v>288</v>
      </c>
      <c r="D1754" t="s">
        <v>3453</v>
      </c>
      <c r="E1754">
        <v>52</v>
      </c>
      <c r="F1754" t="str">
        <f>IF(E1754&gt;=90,"90-100",IF(E1754&gt;=80,"80-90",IF(E1754&gt;=70,"70-80",IF(E1754&gt;=60,"60-70",IF(E1754&gt;=50,"50-60",IF(E1754&gt;=40,"40-50",IF(E1754&gt;=30,"30-40","20-30")))))))</f>
        <v>50-60</v>
      </c>
      <c r="G1754" t="s">
        <v>38</v>
      </c>
      <c r="H1754" t="s">
        <v>3454</v>
      </c>
      <c r="I1754" t="s">
        <v>1198</v>
      </c>
      <c r="J1754" t="s">
        <v>288</v>
      </c>
      <c r="K1754" t="s">
        <v>38</v>
      </c>
      <c r="L1754" t="s">
        <v>3455</v>
      </c>
      <c r="M1754" t="b">
        <v>1</v>
      </c>
      <c r="N1754" t="s">
        <v>42</v>
      </c>
      <c r="O1754" t="s">
        <v>4867</v>
      </c>
      <c r="P1754" t="s">
        <v>1947</v>
      </c>
      <c r="Q1754">
        <v>117.24</v>
      </c>
      <c r="R1754">
        <v>7.5</v>
      </c>
      <c r="S1754" t="s">
        <v>44</v>
      </c>
      <c r="T1754">
        <v>88.2</v>
      </c>
      <c r="U1754" t="str">
        <f>IF(T1754&gt;=100,"above 100",IF(T1754&gt;=80,"80-100",IF(T1754&gt;=60,"60-80",IF(T1754&gt;=40,"40-60",IF(T1754&gt;=20,"20-60","0-20")))))</f>
        <v>80-100</v>
      </c>
      <c r="V1754">
        <v>101.8</v>
      </c>
      <c r="W1754">
        <v>78.5</v>
      </c>
      <c r="X1754">
        <v>9.6</v>
      </c>
      <c r="Y1754">
        <v>36.6</v>
      </c>
      <c r="Z1754">
        <v>328239523</v>
      </c>
      <c r="AA1754">
        <v>37.090240000000001</v>
      </c>
      <c r="AB1754">
        <v>-95.712890999999999</v>
      </c>
    </row>
    <row r="1755" spans="1:28" hidden="1">
      <c r="A1755">
        <v>1725</v>
      </c>
      <c r="B1755">
        <v>1700</v>
      </c>
      <c r="C1755" t="s">
        <v>26</v>
      </c>
      <c r="D1755" t="s">
        <v>3456</v>
      </c>
      <c r="E1755">
        <v>62</v>
      </c>
      <c r="G1755" t="s">
        <v>611</v>
      </c>
      <c r="H1755" t="s">
        <v>612</v>
      </c>
      <c r="I1755" t="s">
        <v>940</v>
      </c>
      <c r="J1755" t="s">
        <v>26</v>
      </c>
      <c r="K1755" t="s">
        <v>611</v>
      </c>
      <c r="M1755" t="b">
        <v>1</v>
      </c>
      <c r="N1755" t="s">
        <v>42</v>
      </c>
      <c r="O1755" t="s">
        <v>33</v>
      </c>
      <c r="Q1755">
        <v>115.16</v>
      </c>
      <c r="R1755">
        <v>0.4</v>
      </c>
      <c r="S1755" t="s">
        <v>615</v>
      </c>
      <c r="T1755">
        <v>94.3</v>
      </c>
      <c r="V1755">
        <v>98.1</v>
      </c>
      <c r="W1755">
        <v>82.6</v>
      </c>
      <c r="X1755">
        <v>15.6</v>
      </c>
      <c r="Y1755">
        <v>33.200000000000003</v>
      </c>
      <c r="Z1755">
        <v>51709098</v>
      </c>
      <c r="AA1755">
        <v>35.907756999999997</v>
      </c>
      <c r="AB1755">
        <v>127.76692199999999</v>
      </c>
    </row>
    <row r="1756" spans="1:28" hidden="1">
      <c r="A1756">
        <v>1725</v>
      </c>
      <c r="B1756">
        <v>1700</v>
      </c>
      <c r="C1756" t="s">
        <v>63</v>
      </c>
      <c r="D1756" t="s">
        <v>3457</v>
      </c>
      <c r="E1756">
        <v>21</v>
      </c>
      <c r="I1756" t="s">
        <v>3458</v>
      </c>
      <c r="J1756" t="s">
        <v>63</v>
      </c>
      <c r="K1756" t="s">
        <v>611</v>
      </c>
      <c r="M1756" t="b">
        <v>0</v>
      </c>
      <c r="N1756" t="s">
        <v>192</v>
      </c>
      <c r="O1756" t="s">
        <v>88</v>
      </c>
    </row>
    <row r="1757" spans="1:28" hidden="1">
      <c r="A1757">
        <v>1725</v>
      </c>
      <c r="B1757">
        <v>1700</v>
      </c>
      <c r="C1757" t="s">
        <v>63</v>
      </c>
      <c r="D1757" t="s">
        <v>3459</v>
      </c>
      <c r="E1757">
        <v>19</v>
      </c>
      <c r="I1757" t="s">
        <v>3458</v>
      </c>
      <c r="J1757" t="s">
        <v>63</v>
      </c>
      <c r="K1757" t="s">
        <v>611</v>
      </c>
      <c r="M1757" t="b">
        <v>0</v>
      </c>
      <c r="N1757" t="s">
        <v>192</v>
      </c>
      <c r="O1757" t="s">
        <v>88</v>
      </c>
    </row>
    <row r="1758" spans="1:28" hidden="1">
      <c r="A1758">
        <v>1725</v>
      </c>
      <c r="B1758">
        <v>1700</v>
      </c>
      <c r="C1758" t="s">
        <v>26</v>
      </c>
      <c r="D1758" t="s">
        <v>3460</v>
      </c>
      <c r="E1758">
        <v>59</v>
      </c>
      <c r="G1758" t="s">
        <v>1267</v>
      </c>
      <c r="H1758" t="s">
        <v>1268</v>
      </c>
      <c r="I1758" t="s">
        <v>200</v>
      </c>
      <c r="J1758" t="s">
        <v>26</v>
      </c>
      <c r="K1758" t="s">
        <v>1267</v>
      </c>
      <c r="M1758" t="b">
        <v>1</v>
      </c>
      <c r="N1758" t="s">
        <v>32</v>
      </c>
      <c r="O1758" t="s">
        <v>33</v>
      </c>
      <c r="Q1758">
        <v>234.44</v>
      </c>
      <c r="R1758">
        <v>15.2</v>
      </c>
      <c r="S1758" t="s">
        <v>1270</v>
      </c>
      <c r="T1758">
        <v>23.9</v>
      </c>
      <c r="V1758">
        <v>93.2</v>
      </c>
      <c r="W1758">
        <v>77.400000000000006</v>
      </c>
      <c r="X1758">
        <v>17.899999999999999</v>
      </c>
      <c r="Y1758">
        <v>42.3</v>
      </c>
      <c r="Z1758">
        <v>83429615</v>
      </c>
      <c r="AA1758">
        <v>38.963745000000003</v>
      </c>
      <c r="AB1758">
        <v>35.243321999999999</v>
      </c>
    </row>
    <row r="1759" spans="1:28" hidden="1">
      <c r="A1759">
        <v>1725</v>
      </c>
      <c r="B1759">
        <v>1700</v>
      </c>
      <c r="C1759" t="s">
        <v>221</v>
      </c>
      <c r="D1759" t="s">
        <v>3461</v>
      </c>
      <c r="E1759">
        <v>37</v>
      </c>
      <c r="G1759" t="s">
        <v>172</v>
      </c>
      <c r="H1759" t="s">
        <v>172</v>
      </c>
      <c r="I1759" t="s">
        <v>223</v>
      </c>
      <c r="J1759" t="s">
        <v>221</v>
      </c>
      <c r="K1759" t="s">
        <v>172</v>
      </c>
      <c r="M1759" t="b">
        <v>0</v>
      </c>
      <c r="N1759" t="s">
        <v>32</v>
      </c>
      <c r="O1759" t="s">
        <v>33</v>
      </c>
    </row>
    <row r="1760" spans="1:28" hidden="1">
      <c r="A1760">
        <v>1725</v>
      </c>
      <c r="B1760">
        <v>1700</v>
      </c>
      <c r="C1760" t="s">
        <v>221</v>
      </c>
      <c r="D1760" t="s">
        <v>3462</v>
      </c>
      <c r="E1760">
        <v>42</v>
      </c>
      <c r="G1760" t="s">
        <v>172</v>
      </c>
      <c r="H1760" t="s">
        <v>172</v>
      </c>
      <c r="I1760" t="s">
        <v>223</v>
      </c>
      <c r="J1760" t="s">
        <v>221</v>
      </c>
      <c r="K1760" t="s">
        <v>172</v>
      </c>
      <c r="M1760" t="b">
        <v>0</v>
      </c>
      <c r="N1760" t="s">
        <v>32</v>
      </c>
      <c r="O1760" t="s">
        <v>33</v>
      </c>
    </row>
    <row r="1761" spans="1:28" hidden="1">
      <c r="A1761">
        <v>1725</v>
      </c>
      <c r="B1761">
        <v>1700</v>
      </c>
      <c r="C1761" t="s">
        <v>154</v>
      </c>
      <c r="D1761" t="s">
        <v>3463</v>
      </c>
      <c r="E1761">
        <v>53</v>
      </c>
      <c r="G1761" t="s">
        <v>103</v>
      </c>
      <c r="H1761" t="s">
        <v>215</v>
      </c>
      <c r="I1761" t="s">
        <v>3464</v>
      </c>
      <c r="J1761" t="s">
        <v>154</v>
      </c>
      <c r="K1761" t="s">
        <v>103</v>
      </c>
      <c r="M1761" t="b">
        <v>1</v>
      </c>
      <c r="N1761" t="s">
        <v>32</v>
      </c>
      <c r="O1761" t="s">
        <v>33</v>
      </c>
      <c r="Q1761">
        <v>125.08</v>
      </c>
      <c r="R1761">
        <v>2.9</v>
      </c>
      <c r="S1761" t="s">
        <v>106</v>
      </c>
      <c r="T1761">
        <v>50.6</v>
      </c>
      <c r="V1761">
        <v>100.2</v>
      </c>
      <c r="W1761">
        <v>77</v>
      </c>
      <c r="X1761">
        <v>9.4</v>
      </c>
      <c r="Y1761">
        <v>59.2</v>
      </c>
      <c r="Z1761">
        <v>1397715000</v>
      </c>
      <c r="AA1761">
        <v>35.861660000000001</v>
      </c>
      <c r="AB1761">
        <v>104.195397</v>
      </c>
    </row>
    <row r="1762" spans="1:28" hidden="1">
      <c r="A1762">
        <v>1725</v>
      </c>
      <c r="B1762">
        <v>1700</v>
      </c>
      <c r="C1762" t="s">
        <v>75</v>
      </c>
      <c r="D1762" t="s">
        <v>3465</v>
      </c>
      <c r="E1762">
        <v>87</v>
      </c>
      <c r="G1762" t="s">
        <v>512</v>
      </c>
      <c r="H1762" t="s">
        <v>3466</v>
      </c>
      <c r="I1762" t="s">
        <v>2359</v>
      </c>
      <c r="J1762" t="s">
        <v>75</v>
      </c>
      <c r="K1762" t="s">
        <v>512</v>
      </c>
      <c r="M1762" t="b">
        <v>0</v>
      </c>
      <c r="N1762" t="s">
        <v>42</v>
      </c>
      <c r="O1762" t="s">
        <v>33</v>
      </c>
      <c r="Q1762">
        <v>121.46</v>
      </c>
      <c r="R1762">
        <v>0.7</v>
      </c>
      <c r="S1762" t="s">
        <v>592</v>
      </c>
      <c r="T1762">
        <v>45.1</v>
      </c>
      <c r="V1762">
        <v>105.3</v>
      </c>
      <c r="W1762">
        <v>76</v>
      </c>
      <c r="X1762">
        <v>12</v>
      </c>
      <c r="Y1762">
        <v>38.700000000000003</v>
      </c>
      <c r="Z1762">
        <v>32447385</v>
      </c>
      <c r="AA1762">
        <v>4.2104840000000001</v>
      </c>
      <c r="AB1762">
        <v>101.97576599999999</v>
      </c>
    </row>
    <row r="1763" spans="1:28">
      <c r="A1763">
        <v>1725</v>
      </c>
      <c r="B1763">
        <v>1700</v>
      </c>
      <c r="C1763" t="s">
        <v>45</v>
      </c>
      <c r="D1763" t="s">
        <v>3467</v>
      </c>
      <c r="E1763">
        <v>48</v>
      </c>
      <c r="F1763" t="str">
        <f>IF(E1763&gt;=90,"90-100",IF(E1763&gt;=80,"80-90",IF(E1763&gt;=70,"70-80",IF(E1763&gt;=60,"60-70",IF(E1763&gt;=50,"50-60",IF(E1763&gt;=40,"40-50",IF(E1763&gt;=30,"30-40","20-30")))))))</f>
        <v>40-50</v>
      </c>
      <c r="G1763" t="s">
        <v>38</v>
      </c>
      <c r="H1763" t="s">
        <v>65</v>
      </c>
      <c r="I1763" t="s">
        <v>3365</v>
      </c>
      <c r="J1763" t="s">
        <v>45</v>
      </c>
      <c r="K1763" t="s">
        <v>38</v>
      </c>
      <c r="L1763" t="s">
        <v>3366</v>
      </c>
      <c r="M1763" t="b">
        <v>1</v>
      </c>
      <c r="N1763" t="s">
        <v>42</v>
      </c>
      <c r="O1763" t="s">
        <v>4867</v>
      </c>
      <c r="P1763" t="s">
        <v>110</v>
      </c>
      <c r="Q1763">
        <v>117.24</v>
      </c>
      <c r="R1763">
        <v>7.5</v>
      </c>
      <c r="S1763" t="s">
        <v>44</v>
      </c>
      <c r="T1763">
        <v>88.2</v>
      </c>
      <c r="U1763" t="str">
        <f>IF(T1763&gt;=100,"above 100",IF(T1763&gt;=80,"80-100",IF(T1763&gt;=60,"60-80",IF(T1763&gt;=40,"40-60",IF(T1763&gt;=20,"20-60","0-20")))))</f>
        <v>80-100</v>
      </c>
      <c r="V1763">
        <v>101.8</v>
      </c>
      <c r="W1763">
        <v>78.5</v>
      </c>
      <c r="X1763">
        <v>9.6</v>
      </c>
      <c r="Y1763">
        <v>36.6</v>
      </c>
      <c r="Z1763">
        <v>328239523</v>
      </c>
      <c r="AA1763">
        <v>37.090240000000001</v>
      </c>
      <c r="AB1763">
        <v>-95.712890999999999</v>
      </c>
    </row>
    <row r="1764" spans="1:28" hidden="1">
      <c r="A1764">
        <v>1725</v>
      </c>
      <c r="B1764">
        <v>1700</v>
      </c>
      <c r="C1764" t="s">
        <v>288</v>
      </c>
      <c r="D1764" t="s">
        <v>3468</v>
      </c>
      <c r="E1764">
        <v>70</v>
      </c>
      <c r="G1764" t="s">
        <v>103</v>
      </c>
      <c r="H1764" t="s">
        <v>3469</v>
      </c>
      <c r="I1764" t="s">
        <v>418</v>
      </c>
      <c r="J1764" t="s">
        <v>288</v>
      </c>
      <c r="K1764" t="s">
        <v>103</v>
      </c>
      <c r="M1764" t="b">
        <v>1</v>
      </c>
      <c r="N1764" t="s">
        <v>42</v>
      </c>
      <c r="O1764" t="s">
        <v>88</v>
      </c>
      <c r="Q1764">
        <v>125.08</v>
      </c>
      <c r="R1764">
        <v>2.9</v>
      </c>
      <c r="S1764" t="s">
        <v>106</v>
      </c>
      <c r="T1764">
        <v>50.6</v>
      </c>
      <c r="V1764">
        <v>100.2</v>
      </c>
      <c r="W1764">
        <v>77</v>
      </c>
      <c r="X1764">
        <v>9.4</v>
      </c>
      <c r="Y1764">
        <v>59.2</v>
      </c>
      <c r="Z1764">
        <v>1397715000</v>
      </c>
      <c r="AA1764">
        <v>35.861660000000001</v>
      </c>
      <c r="AB1764">
        <v>104.195397</v>
      </c>
    </row>
    <row r="1765" spans="1:28" hidden="1">
      <c r="A1765">
        <v>1725</v>
      </c>
      <c r="B1765">
        <v>1700</v>
      </c>
      <c r="C1765" t="s">
        <v>288</v>
      </c>
      <c r="D1765" t="s">
        <v>3470</v>
      </c>
      <c r="E1765">
        <v>78</v>
      </c>
      <c r="G1765" t="s">
        <v>38</v>
      </c>
      <c r="H1765" t="s">
        <v>852</v>
      </c>
      <c r="I1765" t="s">
        <v>3471</v>
      </c>
      <c r="J1765" t="s">
        <v>288</v>
      </c>
      <c r="K1765" t="s">
        <v>38</v>
      </c>
      <c r="M1765" t="b">
        <v>1</v>
      </c>
      <c r="N1765" t="s">
        <v>419</v>
      </c>
      <c r="O1765" t="s">
        <v>33</v>
      </c>
      <c r="Q1765">
        <v>117.24</v>
      </c>
      <c r="R1765">
        <v>7.5</v>
      </c>
      <c r="S1765" t="s">
        <v>44</v>
      </c>
      <c r="T1765">
        <v>88.2</v>
      </c>
      <c r="V1765">
        <v>101.8</v>
      </c>
      <c r="W1765">
        <v>78.5</v>
      </c>
      <c r="X1765">
        <v>9.6</v>
      </c>
      <c r="Y1765">
        <v>36.6</v>
      </c>
      <c r="Z1765">
        <v>328239523</v>
      </c>
      <c r="AA1765">
        <v>37.090240000000001</v>
      </c>
      <c r="AB1765">
        <v>-95.712890999999999</v>
      </c>
    </row>
    <row r="1766" spans="1:28" hidden="1">
      <c r="A1766">
        <v>1725</v>
      </c>
      <c r="B1766">
        <v>1700</v>
      </c>
      <c r="C1766" t="s">
        <v>101</v>
      </c>
      <c r="D1766" t="s">
        <v>3472</v>
      </c>
      <c r="E1766">
        <v>54</v>
      </c>
      <c r="G1766" t="s">
        <v>103</v>
      </c>
      <c r="H1766" t="s">
        <v>279</v>
      </c>
      <c r="I1766" t="s">
        <v>408</v>
      </c>
      <c r="J1766" t="s">
        <v>101</v>
      </c>
      <c r="K1766" t="s">
        <v>103</v>
      </c>
      <c r="M1766" t="b">
        <v>1</v>
      </c>
      <c r="N1766" t="s">
        <v>42</v>
      </c>
      <c r="O1766" t="s">
        <v>88</v>
      </c>
      <c r="Q1766">
        <v>125.08</v>
      </c>
      <c r="R1766">
        <v>2.9</v>
      </c>
      <c r="S1766" t="s">
        <v>106</v>
      </c>
      <c r="T1766">
        <v>50.6</v>
      </c>
      <c r="V1766">
        <v>100.2</v>
      </c>
      <c r="W1766">
        <v>77</v>
      </c>
      <c r="X1766">
        <v>9.4</v>
      </c>
      <c r="Y1766">
        <v>59.2</v>
      </c>
      <c r="Z1766">
        <v>1397715000</v>
      </c>
      <c r="AA1766">
        <v>35.861660000000001</v>
      </c>
      <c r="AB1766">
        <v>104.195397</v>
      </c>
    </row>
    <row r="1767" spans="1:28" hidden="1">
      <c r="A1767">
        <v>1725</v>
      </c>
      <c r="B1767">
        <v>1700</v>
      </c>
      <c r="C1767" t="s">
        <v>101</v>
      </c>
      <c r="D1767" t="s">
        <v>3473</v>
      </c>
      <c r="E1767">
        <v>59</v>
      </c>
      <c r="G1767" t="s">
        <v>38</v>
      </c>
      <c r="H1767" t="s">
        <v>3474</v>
      </c>
      <c r="I1767" t="s">
        <v>3475</v>
      </c>
      <c r="J1767" t="s">
        <v>101</v>
      </c>
      <c r="K1767" t="s">
        <v>38</v>
      </c>
      <c r="M1767" t="b">
        <v>1</v>
      </c>
      <c r="N1767" t="s">
        <v>419</v>
      </c>
      <c r="O1767" t="s">
        <v>33</v>
      </c>
      <c r="Q1767">
        <v>117.24</v>
      </c>
      <c r="R1767">
        <v>7.5</v>
      </c>
      <c r="S1767" t="s">
        <v>44</v>
      </c>
      <c r="T1767">
        <v>88.2</v>
      </c>
      <c r="V1767">
        <v>101.8</v>
      </c>
      <c r="W1767">
        <v>78.5</v>
      </c>
      <c r="X1767">
        <v>9.6</v>
      </c>
      <c r="Y1767">
        <v>36.6</v>
      </c>
      <c r="Z1767">
        <v>328239523</v>
      </c>
      <c r="AA1767">
        <v>37.090240000000001</v>
      </c>
      <c r="AB1767">
        <v>-95.712890999999999</v>
      </c>
    </row>
    <row r="1768" spans="1:28" hidden="1">
      <c r="A1768">
        <v>1725</v>
      </c>
      <c r="B1768">
        <v>1700</v>
      </c>
      <c r="C1768" t="s">
        <v>236</v>
      </c>
      <c r="D1768" t="s">
        <v>3476</v>
      </c>
      <c r="E1768">
        <v>54</v>
      </c>
      <c r="G1768" t="s">
        <v>103</v>
      </c>
      <c r="H1768" t="s">
        <v>3477</v>
      </c>
      <c r="I1768" t="s">
        <v>3478</v>
      </c>
      <c r="J1768" t="s">
        <v>236</v>
      </c>
      <c r="K1768" t="s">
        <v>103</v>
      </c>
      <c r="M1768" t="b">
        <v>1</v>
      </c>
      <c r="N1768" t="s">
        <v>42</v>
      </c>
      <c r="O1768" t="s">
        <v>33</v>
      </c>
      <c r="Q1768">
        <v>125.08</v>
      </c>
      <c r="R1768">
        <v>2.9</v>
      </c>
      <c r="S1768" t="s">
        <v>106</v>
      </c>
      <c r="T1768">
        <v>50.6</v>
      </c>
      <c r="V1768">
        <v>100.2</v>
      </c>
      <c r="W1768">
        <v>77</v>
      </c>
      <c r="X1768">
        <v>9.4</v>
      </c>
      <c r="Y1768">
        <v>59.2</v>
      </c>
      <c r="Z1768">
        <v>1397715000</v>
      </c>
      <c r="AA1768">
        <v>35.861660000000001</v>
      </c>
      <c r="AB1768">
        <v>104.195397</v>
      </c>
    </row>
    <row r="1769" spans="1:28" hidden="1">
      <c r="A1769">
        <v>1725</v>
      </c>
      <c r="B1769">
        <v>1700</v>
      </c>
      <c r="C1769" t="s">
        <v>45</v>
      </c>
      <c r="D1769" t="s">
        <v>3479</v>
      </c>
      <c r="G1769" t="s">
        <v>103</v>
      </c>
      <c r="H1769" t="s">
        <v>176</v>
      </c>
      <c r="I1769" t="s">
        <v>1580</v>
      </c>
      <c r="J1769" t="s">
        <v>45</v>
      </c>
      <c r="K1769" t="s">
        <v>103</v>
      </c>
      <c r="M1769" t="b">
        <v>1</v>
      </c>
      <c r="N1769" t="s">
        <v>419</v>
      </c>
      <c r="O1769" t="s">
        <v>33</v>
      </c>
      <c r="P1769" t="s">
        <v>468</v>
      </c>
      <c r="Q1769">
        <v>125.08</v>
      </c>
      <c r="R1769">
        <v>2.9</v>
      </c>
      <c r="S1769" t="s">
        <v>106</v>
      </c>
      <c r="T1769">
        <v>50.6</v>
      </c>
      <c r="V1769">
        <v>100.2</v>
      </c>
      <c r="W1769">
        <v>77</v>
      </c>
      <c r="X1769">
        <v>9.4</v>
      </c>
      <c r="Y1769">
        <v>59.2</v>
      </c>
      <c r="Z1769">
        <v>1397715000</v>
      </c>
      <c r="AA1769">
        <v>35.861660000000001</v>
      </c>
      <c r="AB1769">
        <v>104.195397</v>
      </c>
    </row>
    <row r="1770" spans="1:28">
      <c r="A1770">
        <v>1725</v>
      </c>
      <c r="B1770">
        <v>1700</v>
      </c>
      <c r="C1770" t="s">
        <v>45</v>
      </c>
      <c r="D1770" t="s">
        <v>3480</v>
      </c>
      <c r="E1770">
        <v>30</v>
      </c>
      <c r="F1770" t="str">
        <f>IF(E1770&gt;=90,"90-100",IF(E1770&gt;=80,"80-90",IF(E1770&gt;=70,"70-80",IF(E1770&gt;=60,"60-70",IF(E1770&gt;=50,"50-60",IF(E1770&gt;=40,"40-50",IF(E1770&gt;=30,"30-40","20-30")))))))</f>
        <v>30-40</v>
      </c>
      <c r="G1770" t="s">
        <v>38</v>
      </c>
      <c r="H1770" t="s">
        <v>372</v>
      </c>
      <c r="I1770" t="s">
        <v>3481</v>
      </c>
      <c r="J1770" t="s">
        <v>45</v>
      </c>
      <c r="K1770" t="s">
        <v>38</v>
      </c>
      <c r="L1770" t="s">
        <v>3482</v>
      </c>
      <c r="M1770" t="b">
        <v>1</v>
      </c>
      <c r="N1770" t="s">
        <v>192</v>
      </c>
      <c r="O1770" t="s">
        <v>4867</v>
      </c>
      <c r="P1770" t="s">
        <v>628</v>
      </c>
      <c r="Q1770">
        <v>117.24</v>
      </c>
      <c r="R1770">
        <v>7.5</v>
      </c>
      <c r="S1770" t="s">
        <v>44</v>
      </c>
      <c r="T1770">
        <v>88.2</v>
      </c>
      <c r="U1770" t="str">
        <f>IF(T1770&gt;=100,"above 100",IF(T1770&gt;=80,"80-100",IF(T1770&gt;=60,"60-80",IF(T1770&gt;=40,"40-60",IF(T1770&gt;=20,"20-60","0-20")))))</f>
        <v>80-100</v>
      </c>
      <c r="V1770">
        <v>101.8</v>
      </c>
      <c r="W1770">
        <v>78.5</v>
      </c>
      <c r="X1770">
        <v>9.6</v>
      </c>
      <c r="Y1770">
        <v>36.6</v>
      </c>
      <c r="Z1770">
        <v>328239523</v>
      </c>
      <c r="AA1770">
        <v>37.090240000000001</v>
      </c>
      <c r="AB1770">
        <v>-95.712890999999999</v>
      </c>
    </row>
    <row r="1771" spans="1:28" hidden="1">
      <c r="A1771">
        <v>1725</v>
      </c>
      <c r="B1771">
        <v>1700</v>
      </c>
      <c r="C1771" t="s">
        <v>54</v>
      </c>
      <c r="D1771" t="s">
        <v>3483</v>
      </c>
      <c r="E1771">
        <v>85</v>
      </c>
      <c r="G1771" t="s">
        <v>38</v>
      </c>
      <c r="H1771" t="s">
        <v>3484</v>
      </c>
      <c r="I1771" t="s">
        <v>66</v>
      </c>
      <c r="J1771" t="s">
        <v>54</v>
      </c>
      <c r="K1771" t="s">
        <v>38</v>
      </c>
      <c r="M1771" t="b">
        <v>1</v>
      </c>
      <c r="N1771" t="s">
        <v>32</v>
      </c>
      <c r="O1771" t="s">
        <v>33</v>
      </c>
      <c r="Q1771">
        <v>117.24</v>
      </c>
      <c r="R1771">
        <v>7.5</v>
      </c>
      <c r="S1771" t="s">
        <v>44</v>
      </c>
      <c r="T1771">
        <v>88.2</v>
      </c>
      <c r="V1771">
        <v>101.8</v>
      </c>
      <c r="W1771">
        <v>78.5</v>
      </c>
      <c r="X1771">
        <v>9.6</v>
      </c>
      <c r="Y1771">
        <v>36.6</v>
      </c>
      <c r="Z1771">
        <v>328239523</v>
      </c>
      <c r="AA1771">
        <v>37.090240000000001</v>
      </c>
      <c r="AB1771">
        <v>-95.712890999999999</v>
      </c>
    </row>
    <row r="1772" spans="1:28" hidden="1">
      <c r="A1772">
        <v>1725</v>
      </c>
      <c r="B1772">
        <v>1700</v>
      </c>
      <c r="C1772" t="s">
        <v>45</v>
      </c>
      <c r="D1772" t="s">
        <v>3485</v>
      </c>
      <c r="E1772">
        <v>47</v>
      </c>
      <c r="G1772" t="s">
        <v>198</v>
      </c>
      <c r="H1772" t="s">
        <v>3486</v>
      </c>
      <c r="I1772" t="s">
        <v>525</v>
      </c>
      <c r="J1772" t="s">
        <v>45</v>
      </c>
      <c r="K1772" t="s">
        <v>198</v>
      </c>
      <c r="M1772" t="b">
        <v>1</v>
      </c>
      <c r="N1772" t="s">
        <v>42</v>
      </c>
      <c r="O1772" t="s">
        <v>33</v>
      </c>
      <c r="Q1772">
        <v>105.48</v>
      </c>
      <c r="R1772">
        <v>0.5</v>
      </c>
      <c r="S1772" t="s">
        <v>201</v>
      </c>
      <c r="T1772">
        <v>63.2</v>
      </c>
      <c r="V1772">
        <v>98.8</v>
      </c>
      <c r="W1772">
        <v>84.2</v>
      </c>
      <c r="X1772">
        <v>11.9</v>
      </c>
      <c r="Y1772">
        <v>46.7</v>
      </c>
      <c r="Z1772">
        <v>126226568</v>
      </c>
      <c r="AA1772">
        <v>36.204824000000002</v>
      </c>
      <c r="AB1772">
        <v>138.25292400000001</v>
      </c>
    </row>
    <row r="1773" spans="1:28" hidden="1">
      <c r="A1773">
        <v>1725</v>
      </c>
      <c r="B1773">
        <v>1700</v>
      </c>
      <c r="C1773" t="s">
        <v>26</v>
      </c>
      <c r="D1773" t="s">
        <v>3487</v>
      </c>
      <c r="E1773">
        <v>60</v>
      </c>
      <c r="G1773" t="s">
        <v>384</v>
      </c>
      <c r="H1773" t="s">
        <v>3488</v>
      </c>
      <c r="I1773" t="s">
        <v>410</v>
      </c>
      <c r="J1773" t="s">
        <v>26</v>
      </c>
      <c r="K1773" t="s">
        <v>384</v>
      </c>
      <c r="M1773" t="b">
        <v>1</v>
      </c>
      <c r="N1773" t="s">
        <v>32</v>
      </c>
      <c r="O1773" t="s">
        <v>33</v>
      </c>
      <c r="Q1773">
        <v>167.4</v>
      </c>
      <c r="R1773">
        <v>3.7</v>
      </c>
      <c r="S1773" t="s">
        <v>563</v>
      </c>
      <c r="T1773">
        <v>51.3</v>
      </c>
      <c r="V1773">
        <v>115.4</v>
      </c>
      <c r="W1773">
        <v>75.7</v>
      </c>
      <c r="X1773">
        <v>14.2</v>
      </c>
      <c r="Y1773">
        <v>65.099999999999994</v>
      </c>
      <c r="Z1773">
        <v>212559417</v>
      </c>
      <c r="AA1773">
        <v>-14.235004</v>
      </c>
      <c r="AB1773">
        <v>-51.925280000000001</v>
      </c>
    </row>
    <row r="1774" spans="1:28" hidden="1">
      <c r="A1774">
        <v>1725</v>
      </c>
      <c r="B1774">
        <v>1700</v>
      </c>
      <c r="C1774" t="s">
        <v>217</v>
      </c>
      <c r="D1774" t="s">
        <v>3489</v>
      </c>
      <c r="E1774">
        <v>74</v>
      </c>
      <c r="G1774" t="s">
        <v>103</v>
      </c>
      <c r="H1774" t="s">
        <v>1090</v>
      </c>
      <c r="I1774" t="s">
        <v>287</v>
      </c>
      <c r="J1774" t="s">
        <v>217</v>
      </c>
      <c r="K1774" t="s">
        <v>103</v>
      </c>
      <c r="M1774" t="b">
        <v>1</v>
      </c>
      <c r="N1774" t="s">
        <v>32</v>
      </c>
      <c r="O1774" t="s">
        <v>33</v>
      </c>
      <c r="Q1774">
        <v>125.08</v>
      </c>
      <c r="R1774">
        <v>2.9</v>
      </c>
      <c r="S1774" t="s">
        <v>106</v>
      </c>
      <c r="T1774">
        <v>50.6</v>
      </c>
      <c r="V1774">
        <v>100.2</v>
      </c>
      <c r="W1774">
        <v>77</v>
      </c>
      <c r="X1774">
        <v>9.4</v>
      </c>
      <c r="Y1774">
        <v>59.2</v>
      </c>
      <c r="Z1774">
        <v>1397715000</v>
      </c>
      <c r="AA1774">
        <v>35.861660000000001</v>
      </c>
      <c r="AB1774">
        <v>104.195397</v>
      </c>
    </row>
    <row r="1775" spans="1:28" hidden="1">
      <c r="A1775">
        <v>1725</v>
      </c>
      <c r="B1775">
        <v>1700</v>
      </c>
      <c r="C1775" t="s">
        <v>26</v>
      </c>
      <c r="D1775" t="s">
        <v>3490</v>
      </c>
      <c r="E1775">
        <v>73</v>
      </c>
      <c r="G1775" t="s">
        <v>95</v>
      </c>
      <c r="H1775" t="s">
        <v>1527</v>
      </c>
      <c r="I1775" t="s">
        <v>3491</v>
      </c>
      <c r="J1775" t="s">
        <v>26</v>
      </c>
      <c r="K1775" t="s">
        <v>95</v>
      </c>
      <c r="M1775" t="b">
        <v>1</v>
      </c>
      <c r="N1775" t="s">
        <v>419</v>
      </c>
      <c r="O1775" t="s">
        <v>33</v>
      </c>
      <c r="Q1775">
        <v>110.96</v>
      </c>
      <c r="R1775">
        <v>0.7</v>
      </c>
      <c r="S1775" t="s">
        <v>98</v>
      </c>
      <c r="T1775">
        <v>88.9</v>
      </c>
      <c r="V1775">
        <v>102.7</v>
      </c>
      <c r="W1775">
        <v>83.3</v>
      </c>
      <c r="X1775">
        <v>14.2</v>
      </c>
      <c r="Y1775">
        <v>47</v>
      </c>
      <c r="Z1775">
        <v>47076781</v>
      </c>
      <c r="AA1775">
        <v>40.463667000000001</v>
      </c>
      <c r="AB1775">
        <v>-3.7492200000000002</v>
      </c>
    </row>
    <row r="1776" spans="1:28" hidden="1">
      <c r="A1776">
        <v>1725</v>
      </c>
      <c r="B1776">
        <v>1700</v>
      </c>
      <c r="C1776" t="s">
        <v>217</v>
      </c>
      <c r="D1776" t="s">
        <v>3492</v>
      </c>
      <c r="E1776">
        <v>75</v>
      </c>
      <c r="G1776" t="s">
        <v>77</v>
      </c>
      <c r="H1776" t="s">
        <v>78</v>
      </c>
      <c r="I1776" t="s">
        <v>2380</v>
      </c>
      <c r="J1776" t="s">
        <v>217</v>
      </c>
      <c r="K1776" t="s">
        <v>77</v>
      </c>
      <c r="M1776" t="b">
        <v>0</v>
      </c>
      <c r="N1776" t="s">
        <v>42</v>
      </c>
      <c r="O1776" t="s">
        <v>88</v>
      </c>
      <c r="Q1776">
        <v>180.44</v>
      </c>
      <c r="R1776">
        <v>7.7</v>
      </c>
      <c r="S1776" t="s">
        <v>81</v>
      </c>
      <c r="T1776">
        <v>28.1</v>
      </c>
      <c r="V1776">
        <v>113</v>
      </c>
      <c r="W1776">
        <v>69.400000000000006</v>
      </c>
      <c r="X1776">
        <v>11.2</v>
      </c>
      <c r="Y1776">
        <v>49.7</v>
      </c>
      <c r="Z1776">
        <v>1366417754</v>
      </c>
      <c r="AA1776">
        <v>20.593684</v>
      </c>
      <c r="AB1776">
        <v>78.962879999999998</v>
      </c>
    </row>
    <row r="1777" spans="1:28" hidden="1">
      <c r="A1777">
        <v>1725</v>
      </c>
      <c r="B1777">
        <v>1700</v>
      </c>
      <c r="C1777" t="s">
        <v>26</v>
      </c>
      <c r="D1777" t="s">
        <v>3493</v>
      </c>
      <c r="E1777">
        <v>56</v>
      </c>
      <c r="G1777" t="s">
        <v>3144</v>
      </c>
      <c r="H1777" t="s">
        <v>3494</v>
      </c>
      <c r="I1777" t="s">
        <v>150</v>
      </c>
      <c r="J1777" t="s">
        <v>26</v>
      </c>
      <c r="K1777" t="s">
        <v>3144</v>
      </c>
      <c r="M1777" t="b">
        <v>1</v>
      </c>
      <c r="N1777" t="s">
        <v>32</v>
      </c>
      <c r="O1777" t="s">
        <v>33</v>
      </c>
      <c r="Q1777">
        <v>123.78</v>
      </c>
      <c r="R1777">
        <v>3.8</v>
      </c>
      <c r="S1777" t="s">
        <v>3147</v>
      </c>
      <c r="T1777">
        <v>49.4</v>
      </c>
      <c r="V1777">
        <v>85.2</v>
      </c>
      <c r="W1777">
        <v>75.400000000000006</v>
      </c>
      <c r="X1777">
        <v>14.6</v>
      </c>
      <c r="Y1777">
        <v>20</v>
      </c>
      <c r="Z1777">
        <v>19356544</v>
      </c>
      <c r="AA1777">
        <v>45.943161000000003</v>
      </c>
      <c r="AB1777">
        <v>24.966760000000001</v>
      </c>
    </row>
    <row r="1778" spans="1:28" hidden="1">
      <c r="A1778">
        <v>1725</v>
      </c>
      <c r="B1778">
        <v>1700</v>
      </c>
      <c r="C1778" t="s">
        <v>221</v>
      </c>
      <c r="D1778" t="s">
        <v>3495</v>
      </c>
      <c r="E1778">
        <v>73</v>
      </c>
      <c r="G1778" t="s">
        <v>38</v>
      </c>
      <c r="H1778" t="s">
        <v>184</v>
      </c>
      <c r="I1778" t="s">
        <v>223</v>
      </c>
      <c r="J1778" t="s">
        <v>221</v>
      </c>
      <c r="K1778" t="s">
        <v>38</v>
      </c>
      <c r="M1778" t="b">
        <v>1</v>
      </c>
      <c r="N1778" t="s">
        <v>419</v>
      </c>
      <c r="O1778" t="s">
        <v>33</v>
      </c>
      <c r="Q1778">
        <v>117.24</v>
      </c>
      <c r="R1778">
        <v>7.5</v>
      </c>
      <c r="S1778" t="s">
        <v>44</v>
      </c>
      <c r="T1778">
        <v>88.2</v>
      </c>
      <c r="V1778">
        <v>101.8</v>
      </c>
      <c r="W1778">
        <v>78.5</v>
      </c>
      <c r="X1778">
        <v>9.6</v>
      </c>
      <c r="Y1778">
        <v>36.6</v>
      </c>
      <c r="Z1778">
        <v>328239523</v>
      </c>
      <c r="AA1778">
        <v>37.090240000000001</v>
      </c>
      <c r="AB1778">
        <v>-95.712890999999999</v>
      </c>
    </row>
    <row r="1779" spans="1:28" hidden="1">
      <c r="A1779">
        <v>1725</v>
      </c>
      <c r="B1779">
        <v>1700</v>
      </c>
      <c r="C1779" t="s">
        <v>236</v>
      </c>
      <c r="D1779" t="s">
        <v>3496</v>
      </c>
      <c r="E1779">
        <v>59</v>
      </c>
      <c r="G1779" t="s">
        <v>263</v>
      </c>
      <c r="H1779" t="s">
        <v>274</v>
      </c>
      <c r="I1779" t="s">
        <v>3373</v>
      </c>
      <c r="J1779" t="s">
        <v>236</v>
      </c>
      <c r="K1779" t="s">
        <v>263</v>
      </c>
      <c r="M1779" t="b">
        <v>1</v>
      </c>
      <c r="N1779" t="s">
        <v>853</v>
      </c>
      <c r="O1779" t="s">
        <v>33</v>
      </c>
      <c r="Q1779">
        <v>180.75</v>
      </c>
      <c r="R1779">
        <v>4.5</v>
      </c>
      <c r="S1779" t="s">
        <v>276</v>
      </c>
      <c r="T1779">
        <v>81.900000000000006</v>
      </c>
      <c r="V1779">
        <v>102.6</v>
      </c>
      <c r="W1779">
        <v>72.7</v>
      </c>
      <c r="X1779">
        <v>11.4</v>
      </c>
      <c r="Y1779">
        <v>46.2</v>
      </c>
      <c r="Z1779">
        <v>144373535</v>
      </c>
      <c r="AA1779">
        <v>61.524009999999997</v>
      </c>
      <c r="AB1779">
        <v>105.31875599999999</v>
      </c>
    </row>
    <row r="1780" spans="1:28" hidden="1">
      <c r="A1780">
        <v>1725</v>
      </c>
      <c r="B1780">
        <v>1700</v>
      </c>
      <c r="C1780" t="s">
        <v>288</v>
      </c>
      <c r="D1780" t="s">
        <v>3497</v>
      </c>
      <c r="E1780">
        <v>60</v>
      </c>
      <c r="G1780" t="s">
        <v>103</v>
      </c>
      <c r="H1780" t="s">
        <v>2663</v>
      </c>
      <c r="I1780" t="s">
        <v>3498</v>
      </c>
      <c r="J1780" t="s">
        <v>288</v>
      </c>
      <c r="K1780" t="s">
        <v>103</v>
      </c>
      <c r="M1780" t="b">
        <v>1</v>
      </c>
      <c r="N1780" t="s">
        <v>32</v>
      </c>
      <c r="O1780" t="s">
        <v>33</v>
      </c>
      <c r="Q1780">
        <v>125.08</v>
      </c>
      <c r="R1780">
        <v>2.9</v>
      </c>
      <c r="S1780" t="s">
        <v>106</v>
      </c>
      <c r="T1780">
        <v>50.6</v>
      </c>
      <c r="V1780">
        <v>100.2</v>
      </c>
      <c r="W1780">
        <v>77</v>
      </c>
      <c r="X1780">
        <v>9.4</v>
      </c>
      <c r="Y1780">
        <v>59.2</v>
      </c>
      <c r="Z1780">
        <v>1397715000</v>
      </c>
      <c r="AA1780">
        <v>35.861660000000001</v>
      </c>
      <c r="AB1780">
        <v>104.195397</v>
      </c>
    </row>
    <row r="1781" spans="1:28">
      <c r="A1781">
        <v>1725</v>
      </c>
      <c r="B1781">
        <v>1700</v>
      </c>
      <c r="C1781" t="s">
        <v>63</v>
      </c>
      <c r="D1781" t="s">
        <v>3499</v>
      </c>
      <c r="E1781">
        <v>63</v>
      </c>
      <c r="F1781" t="str">
        <f>IF(E1781&gt;=90,"90-100",IF(E1781&gt;=80,"80-90",IF(E1781&gt;=70,"70-80",IF(E1781&gt;=60,"60-70",IF(E1781&gt;=50,"50-60",IF(E1781&gt;=40,"40-50",IF(E1781&gt;=30,"30-40","20-30")))))))</f>
        <v>60-70</v>
      </c>
      <c r="G1781" t="s">
        <v>38</v>
      </c>
      <c r="H1781" t="s">
        <v>640</v>
      </c>
      <c r="I1781" t="s">
        <v>3500</v>
      </c>
      <c r="J1781" t="s">
        <v>63</v>
      </c>
      <c r="K1781" t="s">
        <v>38</v>
      </c>
      <c r="L1781" t="s">
        <v>3500</v>
      </c>
      <c r="M1781" t="b">
        <v>0</v>
      </c>
      <c r="N1781" t="s">
        <v>32</v>
      </c>
      <c r="O1781" t="s">
        <v>4867</v>
      </c>
      <c r="P1781" t="s">
        <v>43</v>
      </c>
      <c r="Q1781">
        <v>117.24</v>
      </c>
      <c r="R1781">
        <v>7.5</v>
      </c>
      <c r="S1781" t="s">
        <v>44</v>
      </c>
      <c r="T1781">
        <v>88.2</v>
      </c>
      <c r="U1781" t="str">
        <f>IF(T1781&gt;=100,"above 100",IF(T1781&gt;=80,"80-100",IF(T1781&gt;=60,"60-80",IF(T1781&gt;=40,"40-60",IF(T1781&gt;=20,"20-60","0-20")))))</f>
        <v>80-100</v>
      </c>
      <c r="V1781">
        <v>101.8</v>
      </c>
      <c r="W1781">
        <v>78.5</v>
      </c>
      <c r="X1781">
        <v>9.6</v>
      </c>
      <c r="Y1781">
        <v>36.6</v>
      </c>
      <c r="Z1781">
        <v>328239523</v>
      </c>
      <c r="AA1781">
        <v>37.090240000000001</v>
      </c>
      <c r="AB1781">
        <v>-95.712890999999999</v>
      </c>
    </row>
    <row r="1782" spans="1:28" hidden="1">
      <c r="A1782">
        <v>1725</v>
      </c>
      <c r="B1782">
        <v>1700</v>
      </c>
      <c r="C1782" t="s">
        <v>101</v>
      </c>
      <c r="D1782" t="s">
        <v>3501</v>
      </c>
      <c r="E1782">
        <v>76</v>
      </c>
      <c r="G1782" t="s">
        <v>38</v>
      </c>
      <c r="H1782" t="s">
        <v>739</v>
      </c>
      <c r="I1782" t="s">
        <v>3502</v>
      </c>
      <c r="J1782" t="s">
        <v>101</v>
      </c>
      <c r="K1782" t="s">
        <v>38</v>
      </c>
      <c r="M1782" t="b">
        <v>0</v>
      </c>
      <c r="N1782" t="s">
        <v>42</v>
      </c>
      <c r="O1782" t="s">
        <v>33</v>
      </c>
      <c r="Q1782">
        <v>117.24</v>
      </c>
      <c r="R1782">
        <v>7.5</v>
      </c>
      <c r="S1782" t="s">
        <v>44</v>
      </c>
      <c r="T1782">
        <v>88.2</v>
      </c>
      <c r="V1782">
        <v>101.8</v>
      </c>
      <c r="W1782">
        <v>78.5</v>
      </c>
      <c r="X1782">
        <v>9.6</v>
      </c>
      <c r="Y1782">
        <v>36.6</v>
      </c>
      <c r="Z1782">
        <v>328239523</v>
      </c>
      <c r="AA1782">
        <v>37.090240000000001</v>
      </c>
      <c r="AB1782">
        <v>-95.712890999999999</v>
      </c>
    </row>
    <row r="1783" spans="1:28" hidden="1">
      <c r="A1783">
        <v>1725</v>
      </c>
      <c r="B1783">
        <v>1700</v>
      </c>
      <c r="C1783" t="s">
        <v>217</v>
      </c>
      <c r="D1783" t="s">
        <v>3503</v>
      </c>
      <c r="E1783">
        <v>87</v>
      </c>
      <c r="G1783" t="s">
        <v>103</v>
      </c>
      <c r="H1783" t="s">
        <v>2646</v>
      </c>
      <c r="I1783" t="s">
        <v>287</v>
      </c>
      <c r="J1783" t="s">
        <v>217</v>
      </c>
      <c r="K1783" t="s">
        <v>103</v>
      </c>
      <c r="M1783" t="b">
        <v>1</v>
      </c>
      <c r="N1783" t="s">
        <v>42</v>
      </c>
      <c r="O1783" t="s">
        <v>33</v>
      </c>
      <c r="Q1783">
        <v>125.08</v>
      </c>
      <c r="R1783">
        <v>2.9</v>
      </c>
      <c r="S1783" t="s">
        <v>106</v>
      </c>
      <c r="T1783">
        <v>50.6</v>
      </c>
      <c r="V1783">
        <v>100.2</v>
      </c>
      <c r="W1783">
        <v>77</v>
      </c>
      <c r="X1783">
        <v>9.4</v>
      </c>
      <c r="Y1783">
        <v>59.2</v>
      </c>
      <c r="Z1783">
        <v>1397715000</v>
      </c>
      <c r="AA1783">
        <v>35.861660000000001</v>
      </c>
      <c r="AB1783">
        <v>104.195397</v>
      </c>
    </row>
    <row r="1784" spans="1:28" hidden="1">
      <c r="A1784">
        <v>1725</v>
      </c>
      <c r="B1784">
        <v>1700</v>
      </c>
      <c r="C1784" t="s">
        <v>221</v>
      </c>
      <c r="D1784" t="s">
        <v>3504</v>
      </c>
      <c r="E1784">
        <v>67</v>
      </c>
      <c r="G1784" t="s">
        <v>38</v>
      </c>
      <c r="H1784" t="s">
        <v>257</v>
      </c>
      <c r="I1784" t="s">
        <v>3505</v>
      </c>
      <c r="J1784" t="s">
        <v>221</v>
      </c>
      <c r="K1784" t="s">
        <v>38</v>
      </c>
      <c r="M1784" t="b">
        <v>1</v>
      </c>
      <c r="N1784" t="s">
        <v>32</v>
      </c>
      <c r="O1784" t="s">
        <v>33</v>
      </c>
      <c r="Q1784">
        <v>117.24</v>
      </c>
      <c r="R1784">
        <v>7.5</v>
      </c>
      <c r="S1784" t="s">
        <v>44</v>
      </c>
      <c r="T1784">
        <v>88.2</v>
      </c>
      <c r="V1784">
        <v>101.8</v>
      </c>
      <c r="W1784">
        <v>78.5</v>
      </c>
      <c r="X1784">
        <v>9.6</v>
      </c>
      <c r="Y1784">
        <v>36.6</v>
      </c>
      <c r="Z1784">
        <v>328239523</v>
      </c>
      <c r="AA1784">
        <v>37.090240000000001</v>
      </c>
      <c r="AB1784">
        <v>-95.712890999999999</v>
      </c>
    </row>
    <row r="1785" spans="1:28" hidden="1">
      <c r="A1785">
        <v>1725</v>
      </c>
      <c r="B1785">
        <v>1700</v>
      </c>
      <c r="C1785" t="s">
        <v>75</v>
      </c>
      <c r="D1785" t="s">
        <v>3506</v>
      </c>
      <c r="E1785">
        <v>64</v>
      </c>
      <c r="G1785" t="s">
        <v>263</v>
      </c>
      <c r="H1785" t="s">
        <v>3507</v>
      </c>
      <c r="I1785" t="s">
        <v>522</v>
      </c>
      <c r="J1785" t="s">
        <v>75</v>
      </c>
      <c r="K1785" t="s">
        <v>263</v>
      </c>
      <c r="M1785" t="b">
        <v>1</v>
      </c>
      <c r="N1785" t="s">
        <v>32</v>
      </c>
      <c r="O1785" t="s">
        <v>33</v>
      </c>
      <c r="Q1785">
        <v>180.75</v>
      </c>
      <c r="R1785">
        <v>4.5</v>
      </c>
      <c r="S1785" t="s">
        <v>276</v>
      </c>
      <c r="T1785">
        <v>81.900000000000006</v>
      </c>
      <c r="V1785">
        <v>102.6</v>
      </c>
      <c r="W1785">
        <v>72.7</v>
      </c>
      <c r="X1785">
        <v>11.4</v>
      </c>
      <c r="Y1785">
        <v>46.2</v>
      </c>
      <c r="Z1785">
        <v>144373535</v>
      </c>
      <c r="AA1785">
        <v>61.524009999999997</v>
      </c>
      <c r="AB1785">
        <v>105.31875599999999</v>
      </c>
    </row>
    <row r="1786" spans="1:28" hidden="1">
      <c r="A1786">
        <v>1725</v>
      </c>
      <c r="B1786">
        <v>1700</v>
      </c>
      <c r="C1786" t="s">
        <v>288</v>
      </c>
      <c r="D1786" t="s">
        <v>3508</v>
      </c>
      <c r="E1786">
        <v>58</v>
      </c>
      <c r="G1786" t="s">
        <v>198</v>
      </c>
      <c r="H1786" t="s">
        <v>199</v>
      </c>
      <c r="I1786" t="s">
        <v>288</v>
      </c>
      <c r="J1786" t="s">
        <v>288</v>
      </c>
      <c r="K1786" t="s">
        <v>198</v>
      </c>
      <c r="M1786" t="b">
        <v>1</v>
      </c>
      <c r="N1786" t="s">
        <v>32</v>
      </c>
      <c r="O1786" t="s">
        <v>33</v>
      </c>
      <c r="Q1786">
        <v>105.48</v>
      </c>
      <c r="R1786">
        <v>0.5</v>
      </c>
      <c r="S1786" t="s">
        <v>201</v>
      </c>
      <c r="T1786">
        <v>63.2</v>
      </c>
      <c r="V1786">
        <v>98.8</v>
      </c>
      <c r="W1786">
        <v>84.2</v>
      </c>
      <c r="X1786">
        <v>11.9</v>
      </c>
      <c r="Y1786">
        <v>46.7</v>
      </c>
      <c r="Z1786">
        <v>126226568</v>
      </c>
      <c r="AA1786">
        <v>36.204824000000002</v>
      </c>
      <c r="AB1786">
        <v>138.25292400000001</v>
      </c>
    </row>
    <row r="1787" spans="1:28" hidden="1">
      <c r="A1787">
        <v>1725</v>
      </c>
      <c r="B1787">
        <v>1700</v>
      </c>
      <c r="C1787" t="s">
        <v>217</v>
      </c>
      <c r="D1787" t="s">
        <v>3509</v>
      </c>
      <c r="E1787">
        <v>89</v>
      </c>
      <c r="G1787" t="s">
        <v>77</v>
      </c>
      <c r="H1787" t="s">
        <v>78</v>
      </c>
      <c r="I1787" t="s">
        <v>2472</v>
      </c>
      <c r="J1787" t="s">
        <v>217</v>
      </c>
      <c r="K1787" t="s">
        <v>77</v>
      </c>
      <c r="M1787" t="b">
        <v>1</v>
      </c>
      <c r="N1787" t="s">
        <v>42</v>
      </c>
      <c r="O1787" t="s">
        <v>33</v>
      </c>
      <c r="Q1787">
        <v>180.44</v>
      </c>
      <c r="R1787">
        <v>7.7</v>
      </c>
      <c r="S1787" t="s">
        <v>81</v>
      </c>
      <c r="T1787">
        <v>28.1</v>
      </c>
      <c r="V1787">
        <v>113</v>
      </c>
      <c r="W1787">
        <v>69.400000000000006</v>
      </c>
      <c r="X1787">
        <v>11.2</v>
      </c>
      <c r="Y1787">
        <v>49.7</v>
      </c>
      <c r="Z1787">
        <v>1366417754</v>
      </c>
      <c r="AA1787">
        <v>20.593684</v>
      </c>
      <c r="AB1787">
        <v>78.962879999999998</v>
      </c>
    </row>
    <row r="1788" spans="1:28" hidden="1">
      <c r="A1788">
        <v>1725</v>
      </c>
      <c r="B1788">
        <v>1700</v>
      </c>
      <c r="C1788" t="s">
        <v>26</v>
      </c>
      <c r="D1788" t="s">
        <v>3510</v>
      </c>
      <c r="E1788">
        <v>53</v>
      </c>
      <c r="G1788" t="s">
        <v>103</v>
      </c>
      <c r="H1788" t="s">
        <v>489</v>
      </c>
      <c r="I1788" t="s">
        <v>2158</v>
      </c>
      <c r="J1788" t="s">
        <v>26</v>
      </c>
      <c r="K1788" t="s">
        <v>103</v>
      </c>
      <c r="M1788" t="b">
        <v>1</v>
      </c>
      <c r="N1788" t="s">
        <v>32</v>
      </c>
      <c r="O1788" t="s">
        <v>33</v>
      </c>
      <c r="Q1788">
        <v>125.08</v>
      </c>
      <c r="R1788">
        <v>2.9</v>
      </c>
      <c r="S1788" t="s">
        <v>106</v>
      </c>
      <c r="T1788">
        <v>50.6</v>
      </c>
      <c r="V1788">
        <v>100.2</v>
      </c>
      <c r="W1788">
        <v>77</v>
      </c>
      <c r="X1788">
        <v>9.4</v>
      </c>
      <c r="Y1788">
        <v>59.2</v>
      </c>
      <c r="Z1788">
        <v>1397715000</v>
      </c>
      <c r="AA1788">
        <v>35.861660000000001</v>
      </c>
      <c r="AB1788">
        <v>104.195397</v>
      </c>
    </row>
    <row r="1789" spans="1:28" hidden="1">
      <c r="A1789">
        <v>1725</v>
      </c>
      <c r="B1789">
        <v>1700</v>
      </c>
      <c r="C1789" t="s">
        <v>221</v>
      </c>
      <c r="D1789" t="s">
        <v>3511</v>
      </c>
      <c r="E1789">
        <v>75</v>
      </c>
      <c r="G1789" t="s">
        <v>28</v>
      </c>
      <c r="H1789" t="s">
        <v>29</v>
      </c>
      <c r="I1789" t="s">
        <v>3512</v>
      </c>
      <c r="J1789" t="s">
        <v>221</v>
      </c>
      <c r="K1789" t="s">
        <v>28</v>
      </c>
      <c r="M1789" t="b">
        <v>1</v>
      </c>
      <c r="N1789" t="s">
        <v>42</v>
      </c>
      <c r="O1789" t="s">
        <v>33</v>
      </c>
      <c r="Q1789">
        <v>110.05</v>
      </c>
      <c r="R1789">
        <v>1.1000000000000001</v>
      </c>
      <c r="S1789" t="s">
        <v>35</v>
      </c>
      <c r="T1789">
        <v>65.599999999999994</v>
      </c>
      <c r="V1789">
        <v>102.5</v>
      </c>
      <c r="W1789">
        <v>82.5</v>
      </c>
      <c r="X1789">
        <v>24.2</v>
      </c>
      <c r="Y1789">
        <v>60.7</v>
      </c>
      <c r="Z1789">
        <v>67059887</v>
      </c>
      <c r="AA1789">
        <v>46.227637999999999</v>
      </c>
      <c r="AB1789">
        <v>2.213749</v>
      </c>
    </row>
    <row r="1790" spans="1:28" hidden="1">
      <c r="A1790">
        <v>1725</v>
      </c>
      <c r="B1790">
        <v>1700</v>
      </c>
      <c r="C1790" t="s">
        <v>75</v>
      </c>
      <c r="D1790" t="s">
        <v>3513</v>
      </c>
      <c r="E1790">
        <v>69</v>
      </c>
      <c r="G1790" t="s">
        <v>38</v>
      </c>
      <c r="H1790" t="s">
        <v>65</v>
      </c>
      <c r="I1790" t="s">
        <v>3514</v>
      </c>
      <c r="J1790" t="s">
        <v>75</v>
      </c>
      <c r="K1790" t="s">
        <v>38</v>
      </c>
      <c r="M1790" t="b">
        <v>0</v>
      </c>
      <c r="N1790" t="s">
        <v>32</v>
      </c>
      <c r="O1790" t="s">
        <v>33</v>
      </c>
      <c r="Q1790">
        <v>117.24</v>
      </c>
      <c r="R1790">
        <v>7.5</v>
      </c>
      <c r="S1790" t="s">
        <v>44</v>
      </c>
      <c r="T1790">
        <v>88.2</v>
      </c>
      <c r="V1790">
        <v>101.8</v>
      </c>
      <c r="W1790">
        <v>78.5</v>
      </c>
      <c r="X1790">
        <v>9.6</v>
      </c>
      <c r="Y1790">
        <v>36.6</v>
      </c>
      <c r="Z1790">
        <v>328239523</v>
      </c>
      <c r="AA1790">
        <v>37.090240000000001</v>
      </c>
      <c r="AB1790">
        <v>-95.712890999999999</v>
      </c>
    </row>
    <row r="1791" spans="1:28" hidden="1">
      <c r="A1791">
        <v>1725</v>
      </c>
      <c r="B1791">
        <v>1700</v>
      </c>
      <c r="C1791" t="s">
        <v>308</v>
      </c>
      <c r="D1791" t="s">
        <v>3515</v>
      </c>
      <c r="E1791">
        <v>63</v>
      </c>
      <c r="G1791" t="s">
        <v>38</v>
      </c>
      <c r="H1791" t="s">
        <v>548</v>
      </c>
      <c r="I1791" t="s">
        <v>3516</v>
      </c>
      <c r="J1791" t="s">
        <v>308</v>
      </c>
      <c r="K1791" t="s">
        <v>38</v>
      </c>
      <c r="M1791" t="b">
        <v>1</v>
      </c>
      <c r="N1791" t="s">
        <v>42</v>
      </c>
      <c r="O1791" t="s">
        <v>33</v>
      </c>
      <c r="Q1791">
        <v>117.24</v>
      </c>
      <c r="R1791">
        <v>7.5</v>
      </c>
      <c r="S1791" t="s">
        <v>44</v>
      </c>
      <c r="T1791">
        <v>88.2</v>
      </c>
      <c r="V1791">
        <v>101.8</v>
      </c>
      <c r="W1791">
        <v>78.5</v>
      </c>
      <c r="X1791">
        <v>9.6</v>
      </c>
      <c r="Y1791">
        <v>36.6</v>
      </c>
      <c r="Z1791">
        <v>328239523</v>
      </c>
      <c r="AA1791">
        <v>37.090240000000001</v>
      </c>
      <c r="AB1791">
        <v>-95.712890999999999</v>
      </c>
    </row>
    <row r="1792" spans="1:28" hidden="1">
      <c r="A1792">
        <v>1725</v>
      </c>
      <c r="B1792">
        <v>1700</v>
      </c>
      <c r="C1792" t="s">
        <v>217</v>
      </c>
      <c r="D1792" t="s">
        <v>3517</v>
      </c>
      <c r="E1792">
        <v>82</v>
      </c>
      <c r="G1792" t="s">
        <v>810</v>
      </c>
      <c r="H1792" t="s">
        <v>3518</v>
      </c>
      <c r="I1792" t="s">
        <v>3006</v>
      </c>
      <c r="J1792" t="s">
        <v>217</v>
      </c>
      <c r="K1792" t="s">
        <v>810</v>
      </c>
      <c r="M1792" t="b">
        <v>1</v>
      </c>
      <c r="N1792" t="s">
        <v>42</v>
      </c>
      <c r="O1792" t="s">
        <v>33</v>
      </c>
    </row>
    <row r="1793" spans="1:28" hidden="1">
      <c r="A1793">
        <v>1725</v>
      </c>
      <c r="B1793">
        <v>1700</v>
      </c>
      <c r="C1793" t="s">
        <v>45</v>
      </c>
      <c r="D1793" t="s">
        <v>3519</v>
      </c>
      <c r="E1793">
        <v>59</v>
      </c>
      <c r="G1793" t="s">
        <v>103</v>
      </c>
      <c r="H1793" t="s">
        <v>143</v>
      </c>
      <c r="I1793" t="s">
        <v>3106</v>
      </c>
      <c r="J1793" t="s">
        <v>45</v>
      </c>
      <c r="K1793" t="s">
        <v>103</v>
      </c>
      <c r="M1793" t="b">
        <v>1</v>
      </c>
      <c r="N1793" t="s">
        <v>42</v>
      </c>
      <c r="O1793" t="s">
        <v>33</v>
      </c>
      <c r="Q1793">
        <v>125.08</v>
      </c>
      <c r="R1793">
        <v>2.9</v>
      </c>
      <c r="S1793" t="s">
        <v>106</v>
      </c>
      <c r="T1793">
        <v>50.6</v>
      </c>
      <c r="V1793">
        <v>100.2</v>
      </c>
      <c r="W1793">
        <v>77</v>
      </c>
      <c r="X1793">
        <v>9.4</v>
      </c>
      <c r="Y1793">
        <v>59.2</v>
      </c>
      <c r="Z1793">
        <v>1397715000</v>
      </c>
      <c r="AA1793">
        <v>35.861660000000001</v>
      </c>
      <c r="AB1793">
        <v>104.195397</v>
      </c>
    </row>
    <row r="1794" spans="1:28" hidden="1">
      <c r="A1794">
        <v>1725</v>
      </c>
      <c r="B1794">
        <v>1700</v>
      </c>
      <c r="C1794" t="s">
        <v>478</v>
      </c>
      <c r="D1794" t="s">
        <v>3520</v>
      </c>
      <c r="E1794">
        <v>72</v>
      </c>
      <c r="G1794" t="s">
        <v>38</v>
      </c>
      <c r="H1794" t="s">
        <v>635</v>
      </c>
      <c r="I1794" t="s">
        <v>2895</v>
      </c>
      <c r="J1794" t="s">
        <v>478</v>
      </c>
      <c r="K1794" t="s">
        <v>38</v>
      </c>
      <c r="M1794" t="b">
        <v>1</v>
      </c>
      <c r="N1794" t="s">
        <v>32</v>
      </c>
      <c r="O1794" t="s">
        <v>33</v>
      </c>
      <c r="Q1794">
        <v>117.24</v>
      </c>
      <c r="R1794">
        <v>7.5</v>
      </c>
      <c r="S1794" t="s">
        <v>44</v>
      </c>
      <c r="T1794">
        <v>88.2</v>
      </c>
      <c r="V1794">
        <v>101.8</v>
      </c>
      <c r="W1794">
        <v>78.5</v>
      </c>
      <c r="X1794">
        <v>9.6</v>
      </c>
      <c r="Y1794">
        <v>36.6</v>
      </c>
      <c r="Z1794">
        <v>328239523</v>
      </c>
      <c r="AA1794">
        <v>37.090240000000001</v>
      </c>
      <c r="AB1794">
        <v>-95.712890999999999</v>
      </c>
    </row>
    <row r="1795" spans="1:28" hidden="1">
      <c r="A1795">
        <v>1725</v>
      </c>
      <c r="B1795">
        <v>1700</v>
      </c>
      <c r="C1795" t="s">
        <v>221</v>
      </c>
      <c r="D1795" t="s">
        <v>3521</v>
      </c>
      <c r="E1795">
        <v>76</v>
      </c>
      <c r="G1795" t="s">
        <v>38</v>
      </c>
      <c r="H1795" t="s">
        <v>480</v>
      </c>
      <c r="I1795" t="s">
        <v>3522</v>
      </c>
      <c r="J1795" t="s">
        <v>221</v>
      </c>
      <c r="K1795" t="s">
        <v>38</v>
      </c>
      <c r="M1795" t="b">
        <v>1</v>
      </c>
      <c r="N1795" t="s">
        <v>419</v>
      </c>
      <c r="O1795" t="s">
        <v>33</v>
      </c>
      <c r="Q1795">
        <v>117.24</v>
      </c>
      <c r="R1795">
        <v>7.5</v>
      </c>
      <c r="S1795" t="s">
        <v>44</v>
      </c>
      <c r="T1795">
        <v>88.2</v>
      </c>
      <c r="V1795">
        <v>101.8</v>
      </c>
      <c r="W1795">
        <v>78.5</v>
      </c>
      <c r="X1795">
        <v>9.6</v>
      </c>
      <c r="Y1795">
        <v>36.6</v>
      </c>
      <c r="Z1795">
        <v>328239523</v>
      </c>
      <c r="AA1795">
        <v>37.090240000000001</v>
      </c>
      <c r="AB1795">
        <v>-95.712890999999999</v>
      </c>
    </row>
    <row r="1796" spans="1:28" hidden="1">
      <c r="A1796">
        <v>1725</v>
      </c>
      <c r="B1796">
        <v>1700</v>
      </c>
      <c r="C1796" t="s">
        <v>250</v>
      </c>
      <c r="D1796" t="s">
        <v>3523</v>
      </c>
      <c r="E1796">
        <v>80</v>
      </c>
      <c r="G1796" t="s">
        <v>203</v>
      </c>
      <c r="H1796" t="s">
        <v>3524</v>
      </c>
      <c r="I1796" t="s">
        <v>3525</v>
      </c>
      <c r="J1796" t="s">
        <v>250</v>
      </c>
      <c r="K1796" t="s">
        <v>203</v>
      </c>
      <c r="M1796" t="b">
        <v>0</v>
      </c>
      <c r="N1796" t="s">
        <v>419</v>
      </c>
      <c r="O1796" t="s">
        <v>33</v>
      </c>
      <c r="Q1796">
        <v>119.62</v>
      </c>
      <c r="R1796">
        <v>1.7</v>
      </c>
      <c r="S1796" t="s">
        <v>206</v>
      </c>
      <c r="T1796">
        <v>60</v>
      </c>
      <c r="V1796">
        <v>101.2</v>
      </c>
      <c r="W1796">
        <v>81.3</v>
      </c>
      <c r="X1796">
        <v>25.5</v>
      </c>
      <c r="Y1796">
        <v>30.6</v>
      </c>
      <c r="Z1796">
        <v>66834405</v>
      </c>
      <c r="AA1796">
        <v>55.378050999999999</v>
      </c>
      <c r="AB1796">
        <v>-3.4359730000000002</v>
      </c>
    </row>
    <row r="1797" spans="1:28" hidden="1">
      <c r="A1797">
        <v>1725</v>
      </c>
      <c r="B1797">
        <v>1700</v>
      </c>
      <c r="C1797" t="s">
        <v>217</v>
      </c>
      <c r="D1797" t="s">
        <v>3526</v>
      </c>
      <c r="E1797">
        <v>49</v>
      </c>
      <c r="G1797" t="s">
        <v>103</v>
      </c>
      <c r="H1797" t="s">
        <v>176</v>
      </c>
      <c r="I1797" t="s">
        <v>690</v>
      </c>
      <c r="J1797" t="s">
        <v>217</v>
      </c>
      <c r="K1797" t="s">
        <v>103</v>
      </c>
      <c r="M1797" t="b">
        <v>1</v>
      </c>
      <c r="N1797" t="s">
        <v>42</v>
      </c>
      <c r="O1797" t="s">
        <v>88</v>
      </c>
      <c r="Q1797">
        <v>125.08</v>
      </c>
      <c r="R1797">
        <v>2.9</v>
      </c>
      <c r="S1797" t="s">
        <v>106</v>
      </c>
      <c r="T1797">
        <v>50.6</v>
      </c>
      <c r="V1797">
        <v>100.2</v>
      </c>
      <c r="W1797">
        <v>77</v>
      </c>
      <c r="X1797">
        <v>9.4</v>
      </c>
      <c r="Y1797">
        <v>59.2</v>
      </c>
      <c r="Z1797">
        <v>1397715000</v>
      </c>
      <c r="AA1797">
        <v>35.861660000000001</v>
      </c>
      <c r="AB1797">
        <v>104.195397</v>
      </c>
    </row>
    <row r="1798" spans="1:28" hidden="1">
      <c r="A1798">
        <v>1725</v>
      </c>
      <c r="B1798">
        <v>1700</v>
      </c>
      <c r="C1798" t="s">
        <v>101</v>
      </c>
      <c r="D1798" t="s">
        <v>3527</v>
      </c>
      <c r="E1798">
        <v>49</v>
      </c>
      <c r="G1798" t="s">
        <v>103</v>
      </c>
      <c r="H1798" t="s">
        <v>176</v>
      </c>
      <c r="I1798" t="s">
        <v>3528</v>
      </c>
      <c r="J1798" t="s">
        <v>101</v>
      </c>
      <c r="K1798" t="s">
        <v>103</v>
      </c>
      <c r="M1798" t="b">
        <v>1</v>
      </c>
      <c r="N1798" t="s">
        <v>32</v>
      </c>
      <c r="O1798" t="s">
        <v>33</v>
      </c>
      <c r="Q1798">
        <v>125.08</v>
      </c>
      <c r="R1798">
        <v>2.9</v>
      </c>
      <c r="S1798" t="s">
        <v>106</v>
      </c>
      <c r="T1798">
        <v>50.6</v>
      </c>
      <c r="V1798">
        <v>100.2</v>
      </c>
      <c r="W1798">
        <v>77</v>
      </c>
      <c r="X1798">
        <v>9.4</v>
      </c>
      <c r="Y1798">
        <v>59.2</v>
      </c>
      <c r="Z1798">
        <v>1397715000</v>
      </c>
      <c r="AA1798">
        <v>35.861660000000001</v>
      </c>
      <c r="AB1798">
        <v>104.195397</v>
      </c>
    </row>
    <row r="1799" spans="1:28" hidden="1">
      <c r="A1799">
        <v>1725</v>
      </c>
      <c r="B1799">
        <v>1700</v>
      </c>
      <c r="C1799" t="s">
        <v>217</v>
      </c>
      <c r="D1799" t="s">
        <v>3529</v>
      </c>
      <c r="E1799">
        <v>58</v>
      </c>
      <c r="G1799" t="s">
        <v>103</v>
      </c>
      <c r="H1799" t="s">
        <v>143</v>
      </c>
      <c r="I1799" t="s">
        <v>3530</v>
      </c>
      <c r="J1799" t="s">
        <v>217</v>
      </c>
      <c r="K1799" t="s">
        <v>103</v>
      </c>
      <c r="M1799" t="b">
        <v>1</v>
      </c>
      <c r="N1799" t="s">
        <v>42</v>
      </c>
      <c r="O1799" t="s">
        <v>33</v>
      </c>
      <c r="Q1799">
        <v>125.08</v>
      </c>
      <c r="R1799">
        <v>2.9</v>
      </c>
      <c r="S1799" t="s">
        <v>106</v>
      </c>
      <c r="T1799">
        <v>50.6</v>
      </c>
      <c r="V1799">
        <v>100.2</v>
      </c>
      <c r="W1799">
        <v>77</v>
      </c>
      <c r="X1799">
        <v>9.4</v>
      </c>
      <c r="Y1799">
        <v>59.2</v>
      </c>
      <c r="Z1799">
        <v>1397715000</v>
      </c>
      <c r="AA1799">
        <v>35.861660000000001</v>
      </c>
      <c r="AB1799">
        <v>104.195397</v>
      </c>
    </row>
    <row r="1800" spans="1:28" hidden="1">
      <c r="A1800">
        <v>1725</v>
      </c>
      <c r="B1800">
        <v>1700</v>
      </c>
      <c r="C1800" t="s">
        <v>68</v>
      </c>
      <c r="D1800" t="s">
        <v>3531</v>
      </c>
      <c r="E1800">
        <v>74</v>
      </c>
      <c r="G1800" t="s">
        <v>263</v>
      </c>
      <c r="H1800" t="s">
        <v>274</v>
      </c>
      <c r="I1800" t="s">
        <v>3532</v>
      </c>
      <c r="J1800" t="s">
        <v>68</v>
      </c>
      <c r="K1800" t="s">
        <v>263</v>
      </c>
      <c r="M1800" t="b">
        <v>1</v>
      </c>
      <c r="N1800" t="s">
        <v>419</v>
      </c>
      <c r="O1800" t="s">
        <v>33</v>
      </c>
      <c r="Q1800">
        <v>180.75</v>
      </c>
      <c r="R1800">
        <v>4.5</v>
      </c>
      <c r="S1800" t="s">
        <v>276</v>
      </c>
      <c r="T1800">
        <v>81.900000000000006</v>
      </c>
      <c r="V1800">
        <v>102.6</v>
      </c>
      <c r="W1800">
        <v>72.7</v>
      </c>
      <c r="X1800">
        <v>11.4</v>
      </c>
      <c r="Y1800">
        <v>46.2</v>
      </c>
      <c r="Z1800">
        <v>144373535</v>
      </c>
      <c r="AA1800">
        <v>61.524009999999997</v>
      </c>
      <c r="AB1800">
        <v>105.31875599999999</v>
      </c>
    </row>
    <row r="1801" spans="1:28">
      <c r="A1801">
        <v>1725</v>
      </c>
      <c r="B1801">
        <v>1700</v>
      </c>
      <c r="C1801" t="s">
        <v>45</v>
      </c>
      <c r="D1801" t="s">
        <v>3533</v>
      </c>
      <c r="E1801">
        <v>49</v>
      </c>
      <c r="F1801" t="str">
        <f>IF(E1801&gt;=90,"90-100",IF(E1801&gt;=80,"80-90",IF(E1801&gt;=70,"70-80",IF(E1801&gt;=60,"60-70",IF(E1801&gt;=50,"50-60",IF(E1801&gt;=40,"40-50",IF(E1801&gt;=30,"30-40","20-30")))))))</f>
        <v>40-50</v>
      </c>
      <c r="G1801" t="s">
        <v>38</v>
      </c>
      <c r="H1801" t="s">
        <v>739</v>
      </c>
      <c r="I1801" t="s">
        <v>3534</v>
      </c>
      <c r="J1801" t="s">
        <v>45</v>
      </c>
      <c r="K1801" t="s">
        <v>38</v>
      </c>
      <c r="L1801" t="s">
        <v>3535</v>
      </c>
      <c r="M1801" t="b">
        <v>1</v>
      </c>
      <c r="N1801" t="s">
        <v>42</v>
      </c>
      <c r="O1801" t="s">
        <v>4867</v>
      </c>
      <c r="P1801" t="s">
        <v>43</v>
      </c>
      <c r="Q1801">
        <v>117.24</v>
      </c>
      <c r="R1801">
        <v>7.5</v>
      </c>
      <c r="S1801" t="s">
        <v>44</v>
      </c>
      <c r="T1801">
        <v>88.2</v>
      </c>
      <c r="U1801" t="str">
        <f>IF(T1801&gt;=100,"above 100",IF(T1801&gt;=80,"80-100",IF(T1801&gt;=60,"60-80",IF(T1801&gt;=40,"40-60",IF(T1801&gt;=20,"20-60","0-20")))))</f>
        <v>80-100</v>
      </c>
      <c r="V1801">
        <v>101.8</v>
      </c>
      <c r="W1801">
        <v>78.5</v>
      </c>
      <c r="X1801">
        <v>9.6</v>
      </c>
      <c r="Y1801">
        <v>36.6</v>
      </c>
      <c r="Z1801">
        <v>328239523</v>
      </c>
      <c r="AA1801">
        <v>37.090240000000001</v>
      </c>
      <c r="AB1801">
        <v>-95.712890999999999</v>
      </c>
    </row>
    <row r="1802" spans="1:28" hidden="1">
      <c r="A1802">
        <v>1725</v>
      </c>
      <c r="B1802">
        <v>1700</v>
      </c>
      <c r="C1802" t="s">
        <v>154</v>
      </c>
      <c r="D1802" t="s">
        <v>3536</v>
      </c>
      <c r="E1802">
        <v>53</v>
      </c>
      <c r="G1802" t="s">
        <v>103</v>
      </c>
      <c r="H1802" t="s">
        <v>215</v>
      </c>
      <c r="I1802" t="s">
        <v>154</v>
      </c>
      <c r="J1802" t="s">
        <v>154</v>
      </c>
      <c r="K1802" t="s">
        <v>103</v>
      </c>
      <c r="M1802" t="b">
        <v>1</v>
      </c>
      <c r="N1802" t="s">
        <v>42</v>
      </c>
      <c r="O1802" t="s">
        <v>88</v>
      </c>
      <c r="Q1802">
        <v>125.08</v>
      </c>
      <c r="R1802">
        <v>2.9</v>
      </c>
      <c r="S1802" t="s">
        <v>106</v>
      </c>
      <c r="T1802">
        <v>50.6</v>
      </c>
      <c r="V1802">
        <v>100.2</v>
      </c>
      <c r="W1802">
        <v>77</v>
      </c>
      <c r="X1802">
        <v>9.4</v>
      </c>
      <c r="Y1802">
        <v>59.2</v>
      </c>
      <c r="Z1802">
        <v>1397715000</v>
      </c>
      <c r="AA1802">
        <v>35.861660000000001</v>
      </c>
      <c r="AB1802">
        <v>104.195397</v>
      </c>
    </row>
    <row r="1803" spans="1:28" hidden="1">
      <c r="A1803">
        <v>1725</v>
      </c>
      <c r="B1803">
        <v>1700</v>
      </c>
      <c r="C1803" t="s">
        <v>217</v>
      </c>
      <c r="D1803" t="s">
        <v>3537</v>
      </c>
      <c r="E1803">
        <v>59</v>
      </c>
      <c r="G1803" t="s">
        <v>103</v>
      </c>
      <c r="H1803" t="s">
        <v>215</v>
      </c>
      <c r="I1803" t="s">
        <v>217</v>
      </c>
      <c r="J1803" t="s">
        <v>217</v>
      </c>
      <c r="K1803" t="s">
        <v>103</v>
      </c>
      <c r="M1803" t="b">
        <v>1</v>
      </c>
      <c r="N1803" t="s">
        <v>42</v>
      </c>
      <c r="O1803" t="s">
        <v>33</v>
      </c>
      <c r="Q1803">
        <v>125.08</v>
      </c>
      <c r="R1803">
        <v>2.9</v>
      </c>
      <c r="S1803" t="s">
        <v>106</v>
      </c>
      <c r="T1803">
        <v>50.6</v>
      </c>
      <c r="V1803">
        <v>100.2</v>
      </c>
      <c r="W1803">
        <v>77</v>
      </c>
      <c r="X1803">
        <v>9.4</v>
      </c>
      <c r="Y1803">
        <v>59.2</v>
      </c>
      <c r="Z1803">
        <v>1397715000</v>
      </c>
      <c r="AA1803">
        <v>35.861660000000001</v>
      </c>
      <c r="AB1803">
        <v>104.195397</v>
      </c>
    </row>
    <row r="1804" spans="1:28" hidden="1">
      <c r="A1804">
        <v>1725</v>
      </c>
      <c r="B1804">
        <v>1700</v>
      </c>
      <c r="C1804" t="s">
        <v>217</v>
      </c>
      <c r="D1804" t="s">
        <v>3538</v>
      </c>
      <c r="E1804">
        <v>60</v>
      </c>
      <c r="G1804" t="s">
        <v>103</v>
      </c>
      <c r="H1804" t="s">
        <v>3539</v>
      </c>
      <c r="I1804" t="s">
        <v>897</v>
      </c>
      <c r="J1804" t="s">
        <v>217</v>
      </c>
      <c r="K1804" t="s">
        <v>103</v>
      </c>
      <c r="M1804" t="b">
        <v>1</v>
      </c>
      <c r="N1804" t="s">
        <v>42</v>
      </c>
      <c r="O1804" t="s">
        <v>88</v>
      </c>
      <c r="Q1804">
        <v>125.08</v>
      </c>
      <c r="R1804">
        <v>2.9</v>
      </c>
      <c r="S1804" t="s">
        <v>106</v>
      </c>
      <c r="T1804">
        <v>50.6</v>
      </c>
      <c r="V1804">
        <v>100.2</v>
      </c>
      <c r="W1804">
        <v>77</v>
      </c>
      <c r="X1804">
        <v>9.4</v>
      </c>
      <c r="Y1804">
        <v>59.2</v>
      </c>
      <c r="Z1804">
        <v>1397715000</v>
      </c>
      <c r="AA1804">
        <v>35.861660000000001</v>
      </c>
      <c r="AB1804">
        <v>104.195397</v>
      </c>
    </row>
    <row r="1805" spans="1:28" hidden="1">
      <c r="A1805">
        <v>1804</v>
      </c>
      <c r="B1805">
        <v>1600</v>
      </c>
      <c r="C1805" t="s">
        <v>288</v>
      </c>
      <c r="D1805" t="s">
        <v>3540</v>
      </c>
      <c r="E1805">
        <v>60</v>
      </c>
      <c r="G1805" t="s">
        <v>38</v>
      </c>
      <c r="H1805" t="s">
        <v>922</v>
      </c>
      <c r="I1805" t="s">
        <v>1198</v>
      </c>
      <c r="J1805" t="s">
        <v>288</v>
      </c>
      <c r="K1805" t="s">
        <v>38</v>
      </c>
      <c r="M1805" t="b">
        <v>1</v>
      </c>
      <c r="N1805" t="s">
        <v>42</v>
      </c>
      <c r="O1805" t="s">
        <v>33</v>
      </c>
      <c r="Q1805">
        <v>117.24</v>
      </c>
      <c r="R1805">
        <v>7.5</v>
      </c>
      <c r="S1805" t="s">
        <v>44</v>
      </c>
      <c r="T1805">
        <v>88.2</v>
      </c>
      <c r="V1805">
        <v>101.8</v>
      </c>
      <c r="W1805">
        <v>78.5</v>
      </c>
      <c r="X1805">
        <v>9.6</v>
      </c>
      <c r="Y1805">
        <v>36.6</v>
      </c>
      <c r="Z1805">
        <v>328239523</v>
      </c>
      <c r="AA1805">
        <v>37.090240000000001</v>
      </c>
      <c r="AB1805">
        <v>-95.712890999999999</v>
      </c>
    </row>
    <row r="1806" spans="1:28" hidden="1">
      <c r="A1806">
        <v>1804</v>
      </c>
      <c r="B1806">
        <v>1600</v>
      </c>
      <c r="C1806" t="s">
        <v>469</v>
      </c>
      <c r="D1806" t="s">
        <v>3541</v>
      </c>
      <c r="E1806">
        <v>71</v>
      </c>
      <c r="G1806" t="s">
        <v>512</v>
      </c>
      <c r="H1806" t="s">
        <v>590</v>
      </c>
      <c r="I1806" t="s">
        <v>3542</v>
      </c>
      <c r="J1806" t="s">
        <v>469</v>
      </c>
      <c r="K1806" t="s">
        <v>512</v>
      </c>
      <c r="M1806" t="b">
        <v>1</v>
      </c>
      <c r="N1806" t="s">
        <v>32</v>
      </c>
      <c r="O1806" t="s">
        <v>33</v>
      </c>
      <c r="Q1806">
        <v>121.46</v>
      </c>
      <c r="R1806">
        <v>0.7</v>
      </c>
      <c r="S1806" t="s">
        <v>592</v>
      </c>
      <c r="T1806">
        <v>45.1</v>
      </c>
      <c r="V1806">
        <v>105.3</v>
      </c>
      <c r="W1806">
        <v>76</v>
      </c>
      <c r="X1806">
        <v>12</v>
      </c>
      <c r="Y1806">
        <v>38.700000000000003</v>
      </c>
      <c r="Z1806">
        <v>32447385</v>
      </c>
      <c r="AA1806">
        <v>4.2104840000000001</v>
      </c>
      <c r="AB1806">
        <v>101.97576599999999</v>
      </c>
    </row>
    <row r="1807" spans="1:28" hidden="1">
      <c r="A1807">
        <v>1804</v>
      </c>
      <c r="B1807">
        <v>1600</v>
      </c>
      <c r="C1807" t="s">
        <v>54</v>
      </c>
      <c r="D1807" t="s">
        <v>3543</v>
      </c>
      <c r="E1807">
        <v>83</v>
      </c>
      <c r="G1807" t="s">
        <v>38</v>
      </c>
      <c r="H1807" t="s">
        <v>65</v>
      </c>
      <c r="I1807" t="s">
        <v>2118</v>
      </c>
      <c r="J1807" t="s">
        <v>54</v>
      </c>
      <c r="K1807" t="s">
        <v>38</v>
      </c>
      <c r="M1807" t="b">
        <v>0</v>
      </c>
      <c r="N1807" t="s">
        <v>419</v>
      </c>
      <c r="O1807" t="s">
        <v>33</v>
      </c>
      <c r="Q1807">
        <v>117.24</v>
      </c>
      <c r="R1807">
        <v>7.5</v>
      </c>
      <c r="S1807" t="s">
        <v>44</v>
      </c>
      <c r="T1807">
        <v>88.2</v>
      </c>
      <c r="V1807">
        <v>101.8</v>
      </c>
      <c r="W1807">
        <v>78.5</v>
      </c>
      <c r="X1807">
        <v>9.6</v>
      </c>
      <c r="Y1807">
        <v>36.6</v>
      </c>
      <c r="Z1807">
        <v>328239523</v>
      </c>
      <c r="AA1807">
        <v>37.090240000000001</v>
      </c>
      <c r="AB1807">
        <v>-95.712890999999999</v>
      </c>
    </row>
    <row r="1808" spans="1:28" hidden="1">
      <c r="A1808">
        <v>1804</v>
      </c>
      <c r="B1808">
        <v>1600</v>
      </c>
      <c r="C1808" t="s">
        <v>236</v>
      </c>
      <c r="D1808" t="s">
        <v>3544</v>
      </c>
      <c r="E1808">
        <v>71</v>
      </c>
      <c r="G1808" t="s">
        <v>156</v>
      </c>
      <c r="I1808" t="s">
        <v>223</v>
      </c>
      <c r="J1808" t="s">
        <v>236</v>
      </c>
      <c r="K1808" t="s">
        <v>263</v>
      </c>
      <c r="M1808" t="b">
        <v>1</v>
      </c>
      <c r="N1808" t="s">
        <v>419</v>
      </c>
      <c r="O1808" t="s">
        <v>33</v>
      </c>
      <c r="Q1808">
        <v>99.55</v>
      </c>
      <c r="R1808">
        <v>0.4</v>
      </c>
      <c r="S1808" t="s">
        <v>159</v>
      </c>
      <c r="T1808">
        <v>59.6</v>
      </c>
      <c r="V1808">
        <v>105.2</v>
      </c>
      <c r="W1808">
        <v>83.6</v>
      </c>
      <c r="X1808">
        <v>10.1</v>
      </c>
      <c r="Y1808">
        <v>28.8</v>
      </c>
      <c r="Z1808">
        <v>8574832</v>
      </c>
      <c r="AA1808">
        <v>46.818187999999999</v>
      </c>
      <c r="AB1808">
        <v>8.2275120000000008</v>
      </c>
    </row>
    <row r="1809" spans="1:28">
      <c r="A1809">
        <v>1804</v>
      </c>
      <c r="B1809">
        <v>1600</v>
      </c>
      <c r="C1809" t="s">
        <v>54</v>
      </c>
      <c r="D1809" t="s">
        <v>3545</v>
      </c>
      <c r="E1809">
        <v>56</v>
      </c>
      <c r="F1809" t="s">
        <v>4846</v>
      </c>
      <c r="G1809" t="s">
        <v>38</v>
      </c>
      <c r="H1809" t="s">
        <v>331</v>
      </c>
      <c r="I1809" t="s">
        <v>1000</v>
      </c>
      <c r="J1809" t="s">
        <v>54</v>
      </c>
      <c r="K1809" t="s">
        <v>38</v>
      </c>
      <c r="L1809" t="s">
        <v>3546</v>
      </c>
      <c r="M1809" t="b">
        <v>1</v>
      </c>
      <c r="N1809" t="s">
        <v>419</v>
      </c>
      <c r="O1809" t="s">
        <v>33</v>
      </c>
      <c r="Q1809">
        <v>117.24</v>
      </c>
      <c r="R1809">
        <v>7.5</v>
      </c>
      <c r="S1809" t="s">
        <v>44</v>
      </c>
      <c r="T1809">
        <v>88.2</v>
      </c>
      <c r="U1809" t="str">
        <f t="shared" ref="U1809:U1810" si="46">IF(T1809&gt;=100,"above 100",IF(T1809&gt;=80,"80-100",IF(T1809&gt;=60,"60-80",IF(T1809&gt;=40,"40-60",IF(T1809&gt;=20,"20-60","0-20")))))</f>
        <v>80-100</v>
      </c>
      <c r="V1809">
        <v>101.8</v>
      </c>
      <c r="W1809">
        <v>78.5</v>
      </c>
      <c r="X1809">
        <v>9.6</v>
      </c>
      <c r="Y1809">
        <v>36.6</v>
      </c>
      <c r="Z1809">
        <v>328239523</v>
      </c>
      <c r="AA1809">
        <v>37.090240000000001</v>
      </c>
      <c r="AB1809">
        <v>-95.712890999999999</v>
      </c>
    </row>
    <row r="1810" spans="1:28">
      <c r="A1810">
        <v>1804</v>
      </c>
      <c r="B1810">
        <v>1600</v>
      </c>
      <c r="C1810" t="s">
        <v>54</v>
      </c>
      <c r="D1810" t="s">
        <v>3547</v>
      </c>
      <c r="E1810">
        <v>66</v>
      </c>
      <c r="F1810" t="str">
        <f>IF(E1810&gt;=90,"90-100",IF(E1810&gt;=80,"80-90",IF(E1810&gt;=70,"70-80",IF(E1810&gt;=60,"60-70",IF(E1810&gt;=50,"50-60",IF(E1810&gt;=40,"40-50",IF(E1810&gt;=30,"30-40","20-30")))))))</f>
        <v>60-70</v>
      </c>
      <c r="G1810" t="s">
        <v>38</v>
      </c>
      <c r="H1810" t="s">
        <v>1455</v>
      </c>
      <c r="I1810" t="s">
        <v>185</v>
      </c>
      <c r="J1810" t="s">
        <v>54</v>
      </c>
      <c r="K1810" t="s">
        <v>38</v>
      </c>
      <c r="L1810" t="s">
        <v>3548</v>
      </c>
      <c r="M1810" t="b">
        <v>1</v>
      </c>
      <c r="N1810" t="s">
        <v>419</v>
      </c>
      <c r="O1810" t="s">
        <v>4867</v>
      </c>
      <c r="P1810" t="s">
        <v>146</v>
      </c>
      <c r="Q1810">
        <v>117.24</v>
      </c>
      <c r="R1810">
        <v>7.5</v>
      </c>
      <c r="S1810" t="s">
        <v>44</v>
      </c>
      <c r="T1810">
        <v>88.2</v>
      </c>
      <c r="U1810" t="str">
        <f t="shared" si="46"/>
        <v>80-100</v>
      </c>
      <c r="V1810">
        <v>101.8</v>
      </c>
      <c r="W1810">
        <v>78.5</v>
      </c>
      <c r="X1810">
        <v>9.6</v>
      </c>
      <c r="Y1810">
        <v>36.6</v>
      </c>
      <c r="Z1810">
        <v>328239523</v>
      </c>
      <c r="AA1810">
        <v>37.090240000000001</v>
      </c>
      <c r="AB1810">
        <v>-95.712890999999999</v>
      </c>
    </row>
    <row r="1811" spans="1:28" hidden="1">
      <c r="A1811">
        <v>1804</v>
      </c>
      <c r="B1811">
        <v>1600</v>
      </c>
      <c r="C1811" t="s">
        <v>217</v>
      </c>
      <c r="D1811" t="s">
        <v>3549</v>
      </c>
      <c r="E1811">
        <v>53</v>
      </c>
      <c r="G1811" t="s">
        <v>103</v>
      </c>
      <c r="H1811" t="s">
        <v>3550</v>
      </c>
      <c r="I1811" t="s">
        <v>3551</v>
      </c>
      <c r="J1811" t="s">
        <v>217</v>
      </c>
      <c r="K1811" t="s">
        <v>103</v>
      </c>
      <c r="M1811" t="b">
        <v>1</v>
      </c>
      <c r="N1811" t="s">
        <v>42</v>
      </c>
      <c r="O1811" t="s">
        <v>33</v>
      </c>
      <c r="Q1811">
        <v>125.08</v>
      </c>
      <c r="R1811">
        <v>2.9</v>
      </c>
      <c r="S1811" t="s">
        <v>106</v>
      </c>
      <c r="T1811">
        <v>50.6</v>
      </c>
      <c r="V1811">
        <v>100.2</v>
      </c>
      <c r="W1811">
        <v>77</v>
      </c>
      <c r="X1811">
        <v>9.4</v>
      </c>
      <c r="Y1811">
        <v>59.2</v>
      </c>
      <c r="Z1811">
        <v>1397715000</v>
      </c>
      <c r="AA1811">
        <v>35.861660000000001</v>
      </c>
      <c r="AB1811">
        <v>104.195397</v>
      </c>
    </row>
    <row r="1812" spans="1:28" hidden="1">
      <c r="A1812">
        <v>1804</v>
      </c>
      <c r="B1812">
        <v>1600</v>
      </c>
      <c r="C1812" t="s">
        <v>26</v>
      </c>
      <c r="D1812" t="s">
        <v>3552</v>
      </c>
      <c r="E1812">
        <v>54</v>
      </c>
      <c r="I1812" t="s">
        <v>818</v>
      </c>
      <c r="J1812" t="s">
        <v>26</v>
      </c>
      <c r="K1812" t="s">
        <v>148</v>
      </c>
      <c r="M1812" t="b">
        <v>0</v>
      </c>
      <c r="N1812" t="s">
        <v>42</v>
      </c>
      <c r="O1812" t="s">
        <v>33</v>
      </c>
    </row>
    <row r="1813" spans="1:28" hidden="1">
      <c r="A1813">
        <v>1804</v>
      </c>
      <c r="B1813">
        <v>1600</v>
      </c>
      <c r="C1813" t="s">
        <v>26</v>
      </c>
      <c r="D1813" t="s">
        <v>3553</v>
      </c>
      <c r="E1813">
        <v>50</v>
      </c>
      <c r="G1813" t="s">
        <v>189</v>
      </c>
      <c r="H1813" t="s">
        <v>3554</v>
      </c>
      <c r="I1813" t="s">
        <v>818</v>
      </c>
      <c r="J1813" t="s">
        <v>26</v>
      </c>
      <c r="K1813" t="s">
        <v>148</v>
      </c>
      <c r="M1813" t="b">
        <v>0</v>
      </c>
      <c r="N1813" t="s">
        <v>42</v>
      </c>
      <c r="O1813" t="s">
        <v>33</v>
      </c>
      <c r="Q1813">
        <v>118.06</v>
      </c>
      <c r="R1813">
        <v>1.5</v>
      </c>
      <c r="S1813" t="s">
        <v>193</v>
      </c>
      <c r="T1813">
        <v>85.1</v>
      </c>
      <c r="V1813">
        <v>103.1</v>
      </c>
      <c r="W1813">
        <v>81.599999999999994</v>
      </c>
      <c r="X1813">
        <v>25.4</v>
      </c>
      <c r="Y1813">
        <v>51.4</v>
      </c>
      <c r="Z1813">
        <v>8877067</v>
      </c>
      <c r="AA1813">
        <v>47.516230999999998</v>
      </c>
      <c r="AB1813">
        <v>14.550072</v>
      </c>
    </row>
    <row r="1814" spans="1:28" hidden="1">
      <c r="A1814">
        <v>1804</v>
      </c>
      <c r="B1814">
        <v>1600</v>
      </c>
      <c r="C1814" t="s">
        <v>101</v>
      </c>
      <c r="D1814" t="s">
        <v>3555</v>
      </c>
      <c r="E1814">
        <v>89</v>
      </c>
      <c r="G1814" t="s">
        <v>148</v>
      </c>
      <c r="H1814" t="s">
        <v>3556</v>
      </c>
      <c r="I1814" t="s">
        <v>1305</v>
      </c>
      <c r="J1814" t="s">
        <v>101</v>
      </c>
      <c r="K1814" t="s">
        <v>148</v>
      </c>
      <c r="M1814" t="b">
        <v>1</v>
      </c>
      <c r="N1814" t="s">
        <v>42</v>
      </c>
      <c r="O1814" t="s">
        <v>33</v>
      </c>
      <c r="Q1814">
        <v>112.85</v>
      </c>
      <c r="R1814">
        <v>1.4</v>
      </c>
      <c r="S1814" t="s">
        <v>151</v>
      </c>
      <c r="T1814">
        <v>70.2</v>
      </c>
      <c r="V1814">
        <v>104</v>
      </c>
      <c r="W1814">
        <v>80.900000000000006</v>
      </c>
      <c r="X1814">
        <v>11.5</v>
      </c>
      <c r="Y1814">
        <v>48.8</v>
      </c>
      <c r="Z1814">
        <v>83132799</v>
      </c>
      <c r="AA1814">
        <v>51.165691000000002</v>
      </c>
      <c r="AB1814">
        <v>10.451525999999999</v>
      </c>
    </row>
    <row r="1815" spans="1:28" hidden="1">
      <c r="A1815">
        <v>1804</v>
      </c>
      <c r="B1815">
        <v>1600</v>
      </c>
      <c r="C1815" t="s">
        <v>45</v>
      </c>
      <c r="D1815" t="s">
        <v>3557</v>
      </c>
      <c r="E1815">
        <v>47</v>
      </c>
      <c r="G1815" t="s">
        <v>103</v>
      </c>
      <c r="H1815" t="s">
        <v>3558</v>
      </c>
      <c r="I1815" t="s">
        <v>897</v>
      </c>
      <c r="J1815" t="s">
        <v>45</v>
      </c>
      <c r="K1815" t="s">
        <v>103</v>
      </c>
      <c r="M1815" t="b">
        <v>1</v>
      </c>
      <c r="N1815" t="s">
        <v>192</v>
      </c>
      <c r="O1815" t="s">
        <v>33</v>
      </c>
      <c r="Q1815">
        <v>125.08</v>
      </c>
      <c r="R1815">
        <v>2.9</v>
      </c>
      <c r="S1815" t="s">
        <v>106</v>
      </c>
      <c r="T1815">
        <v>50.6</v>
      </c>
      <c r="V1815">
        <v>100.2</v>
      </c>
      <c r="W1815">
        <v>77</v>
      </c>
      <c r="X1815">
        <v>9.4</v>
      </c>
      <c r="Y1815">
        <v>59.2</v>
      </c>
      <c r="Z1815">
        <v>1397715000</v>
      </c>
      <c r="AA1815">
        <v>35.861660000000001</v>
      </c>
      <c r="AB1815">
        <v>104.195397</v>
      </c>
    </row>
    <row r="1816" spans="1:28" hidden="1">
      <c r="A1816">
        <v>1804</v>
      </c>
      <c r="B1816">
        <v>1600</v>
      </c>
      <c r="C1816" t="s">
        <v>45</v>
      </c>
      <c r="D1816" t="s">
        <v>3559</v>
      </c>
      <c r="E1816">
        <v>38</v>
      </c>
      <c r="G1816" t="s">
        <v>103</v>
      </c>
      <c r="H1816" t="s">
        <v>143</v>
      </c>
      <c r="I1816" t="s">
        <v>312</v>
      </c>
      <c r="J1816" t="s">
        <v>45</v>
      </c>
      <c r="K1816" t="s">
        <v>103</v>
      </c>
      <c r="M1816" t="b">
        <v>1</v>
      </c>
      <c r="N1816" t="s">
        <v>419</v>
      </c>
      <c r="O1816" t="s">
        <v>33</v>
      </c>
      <c r="Q1816">
        <v>125.08</v>
      </c>
      <c r="R1816">
        <v>2.9</v>
      </c>
      <c r="S1816" t="s">
        <v>106</v>
      </c>
      <c r="T1816">
        <v>50.6</v>
      </c>
      <c r="V1816">
        <v>100.2</v>
      </c>
      <c r="W1816">
        <v>77</v>
      </c>
      <c r="X1816">
        <v>9.4</v>
      </c>
      <c r="Y1816">
        <v>59.2</v>
      </c>
      <c r="Z1816">
        <v>1397715000</v>
      </c>
      <c r="AA1816">
        <v>35.861660000000001</v>
      </c>
      <c r="AB1816">
        <v>104.195397</v>
      </c>
    </row>
    <row r="1817" spans="1:28" hidden="1">
      <c r="A1817">
        <v>1804</v>
      </c>
      <c r="B1817">
        <v>1600</v>
      </c>
      <c r="C1817" t="s">
        <v>221</v>
      </c>
      <c r="D1817" t="s">
        <v>3560</v>
      </c>
      <c r="E1817">
        <v>87</v>
      </c>
      <c r="G1817" t="s">
        <v>810</v>
      </c>
      <c r="H1817" t="s">
        <v>811</v>
      </c>
      <c r="I1817" t="s">
        <v>223</v>
      </c>
      <c r="J1817" t="s">
        <v>221</v>
      </c>
      <c r="K1817" t="s">
        <v>810</v>
      </c>
      <c r="M1817" t="b">
        <v>1</v>
      </c>
      <c r="N1817" t="s">
        <v>42</v>
      </c>
      <c r="O1817" t="s">
        <v>33</v>
      </c>
    </row>
    <row r="1818" spans="1:28">
      <c r="A1818">
        <v>1804</v>
      </c>
      <c r="B1818">
        <v>1600</v>
      </c>
      <c r="C1818" t="s">
        <v>45</v>
      </c>
      <c r="D1818" t="s">
        <v>3561</v>
      </c>
      <c r="E1818">
        <v>62</v>
      </c>
      <c r="F1818" t="s">
        <v>4848</v>
      </c>
      <c r="G1818" t="s">
        <v>611</v>
      </c>
      <c r="H1818" t="s">
        <v>612</v>
      </c>
      <c r="I1818" t="s">
        <v>3562</v>
      </c>
      <c r="J1818" t="s">
        <v>45</v>
      </c>
      <c r="K1818" t="s">
        <v>611</v>
      </c>
      <c r="L1818" t="s">
        <v>3563</v>
      </c>
      <c r="M1818" t="b">
        <v>0</v>
      </c>
      <c r="N1818" t="s">
        <v>42</v>
      </c>
      <c r="O1818" t="s">
        <v>33</v>
      </c>
      <c r="Q1818">
        <v>115.16</v>
      </c>
      <c r="R1818">
        <v>0.4</v>
      </c>
      <c r="S1818" t="s">
        <v>615</v>
      </c>
      <c r="T1818">
        <v>94.3</v>
      </c>
      <c r="U1818" t="str">
        <f>IF(T1818&gt;=100,"above 100",IF(T1818&gt;=80,"80-100",IF(T1818&gt;=60,"60-80",IF(T1818&gt;=40,"40-60",IF(T1818&gt;=20,"20-60","0-20")))))</f>
        <v>80-100</v>
      </c>
      <c r="V1818">
        <v>98.1</v>
      </c>
      <c r="W1818">
        <v>82.6</v>
      </c>
      <c r="X1818">
        <v>15.6</v>
      </c>
      <c r="Y1818">
        <v>33.200000000000003</v>
      </c>
      <c r="Z1818">
        <v>51709098</v>
      </c>
      <c r="AA1818">
        <v>35.907756999999997</v>
      </c>
      <c r="AB1818">
        <v>127.76692199999999</v>
      </c>
    </row>
    <row r="1819" spans="1:28" hidden="1">
      <c r="A1819">
        <v>1804</v>
      </c>
      <c r="B1819">
        <v>1600</v>
      </c>
      <c r="C1819" t="s">
        <v>221</v>
      </c>
      <c r="D1819" t="s">
        <v>3564</v>
      </c>
      <c r="E1819">
        <v>55</v>
      </c>
      <c r="G1819" t="s">
        <v>3565</v>
      </c>
      <c r="H1819" t="s">
        <v>3566</v>
      </c>
      <c r="I1819" t="s">
        <v>223</v>
      </c>
      <c r="J1819" t="s">
        <v>221</v>
      </c>
      <c r="K1819" t="s">
        <v>3565</v>
      </c>
      <c r="M1819" t="b">
        <v>1</v>
      </c>
      <c r="N1819" t="s">
        <v>42</v>
      </c>
      <c r="O1819" t="s">
        <v>33</v>
      </c>
      <c r="Q1819">
        <v>115.34</v>
      </c>
      <c r="R1819">
        <v>2.7</v>
      </c>
      <c r="S1819" t="s">
        <v>3567</v>
      </c>
      <c r="T1819">
        <v>46.6</v>
      </c>
      <c r="V1819">
        <v>98.7</v>
      </c>
      <c r="W1819">
        <v>77.2</v>
      </c>
      <c r="X1819">
        <v>18.7</v>
      </c>
      <c r="Y1819">
        <v>49.7</v>
      </c>
      <c r="Z1819">
        <v>5454073</v>
      </c>
      <c r="AA1819">
        <v>48.669026000000002</v>
      </c>
      <c r="AB1819">
        <v>19.699024000000001</v>
      </c>
    </row>
    <row r="1820" spans="1:28" hidden="1">
      <c r="A1820">
        <v>1804</v>
      </c>
      <c r="B1820">
        <v>1600</v>
      </c>
      <c r="C1820" t="s">
        <v>469</v>
      </c>
      <c r="D1820" t="s">
        <v>3568</v>
      </c>
      <c r="E1820">
        <v>64</v>
      </c>
      <c r="G1820" t="s">
        <v>38</v>
      </c>
      <c r="H1820" t="s">
        <v>958</v>
      </c>
      <c r="I1820" t="s">
        <v>1528</v>
      </c>
      <c r="J1820" t="s">
        <v>469</v>
      </c>
      <c r="K1820" t="s">
        <v>38</v>
      </c>
      <c r="M1820" t="b">
        <v>1</v>
      </c>
      <c r="N1820" t="s">
        <v>419</v>
      </c>
      <c r="O1820" t="s">
        <v>33</v>
      </c>
      <c r="Q1820">
        <v>117.24</v>
      </c>
      <c r="R1820">
        <v>7.5</v>
      </c>
      <c r="S1820" t="s">
        <v>44</v>
      </c>
      <c r="T1820">
        <v>88.2</v>
      </c>
      <c r="V1820">
        <v>101.8</v>
      </c>
      <c r="W1820">
        <v>78.5</v>
      </c>
      <c r="X1820">
        <v>9.6</v>
      </c>
      <c r="Y1820">
        <v>36.6</v>
      </c>
      <c r="Z1820">
        <v>328239523</v>
      </c>
      <c r="AA1820">
        <v>37.090240000000001</v>
      </c>
      <c r="AB1820">
        <v>-95.712890999999999</v>
      </c>
    </row>
    <row r="1821" spans="1:28" hidden="1">
      <c r="A1821">
        <v>1804</v>
      </c>
      <c r="B1821">
        <v>1600</v>
      </c>
      <c r="C1821" t="s">
        <v>54</v>
      </c>
      <c r="D1821" t="s">
        <v>3569</v>
      </c>
      <c r="E1821">
        <v>82</v>
      </c>
      <c r="G1821" t="s">
        <v>127</v>
      </c>
      <c r="H1821" t="s">
        <v>128</v>
      </c>
      <c r="I1821" t="s">
        <v>1313</v>
      </c>
      <c r="J1821" t="s">
        <v>54</v>
      </c>
      <c r="K1821" t="s">
        <v>127</v>
      </c>
      <c r="M1821" t="b">
        <v>1</v>
      </c>
      <c r="N1821" t="s">
        <v>42</v>
      </c>
      <c r="O1821" t="s">
        <v>33</v>
      </c>
      <c r="Q1821">
        <v>116.76</v>
      </c>
      <c r="R1821">
        <v>1.9</v>
      </c>
      <c r="S1821" t="s">
        <v>132</v>
      </c>
      <c r="T1821">
        <v>68.900000000000006</v>
      </c>
      <c r="V1821">
        <v>100.9</v>
      </c>
      <c r="W1821">
        <v>81.900000000000006</v>
      </c>
      <c r="X1821">
        <v>12.8</v>
      </c>
      <c r="Y1821">
        <v>24.5</v>
      </c>
      <c r="Z1821">
        <v>36991981</v>
      </c>
      <c r="AA1821">
        <v>56.130366000000002</v>
      </c>
      <c r="AB1821">
        <v>-106.346771</v>
      </c>
    </row>
    <row r="1822" spans="1:28" hidden="1">
      <c r="A1822">
        <v>1804</v>
      </c>
      <c r="B1822">
        <v>1600</v>
      </c>
      <c r="C1822" t="s">
        <v>54</v>
      </c>
      <c r="D1822" t="s">
        <v>3570</v>
      </c>
      <c r="E1822">
        <v>65</v>
      </c>
      <c r="G1822" t="s">
        <v>38</v>
      </c>
      <c r="H1822" t="s">
        <v>90</v>
      </c>
      <c r="I1822" t="s">
        <v>699</v>
      </c>
      <c r="J1822" t="s">
        <v>54</v>
      </c>
      <c r="K1822" t="s">
        <v>38</v>
      </c>
      <c r="M1822" t="b">
        <v>1</v>
      </c>
      <c r="N1822" t="s">
        <v>42</v>
      </c>
      <c r="O1822" t="s">
        <v>33</v>
      </c>
      <c r="Q1822">
        <v>117.24</v>
      </c>
      <c r="R1822">
        <v>7.5</v>
      </c>
      <c r="S1822" t="s">
        <v>44</v>
      </c>
      <c r="T1822">
        <v>88.2</v>
      </c>
      <c r="V1822">
        <v>101.8</v>
      </c>
      <c r="W1822">
        <v>78.5</v>
      </c>
      <c r="X1822">
        <v>9.6</v>
      </c>
      <c r="Y1822">
        <v>36.6</v>
      </c>
      <c r="Z1822">
        <v>328239523</v>
      </c>
      <c r="AA1822">
        <v>37.090240000000001</v>
      </c>
      <c r="AB1822">
        <v>-95.712890999999999</v>
      </c>
    </row>
    <row r="1823" spans="1:28" hidden="1">
      <c r="A1823">
        <v>1804</v>
      </c>
      <c r="B1823">
        <v>1600</v>
      </c>
      <c r="C1823" t="s">
        <v>478</v>
      </c>
      <c r="D1823" t="s">
        <v>3571</v>
      </c>
      <c r="E1823">
        <v>69</v>
      </c>
      <c r="G1823" t="s">
        <v>38</v>
      </c>
      <c r="H1823" t="s">
        <v>581</v>
      </c>
      <c r="I1823" t="s">
        <v>3572</v>
      </c>
      <c r="J1823" t="s">
        <v>478</v>
      </c>
      <c r="K1823" t="s">
        <v>38</v>
      </c>
      <c r="M1823" t="b">
        <v>1</v>
      </c>
      <c r="N1823" t="s">
        <v>32</v>
      </c>
      <c r="O1823" t="s">
        <v>33</v>
      </c>
      <c r="Q1823">
        <v>117.24</v>
      </c>
      <c r="R1823">
        <v>7.5</v>
      </c>
      <c r="S1823" t="s">
        <v>44</v>
      </c>
      <c r="T1823">
        <v>88.2</v>
      </c>
      <c r="V1823">
        <v>101.8</v>
      </c>
      <c r="W1823">
        <v>78.5</v>
      </c>
      <c r="X1823">
        <v>9.6</v>
      </c>
      <c r="Y1823">
        <v>36.6</v>
      </c>
      <c r="Z1823">
        <v>328239523</v>
      </c>
      <c r="AA1823">
        <v>37.090240000000001</v>
      </c>
      <c r="AB1823">
        <v>-95.712890999999999</v>
      </c>
    </row>
    <row r="1824" spans="1:28" hidden="1">
      <c r="A1824">
        <v>1804</v>
      </c>
      <c r="B1824">
        <v>1600</v>
      </c>
      <c r="C1824" t="s">
        <v>154</v>
      </c>
      <c r="D1824" t="s">
        <v>3573</v>
      </c>
      <c r="E1824">
        <v>68</v>
      </c>
      <c r="G1824" t="s">
        <v>28</v>
      </c>
      <c r="H1824" t="s">
        <v>1088</v>
      </c>
      <c r="I1824" t="s">
        <v>3574</v>
      </c>
      <c r="J1824" t="s">
        <v>154</v>
      </c>
      <c r="K1824" t="s">
        <v>28</v>
      </c>
      <c r="M1824" t="b">
        <v>1</v>
      </c>
      <c r="N1824" t="s">
        <v>42</v>
      </c>
      <c r="O1824" t="s">
        <v>33</v>
      </c>
      <c r="Q1824">
        <v>110.05</v>
      </c>
      <c r="R1824">
        <v>1.1000000000000001</v>
      </c>
      <c r="S1824" t="s">
        <v>35</v>
      </c>
      <c r="T1824">
        <v>65.599999999999994</v>
      </c>
      <c r="V1824">
        <v>102.5</v>
      </c>
      <c r="W1824">
        <v>82.5</v>
      </c>
      <c r="X1824">
        <v>24.2</v>
      </c>
      <c r="Y1824">
        <v>60.7</v>
      </c>
      <c r="Z1824">
        <v>67059887</v>
      </c>
      <c r="AA1824">
        <v>46.227637999999999</v>
      </c>
      <c r="AB1824">
        <v>2.213749</v>
      </c>
    </row>
    <row r="1825" spans="1:28">
      <c r="A1825">
        <v>1804</v>
      </c>
      <c r="B1825">
        <v>1600</v>
      </c>
      <c r="C1825" t="s">
        <v>54</v>
      </c>
      <c r="D1825" t="s">
        <v>3575</v>
      </c>
      <c r="E1825">
        <v>67</v>
      </c>
      <c r="F1825" t="str">
        <f>IF(E1825&gt;=90,"90-100",IF(E1825&gt;=80,"80-90",IF(E1825&gt;=70,"70-80",IF(E1825&gt;=60,"60-70",IF(E1825&gt;=50,"50-60",IF(E1825&gt;=40,"40-50",IF(E1825&gt;=30,"30-40","20-30")))))))</f>
        <v>60-70</v>
      </c>
      <c r="G1825" t="s">
        <v>38</v>
      </c>
      <c r="H1825" t="s">
        <v>65</v>
      </c>
      <c r="I1825" t="s">
        <v>383</v>
      </c>
      <c r="J1825" t="s">
        <v>54</v>
      </c>
      <c r="K1825" t="s">
        <v>38</v>
      </c>
      <c r="L1825" t="s">
        <v>3576</v>
      </c>
      <c r="M1825" t="b">
        <v>1</v>
      </c>
      <c r="N1825" t="s">
        <v>419</v>
      </c>
      <c r="O1825" t="s">
        <v>4867</v>
      </c>
      <c r="P1825" t="s">
        <v>43</v>
      </c>
      <c r="Q1825">
        <v>117.24</v>
      </c>
      <c r="R1825">
        <v>7.5</v>
      </c>
      <c r="S1825" t="s">
        <v>44</v>
      </c>
      <c r="T1825">
        <v>88.2</v>
      </c>
      <c r="U1825" t="str">
        <f>IF(T1825&gt;=100,"above 100",IF(T1825&gt;=80,"80-100",IF(T1825&gt;=60,"60-80",IF(T1825&gt;=40,"40-60",IF(T1825&gt;=20,"20-60","0-20")))))</f>
        <v>80-100</v>
      </c>
      <c r="V1825">
        <v>101.8</v>
      </c>
      <c r="W1825">
        <v>78.5</v>
      </c>
      <c r="X1825">
        <v>9.6</v>
      </c>
      <c r="Y1825">
        <v>36.6</v>
      </c>
      <c r="Z1825">
        <v>328239523</v>
      </c>
      <c r="AA1825">
        <v>37.090240000000001</v>
      </c>
      <c r="AB1825">
        <v>-95.712890999999999</v>
      </c>
    </row>
    <row r="1826" spans="1:28" hidden="1">
      <c r="A1826">
        <v>1804</v>
      </c>
      <c r="B1826">
        <v>1600</v>
      </c>
      <c r="C1826" t="s">
        <v>45</v>
      </c>
      <c r="D1826" t="s">
        <v>3577</v>
      </c>
      <c r="E1826">
        <v>51</v>
      </c>
      <c r="G1826" t="s">
        <v>38</v>
      </c>
      <c r="H1826" t="s">
        <v>65</v>
      </c>
      <c r="I1826" t="s">
        <v>572</v>
      </c>
      <c r="J1826" t="s">
        <v>45</v>
      </c>
      <c r="K1826" t="s">
        <v>3144</v>
      </c>
      <c r="M1826" t="b">
        <v>1</v>
      </c>
      <c r="N1826" t="s">
        <v>42</v>
      </c>
      <c r="O1826" t="s">
        <v>33</v>
      </c>
      <c r="Q1826">
        <v>117.24</v>
      </c>
      <c r="R1826">
        <v>7.5</v>
      </c>
      <c r="S1826" t="s">
        <v>44</v>
      </c>
      <c r="T1826">
        <v>88.2</v>
      </c>
      <c r="V1826">
        <v>101.8</v>
      </c>
      <c r="W1826">
        <v>78.5</v>
      </c>
      <c r="X1826">
        <v>9.6</v>
      </c>
      <c r="Y1826">
        <v>36.6</v>
      </c>
      <c r="Z1826">
        <v>328239523</v>
      </c>
      <c r="AA1826">
        <v>37.090240000000001</v>
      </c>
      <c r="AB1826">
        <v>-95.712890999999999</v>
      </c>
    </row>
    <row r="1827" spans="1:28" hidden="1">
      <c r="A1827">
        <v>1804</v>
      </c>
      <c r="B1827">
        <v>1600</v>
      </c>
      <c r="C1827" t="s">
        <v>54</v>
      </c>
      <c r="D1827" t="s">
        <v>3578</v>
      </c>
      <c r="E1827">
        <v>53</v>
      </c>
      <c r="G1827" t="s">
        <v>384</v>
      </c>
      <c r="H1827" t="s">
        <v>562</v>
      </c>
      <c r="I1827" t="s">
        <v>383</v>
      </c>
      <c r="J1827" t="s">
        <v>54</v>
      </c>
      <c r="K1827" t="s">
        <v>384</v>
      </c>
      <c r="M1827" t="b">
        <v>0</v>
      </c>
      <c r="N1827" t="s">
        <v>42</v>
      </c>
      <c r="O1827" t="s">
        <v>33</v>
      </c>
      <c r="Q1827">
        <v>167.4</v>
      </c>
      <c r="R1827">
        <v>3.7</v>
      </c>
      <c r="S1827" t="s">
        <v>563</v>
      </c>
      <c r="T1827">
        <v>51.3</v>
      </c>
      <c r="V1827">
        <v>115.4</v>
      </c>
      <c r="W1827">
        <v>75.7</v>
      </c>
      <c r="X1827">
        <v>14.2</v>
      </c>
      <c r="Y1827">
        <v>65.099999999999994</v>
      </c>
      <c r="Z1827">
        <v>212559417</v>
      </c>
      <c r="AA1827">
        <v>-14.235004</v>
      </c>
      <c r="AB1827">
        <v>-51.925280000000001</v>
      </c>
    </row>
    <row r="1828" spans="1:28" hidden="1">
      <c r="A1828">
        <v>1804</v>
      </c>
      <c r="B1828">
        <v>1600</v>
      </c>
      <c r="C1828" t="s">
        <v>236</v>
      </c>
      <c r="D1828" t="s">
        <v>3579</v>
      </c>
      <c r="E1828">
        <v>49</v>
      </c>
      <c r="G1828" t="s">
        <v>156</v>
      </c>
      <c r="H1828" t="s">
        <v>647</v>
      </c>
      <c r="I1828" t="s">
        <v>3580</v>
      </c>
      <c r="J1828" t="s">
        <v>236</v>
      </c>
      <c r="K1828" t="s">
        <v>156</v>
      </c>
      <c r="M1828" t="b">
        <v>1</v>
      </c>
      <c r="N1828" t="s">
        <v>419</v>
      </c>
      <c r="O1828" t="s">
        <v>33</v>
      </c>
      <c r="Q1828">
        <v>99.55</v>
      </c>
      <c r="R1828">
        <v>0.4</v>
      </c>
      <c r="S1828" t="s">
        <v>159</v>
      </c>
      <c r="T1828">
        <v>59.6</v>
      </c>
      <c r="V1828">
        <v>105.2</v>
      </c>
      <c r="W1828">
        <v>83.6</v>
      </c>
      <c r="X1828">
        <v>10.1</v>
      </c>
      <c r="Y1828">
        <v>28.8</v>
      </c>
      <c r="Z1828">
        <v>8574832</v>
      </c>
      <c r="AA1828">
        <v>46.818187999999999</v>
      </c>
      <c r="AB1828">
        <v>8.2275120000000008</v>
      </c>
    </row>
    <row r="1829" spans="1:28" hidden="1">
      <c r="A1829">
        <v>1804</v>
      </c>
      <c r="B1829">
        <v>1600</v>
      </c>
      <c r="C1829" t="s">
        <v>54</v>
      </c>
      <c r="D1829" t="s">
        <v>3581</v>
      </c>
      <c r="E1829">
        <v>78</v>
      </c>
      <c r="G1829" t="s">
        <v>38</v>
      </c>
      <c r="H1829" t="s">
        <v>181</v>
      </c>
      <c r="I1829" t="s">
        <v>1466</v>
      </c>
      <c r="J1829" t="s">
        <v>54</v>
      </c>
      <c r="K1829" t="s">
        <v>38</v>
      </c>
      <c r="M1829" t="b">
        <v>1</v>
      </c>
      <c r="N1829" t="s">
        <v>32</v>
      </c>
      <c r="O1829" t="s">
        <v>33</v>
      </c>
      <c r="Q1829">
        <v>117.24</v>
      </c>
      <c r="R1829">
        <v>7.5</v>
      </c>
      <c r="S1829" t="s">
        <v>44</v>
      </c>
      <c r="T1829">
        <v>88.2</v>
      </c>
      <c r="V1829">
        <v>101.8</v>
      </c>
      <c r="W1829">
        <v>78.5</v>
      </c>
      <c r="X1829">
        <v>9.6</v>
      </c>
      <c r="Y1829">
        <v>36.6</v>
      </c>
      <c r="Z1829">
        <v>328239523</v>
      </c>
      <c r="AA1829">
        <v>37.090240000000001</v>
      </c>
      <c r="AB1829">
        <v>-95.712890999999999</v>
      </c>
    </row>
    <row r="1830" spans="1:28" hidden="1">
      <c r="A1830">
        <v>1804</v>
      </c>
      <c r="B1830">
        <v>1600</v>
      </c>
      <c r="C1830" t="s">
        <v>26</v>
      </c>
      <c r="D1830" t="s">
        <v>3582</v>
      </c>
      <c r="E1830">
        <v>74</v>
      </c>
      <c r="G1830" t="s">
        <v>127</v>
      </c>
      <c r="H1830" t="s">
        <v>3583</v>
      </c>
      <c r="I1830" t="s">
        <v>1130</v>
      </c>
      <c r="J1830" t="s">
        <v>26</v>
      </c>
      <c r="K1830" t="s">
        <v>127</v>
      </c>
      <c r="M1830" t="b">
        <v>1</v>
      </c>
      <c r="N1830" t="s">
        <v>32</v>
      </c>
      <c r="O1830" t="s">
        <v>33</v>
      </c>
      <c r="Q1830">
        <v>116.76</v>
      </c>
      <c r="R1830">
        <v>1.9</v>
      </c>
      <c r="S1830" t="s">
        <v>132</v>
      </c>
      <c r="T1830">
        <v>68.900000000000006</v>
      </c>
      <c r="V1830">
        <v>100.9</v>
      </c>
      <c r="W1830">
        <v>81.900000000000006</v>
      </c>
      <c r="X1830">
        <v>12.8</v>
      </c>
      <c r="Y1830">
        <v>24.5</v>
      </c>
      <c r="Z1830">
        <v>36991981</v>
      </c>
      <c r="AA1830">
        <v>56.130366000000002</v>
      </c>
      <c r="AB1830">
        <v>-106.346771</v>
      </c>
    </row>
    <row r="1831" spans="1:28" hidden="1">
      <c r="A1831">
        <v>1804</v>
      </c>
      <c r="B1831">
        <v>1600</v>
      </c>
      <c r="C1831" t="s">
        <v>288</v>
      </c>
      <c r="D1831" t="s">
        <v>3584</v>
      </c>
      <c r="E1831">
        <v>54</v>
      </c>
      <c r="G1831" t="s">
        <v>103</v>
      </c>
      <c r="H1831" t="s">
        <v>463</v>
      </c>
      <c r="I1831" t="s">
        <v>418</v>
      </c>
      <c r="J1831" t="s">
        <v>288</v>
      </c>
      <c r="K1831" t="s">
        <v>103</v>
      </c>
      <c r="M1831" t="b">
        <v>1</v>
      </c>
      <c r="N1831" t="s">
        <v>32</v>
      </c>
      <c r="O1831" t="s">
        <v>33</v>
      </c>
      <c r="Q1831">
        <v>125.08</v>
      </c>
      <c r="R1831">
        <v>2.9</v>
      </c>
      <c r="S1831" t="s">
        <v>106</v>
      </c>
      <c r="T1831">
        <v>50.6</v>
      </c>
      <c r="V1831">
        <v>100.2</v>
      </c>
      <c r="W1831">
        <v>77</v>
      </c>
      <c r="X1831">
        <v>9.4</v>
      </c>
      <c r="Y1831">
        <v>59.2</v>
      </c>
      <c r="Z1831">
        <v>1397715000</v>
      </c>
      <c r="AA1831">
        <v>35.861660000000001</v>
      </c>
      <c r="AB1831">
        <v>104.195397</v>
      </c>
    </row>
    <row r="1832" spans="1:28" hidden="1">
      <c r="A1832">
        <v>1804</v>
      </c>
      <c r="B1832">
        <v>1600</v>
      </c>
      <c r="C1832" t="s">
        <v>288</v>
      </c>
      <c r="D1832" t="s">
        <v>3585</v>
      </c>
      <c r="E1832">
        <v>45</v>
      </c>
      <c r="G1832" t="s">
        <v>156</v>
      </c>
      <c r="H1832" t="s">
        <v>3586</v>
      </c>
      <c r="I1832" t="s">
        <v>418</v>
      </c>
      <c r="J1832" t="s">
        <v>288</v>
      </c>
      <c r="K1832" t="s">
        <v>156</v>
      </c>
      <c r="M1832" t="b">
        <v>0</v>
      </c>
      <c r="N1832" t="s">
        <v>42</v>
      </c>
      <c r="O1832" t="s">
        <v>33</v>
      </c>
      <c r="Q1832">
        <v>99.55</v>
      </c>
      <c r="R1832">
        <v>0.4</v>
      </c>
      <c r="S1832" t="s">
        <v>159</v>
      </c>
      <c r="T1832">
        <v>59.6</v>
      </c>
      <c r="V1832">
        <v>105.2</v>
      </c>
      <c r="W1832">
        <v>83.6</v>
      </c>
      <c r="X1832">
        <v>10.1</v>
      </c>
      <c r="Y1832">
        <v>28.8</v>
      </c>
      <c r="Z1832">
        <v>8574832</v>
      </c>
      <c r="AA1832">
        <v>46.818187999999999</v>
      </c>
      <c r="AB1832">
        <v>8.2275120000000008</v>
      </c>
    </row>
    <row r="1833" spans="1:28">
      <c r="A1833">
        <v>1804</v>
      </c>
      <c r="B1833">
        <v>1600</v>
      </c>
      <c r="C1833" t="s">
        <v>54</v>
      </c>
      <c r="D1833" t="s">
        <v>3587</v>
      </c>
      <c r="E1833">
        <v>78</v>
      </c>
      <c r="F1833" t="str">
        <f>IF(E1833&gt;=90,"90-100",IF(E1833&gt;=80,"80-90",IF(E1833&gt;=70,"70-80",IF(E1833&gt;=60,"60-70",IF(E1833&gt;=50,"50-60",IF(E1833&gt;=40,"40-50",IF(E1833&gt;=30,"30-40","20-30")))))))</f>
        <v>70-80</v>
      </c>
      <c r="G1833" t="s">
        <v>38</v>
      </c>
      <c r="H1833" t="s">
        <v>2321</v>
      </c>
      <c r="I1833" t="s">
        <v>231</v>
      </c>
      <c r="J1833" t="s">
        <v>54</v>
      </c>
      <c r="K1833" t="s">
        <v>38</v>
      </c>
      <c r="L1833" t="s">
        <v>3588</v>
      </c>
      <c r="M1833" t="b">
        <v>1</v>
      </c>
      <c r="N1833" t="s">
        <v>419</v>
      </c>
      <c r="O1833" t="s">
        <v>4867</v>
      </c>
      <c r="P1833" t="s">
        <v>3589</v>
      </c>
      <c r="Q1833">
        <v>117.24</v>
      </c>
      <c r="R1833">
        <v>7.5</v>
      </c>
      <c r="S1833" t="s">
        <v>44</v>
      </c>
      <c r="T1833">
        <v>88.2</v>
      </c>
      <c r="U1833" t="str">
        <f>IF(T1833&gt;=100,"above 100",IF(T1833&gt;=80,"80-100",IF(T1833&gt;=60,"60-80",IF(T1833&gt;=40,"40-60",IF(T1833&gt;=20,"20-60","0-20")))))</f>
        <v>80-100</v>
      </c>
      <c r="V1833">
        <v>101.8</v>
      </c>
      <c r="W1833">
        <v>78.5</v>
      </c>
      <c r="X1833">
        <v>9.6</v>
      </c>
      <c r="Y1833">
        <v>36.6</v>
      </c>
      <c r="Z1833">
        <v>328239523</v>
      </c>
      <c r="AA1833">
        <v>37.090240000000001</v>
      </c>
      <c r="AB1833">
        <v>-95.712890999999999</v>
      </c>
    </row>
    <row r="1834" spans="1:28" hidden="1">
      <c r="A1834">
        <v>1804</v>
      </c>
      <c r="B1834">
        <v>1600</v>
      </c>
      <c r="C1834" t="s">
        <v>54</v>
      </c>
      <c r="D1834" t="s">
        <v>3590</v>
      </c>
      <c r="E1834">
        <v>73</v>
      </c>
      <c r="G1834" t="s">
        <v>38</v>
      </c>
      <c r="H1834" t="s">
        <v>2321</v>
      </c>
      <c r="I1834" t="s">
        <v>231</v>
      </c>
      <c r="J1834" t="s">
        <v>54</v>
      </c>
      <c r="K1834" t="s">
        <v>38</v>
      </c>
      <c r="M1834" t="b">
        <v>0</v>
      </c>
      <c r="N1834" t="s">
        <v>419</v>
      </c>
      <c r="O1834" t="s">
        <v>88</v>
      </c>
      <c r="Q1834">
        <v>117.24</v>
      </c>
      <c r="R1834">
        <v>7.5</v>
      </c>
      <c r="S1834" t="s">
        <v>44</v>
      </c>
      <c r="T1834">
        <v>88.2</v>
      </c>
      <c r="V1834">
        <v>101.8</v>
      </c>
      <c r="W1834">
        <v>78.5</v>
      </c>
      <c r="X1834">
        <v>9.6</v>
      </c>
      <c r="Y1834">
        <v>36.6</v>
      </c>
      <c r="Z1834">
        <v>328239523</v>
      </c>
      <c r="AA1834">
        <v>37.090240000000001</v>
      </c>
      <c r="AB1834">
        <v>-95.712890999999999</v>
      </c>
    </row>
    <row r="1835" spans="1:28" hidden="1">
      <c r="A1835">
        <v>1804</v>
      </c>
      <c r="B1835">
        <v>1600</v>
      </c>
      <c r="C1835" t="s">
        <v>478</v>
      </c>
      <c r="D1835" t="s">
        <v>3591</v>
      </c>
      <c r="E1835">
        <v>88</v>
      </c>
      <c r="G1835" t="s">
        <v>38</v>
      </c>
      <c r="H1835" t="s">
        <v>1418</v>
      </c>
      <c r="I1835" t="s">
        <v>3592</v>
      </c>
      <c r="J1835" t="s">
        <v>478</v>
      </c>
      <c r="K1835" t="s">
        <v>38</v>
      </c>
      <c r="M1835" t="b">
        <v>1</v>
      </c>
      <c r="N1835" t="s">
        <v>192</v>
      </c>
      <c r="O1835" t="s">
        <v>33</v>
      </c>
      <c r="Q1835">
        <v>117.24</v>
      </c>
      <c r="R1835">
        <v>7.5</v>
      </c>
      <c r="S1835" t="s">
        <v>44</v>
      </c>
      <c r="T1835">
        <v>88.2</v>
      </c>
      <c r="V1835">
        <v>101.8</v>
      </c>
      <c r="W1835">
        <v>78.5</v>
      </c>
      <c r="X1835">
        <v>9.6</v>
      </c>
      <c r="Y1835">
        <v>36.6</v>
      </c>
      <c r="Z1835">
        <v>328239523</v>
      </c>
      <c r="AA1835">
        <v>37.090240000000001</v>
      </c>
      <c r="AB1835">
        <v>-95.712890999999999</v>
      </c>
    </row>
    <row r="1836" spans="1:28" hidden="1">
      <c r="A1836">
        <v>1804</v>
      </c>
      <c r="B1836">
        <v>1600</v>
      </c>
      <c r="C1836" t="s">
        <v>250</v>
      </c>
      <c r="D1836" t="s">
        <v>3593</v>
      </c>
      <c r="E1836">
        <v>72</v>
      </c>
      <c r="G1836" t="s">
        <v>38</v>
      </c>
      <c r="H1836" t="s">
        <v>480</v>
      </c>
      <c r="I1836" t="s">
        <v>2112</v>
      </c>
      <c r="J1836" t="s">
        <v>250</v>
      </c>
      <c r="K1836" t="s">
        <v>38</v>
      </c>
      <c r="M1836" t="b">
        <v>0</v>
      </c>
      <c r="N1836" t="s">
        <v>32</v>
      </c>
      <c r="O1836" t="s">
        <v>33</v>
      </c>
      <c r="Q1836">
        <v>117.24</v>
      </c>
      <c r="R1836">
        <v>7.5</v>
      </c>
      <c r="S1836" t="s">
        <v>44</v>
      </c>
      <c r="T1836">
        <v>88.2</v>
      </c>
      <c r="V1836">
        <v>101.8</v>
      </c>
      <c r="W1836">
        <v>78.5</v>
      </c>
      <c r="X1836">
        <v>9.6</v>
      </c>
      <c r="Y1836">
        <v>36.6</v>
      </c>
      <c r="Z1836">
        <v>328239523</v>
      </c>
      <c r="AA1836">
        <v>37.090240000000001</v>
      </c>
      <c r="AB1836">
        <v>-95.712890999999999</v>
      </c>
    </row>
    <row r="1837" spans="1:28" hidden="1">
      <c r="A1837">
        <v>1804</v>
      </c>
      <c r="B1837">
        <v>1600</v>
      </c>
      <c r="C1837" t="s">
        <v>217</v>
      </c>
      <c r="D1837" t="s">
        <v>3594</v>
      </c>
      <c r="E1837">
        <v>58</v>
      </c>
      <c r="G1837" t="s">
        <v>1634</v>
      </c>
      <c r="H1837" t="s">
        <v>3102</v>
      </c>
      <c r="I1837" t="s">
        <v>1636</v>
      </c>
      <c r="J1837" t="s">
        <v>217</v>
      </c>
      <c r="K1837" t="s">
        <v>1634</v>
      </c>
      <c r="M1837" t="b">
        <v>0</v>
      </c>
      <c r="N1837" t="s">
        <v>32</v>
      </c>
      <c r="O1837" t="s">
        <v>88</v>
      </c>
      <c r="Q1837">
        <v>112.33</v>
      </c>
      <c r="R1837">
        <v>1</v>
      </c>
      <c r="S1837" t="s">
        <v>1637</v>
      </c>
      <c r="T1837">
        <v>88.2</v>
      </c>
      <c r="V1837">
        <v>100.2</v>
      </c>
      <c r="W1837">
        <v>81.7</v>
      </c>
      <c r="X1837">
        <v>20.8</v>
      </c>
      <c r="Y1837">
        <v>36.6</v>
      </c>
      <c r="Z1837">
        <v>5520314</v>
      </c>
      <c r="AA1837">
        <v>61.924109999999999</v>
      </c>
      <c r="AB1837">
        <v>25.748151</v>
      </c>
    </row>
    <row r="1838" spans="1:28" hidden="1">
      <c r="A1838">
        <v>1804</v>
      </c>
      <c r="B1838">
        <v>1600</v>
      </c>
      <c r="C1838" t="s">
        <v>75</v>
      </c>
      <c r="D1838" t="s">
        <v>3595</v>
      </c>
      <c r="E1838">
        <v>70</v>
      </c>
      <c r="G1838" t="s">
        <v>38</v>
      </c>
      <c r="H1838" t="s">
        <v>505</v>
      </c>
      <c r="I1838" t="s">
        <v>3596</v>
      </c>
      <c r="J1838" t="s">
        <v>75</v>
      </c>
      <c r="K1838" t="s">
        <v>38</v>
      </c>
      <c r="M1838" t="b">
        <v>1</v>
      </c>
      <c r="N1838" t="s">
        <v>32</v>
      </c>
      <c r="O1838" t="s">
        <v>33</v>
      </c>
      <c r="Q1838">
        <v>117.24</v>
      </c>
      <c r="R1838">
        <v>7.5</v>
      </c>
      <c r="S1838" t="s">
        <v>44</v>
      </c>
      <c r="T1838">
        <v>88.2</v>
      </c>
      <c r="V1838">
        <v>101.8</v>
      </c>
      <c r="W1838">
        <v>78.5</v>
      </c>
      <c r="X1838">
        <v>9.6</v>
      </c>
      <c r="Y1838">
        <v>36.6</v>
      </c>
      <c r="Z1838">
        <v>328239523</v>
      </c>
      <c r="AA1838">
        <v>37.090240000000001</v>
      </c>
      <c r="AB1838">
        <v>-95.712890999999999</v>
      </c>
    </row>
    <row r="1839" spans="1:28">
      <c r="A1839">
        <v>1804</v>
      </c>
      <c r="B1839">
        <v>1600</v>
      </c>
      <c r="C1839" t="s">
        <v>63</v>
      </c>
      <c r="D1839" t="s">
        <v>3597</v>
      </c>
      <c r="E1839">
        <v>89</v>
      </c>
      <c r="F1839" t="str">
        <f>IF(E1839&gt;=90,"90-100",IF(E1839&gt;=80,"80-90",IF(E1839&gt;=70,"70-80",IF(E1839&gt;=60,"60-70",IF(E1839&gt;=50,"50-60",IF(E1839&gt;=40,"40-50",IF(E1839&gt;=30,"30-40","20-30")))))))</f>
        <v>80-90</v>
      </c>
      <c r="G1839" t="s">
        <v>38</v>
      </c>
      <c r="H1839" t="s">
        <v>3598</v>
      </c>
      <c r="I1839" t="s">
        <v>3599</v>
      </c>
      <c r="J1839" t="s">
        <v>63</v>
      </c>
      <c r="K1839" t="s">
        <v>38</v>
      </c>
      <c r="L1839" t="s">
        <v>3600</v>
      </c>
      <c r="M1839" t="b">
        <v>0</v>
      </c>
      <c r="N1839" t="s">
        <v>42</v>
      </c>
      <c r="O1839" t="s">
        <v>4867</v>
      </c>
      <c r="P1839" t="s">
        <v>34</v>
      </c>
      <c r="Q1839">
        <v>117.24</v>
      </c>
      <c r="R1839">
        <v>7.5</v>
      </c>
      <c r="S1839" t="s">
        <v>44</v>
      </c>
      <c r="T1839">
        <v>88.2</v>
      </c>
      <c r="U1839" t="str">
        <f>IF(T1839&gt;=100,"above 100",IF(T1839&gt;=80,"80-100",IF(T1839&gt;=60,"60-80",IF(T1839&gt;=40,"40-60",IF(T1839&gt;=20,"20-60","0-20")))))</f>
        <v>80-100</v>
      </c>
      <c r="V1839">
        <v>101.8</v>
      </c>
      <c r="W1839">
        <v>78.5</v>
      </c>
      <c r="X1839">
        <v>9.6</v>
      </c>
      <c r="Y1839">
        <v>36.6</v>
      </c>
      <c r="Z1839">
        <v>328239523</v>
      </c>
      <c r="AA1839">
        <v>37.090240000000001</v>
      </c>
      <c r="AB1839">
        <v>-95.712890999999999</v>
      </c>
    </row>
    <row r="1840" spans="1:28" hidden="1">
      <c r="A1840">
        <v>1804</v>
      </c>
      <c r="B1840">
        <v>1600</v>
      </c>
      <c r="C1840" t="s">
        <v>217</v>
      </c>
      <c r="D1840" t="s">
        <v>3601</v>
      </c>
      <c r="E1840">
        <v>69</v>
      </c>
      <c r="G1840" t="s">
        <v>103</v>
      </c>
      <c r="H1840" t="s">
        <v>3384</v>
      </c>
      <c r="I1840" t="s">
        <v>3385</v>
      </c>
      <c r="J1840" t="s">
        <v>217</v>
      </c>
      <c r="K1840" t="s">
        <v>103</v>
      </c>
      <c r="M1840" t="b">
        <v>1</v>
      </c>
      <c r="N1840" t="s">
        <v>42</v>
      </c>
      <c r="O1840" t="s">
        <v>33</v>
      </c>
      <c r="Q1840">
        <v>125.08</v>
      </c>
      <c r="R1840">
        <v>2.9</v>
      </c>
      <c r="S1840" t="s">
        <v>106</v>
      </c>
      <c r="T1840">
        <v>50.6</v>
      </c>
      <c r="V1840">
        <v>100.2</v>
      </c>
      <c r="W1840">
        <v>77</v>
      </c>
      <c r="X1840">
        <v>9.4</v>
      </c>
      <c r="Y1840">
        <v>59.2</v>
      </c>
      <c r="Z1840">
        <v>1397715000</v>
      </c>
      <c r="AA1840">
        <v>35.861660000000001</v>
      </c>
      <c r="AB1840">
        <v>104.195397</v>
      </c>
    </row>
    <row r="1841" spans="1:28" hidden="1">
      <c r="A1841">
        <v>1804</v>
      </c>
      <c r="B1841">
        <v>1600</v>
      </c>
      <c r="C1841" t="s">
        <v>236</v>
      </c>
      <c r="D1841" t="s">
        <v>3602</v>
      </c>
      <c r="E1841">
        <v>60</v>
      </c>
      <c r="G1841" t="s">
        <v>103</v>
      </c>
      <c r="H1841" t="s">
        <v>501</v>
      </c>
      <c r="I1841" t="s">
        <v>3603</v>
      </c>
      <c r="J1841" t="s">
        <v>236</v>
      </c>
      <c r="K1841" t="s">
        <v>103</v>
      </c>
      <c r="M1841" t="b">
        <v>1</v>
      </c>
      <c r="N1841" t="s">
        <v>42</v>
      </c>
      <c r="O1841" t="s">
        <v>33</v>
      </c>
      <c r="Q1841">
        <v>125.08</v>
      </c>
      <c r="R1841">
        <v>2.9</v>
      </c>
      <c r="S1841" t="s">
        <v>106</v>
      </c>
      <c r="T1841">
        <v>50.6</v>
      </c>
      <c r="V1841">
        <v>100.2</v>
      </c>
      <c r="W1841">
        <v>77</v>
      </c>
      <c r="X1841">
        <v>9.4</v>
      </c>
      <c r="Y1841">
        <v>59.2</v>
      </c>
      <c r="Z1841">
        <v>1397715000</v>
      </c>
      <c r="AA1841">
        <v>35.861660000000001</v>
      </c>
      <c r="AB1841">
        <v>104.195397</v>
      </c>
    </row>
    <row r="1842" spans="1:28" hidden="1">
      <c r="A1842">
        <v>1804</v>
      </c>
      <c r="B1842">
        <v>1600</v>
      </c>
      <c r="C1842" t="s">
        <v>221</v>
      </c>
      <c r="D1842" t="s">
        <v>3604</v>
      </c>
      <c r="E1842">
        <v>59</v>
      </c>
      <c r="G1842" t="s">
        <v>103</v>
      </c>
      <c r="H1842" t="s">
        <v>215</v>
      </c>
      <c r="I1842" t="s">
        <v>223</v>
      </c>
      <c r="J1842" t="s">
        <v>221</v>
      </c>
      <c r="K1842" t="s">
        <v>103</v>
      </c>
      <c r="M1842" t="b">
        <v>1</v>
      </c>
      <c r="N1842" t="s">
        <v>42</v>
      </c>
      <c r="O1842" t="s">
        <v>33</v>
      </c>
      <c r="Q1842">
        <v>125.08</v>
      </c>
      <c r="R1842">
        <v>2.9</v>
      </c>
      <c r="S1842" t="s">
        <v>106</v>
      </c>
      <c r="T1842">
        <v>50.6</v>
      </c>
      <c r="V1842">
        <v>100.2</v>
      </c>
      <c r="W1842">
        <v>77</v>
      </c>
      <c r="X1842">
        <v>9.4</v>
      </c>
      <c r="Y1842">
        <v>59.2</v>
      </c>
      <c r="Z1842">
        <v>1397715000</v>
      </c>
      <c r="AA1842">
        <v>35.861660000000001</v>
      </c>
      <c r="AB1842">
        <v>104.195397</v>
      </c>
    </row>
    <row r="1843" spans="1:28" hidden="1">
      <c r="A1843">
        <v>1804</v>
      </c>
      <c r="B1843">
        <v>1600</v>
      </c>
      <c r="C1843" t="s">
        <v>26</v>
      </c>
      <c r="D1843" t="s">
        <v>3605</v>
      </c>
      <c r="E1843">
        <v>65</v>
      </c>
      <c r="G1843" t="s">
        <v>263</v>
      </c>
      <c r="H1843" t="s">
        <v>274</v>
      </c>
      <c r="I1843" t="s">
        <v>3606</v>
      </c>
      <c r="J1843" t="s">
        <v>26</v>
      </c>
      <c r="K1843" t="s">
        <v>263</v>
      </c>
      <c r="M1843" t="b">
        <v>1</v>
      </c>
      <c r="N1843" t="s">
        <v>853</v>
      </c>
      <c r="O1843" t="s">
        <v>33</v>
      </c>
      <c r="Q1843">
        <v>180.75</v>
      </c>
      <c r="R1843">
        <v>4.5</v>
      </c>
      <c r="S1843" t="s">
        <v>276</v>
      </c>
      <c r="T1843">
        <v>81.900000000000006</v>
      </c>
      <c r="V1843">
        <v>102.6</v>
      </c>
      <c r="W1843">
        <v>72.7</v>
      </c>
      <c r="X1843">
        <v>11.4</v>
      </c>
      <c r="Y1843">
        <v>46.2</v>
      </c>
      <c r="Z1843">
        <v>144373535</v>
      </c>
      <c r="AA1843">
        <v>61.524009999999997</v>
      </c>
      <c r="AB1843">
        <v>105.31875599999999</v>
      </c>
    </row>
    <row r="1844" spans="1:28" hidden="1">
      <c r="A1844">
        <v>1804</v>
      </c>
      <c r="B1844">
        <v>1600</v>
      </c>
      <c r="C1844" t="s">
        <v>63</v>
      </c>
      <c r="D1844" t="s">
        <v>3607</v>
      </c>
      <c r="I1844" t="s">
        <v>245</v>
      </c>
      <c r="J1844" t="s">
        <v>63</v>
      </c>
      <c r="K1844" t="s">
        <v>611</v>
      </c>
      <c r="M1844" t="b">
        <v>1</v>
      </c>
      <c r="N1844" t="s">
        <v>192</v>
      </c>
      <c r="O1844" t="s">
        <v>33</v>
      </c>
    </row>
    <row r="1845" spans="1:28" hidden="1">
      <c r="A1845">
        <v>1804</v>
      </c>
      <c r="B1845">
        <v>1600</v>
      </c>
      <c r="C1845" t="s">
        <v>288</v>
      </c>
      <c r="D1845" t="s">
        <v>3608</v>
      </c>
      <c r="E1845">
        <v>69</v>
      </c>
      <c r="G1845" t="s">
        <v>38</v>
      </c>
      <c r="H1845" t="s">
        <v>3609</v>
      </c>
      <c r="I1845" t="s">
        <v>418</v>
      </c>
      <c r="J1845" t="s">
        <v>288</v>
      </c>
      <c r="K1845" t="s">
        <v>38</v>
      </c>
      <c r="M1845" t="b">
        <v>1</v>
      </c>
      <c r="N1845" t="s">
        <v>419</v>
      </c>
      <c r="O1845" t="s">
        <v>33</v>
      </c>
      <c r="Q1845">
        <v>117.24</v>
      </c>
      <c r="R1845">
        <v>7.5</v>
      </c>
      <c r="S1845" t="s">
        <v>44</v>
      </c>
      <c r="T1845">
        <v>88.2</v>
      </c>
      <c r="V1845">
        <v>101.8</v>
      </c>
      <c r="W1845">
        <v>78.5</v>
      </c>
      <c r="X1845">
        <v>9.6</v>
      </c>
      <c r="Y1845">
        <v>36.6</v>
      </c>
      <c r="Z1845">
        <v>328239523</v>
      </c>
      <c r="AA1845">
        <v>37.090240000000001</v>
      </c>
      <c r="AB1845">
        <v>-95.712890999999999</v>
      </c>
    </row>
    <row r="1846" spans="1:28" hidden="1">
      <c r="A1846">
        <v>1804</v>
      </c>
      <c r="B1846">
        <v>1600</v>
      </c>
      <c r="C1846" t="s">
        <v>250</v>
      </c>
      <c r="D1846" t="s">
        <v>3610</v>
      </c>
      <c r="E1846">
        <v>82</v>
      </c>
      <c r="G1846" t="s">
        <v>38</v>
      </c>
      <c r="H1846" t="s">
        <v>257</v>
      </c>
      <c r="I1846" t="s">
        <v>1337</v>
      </c>
      <c r="J1846" t="s">
        <v>250</v>
      </c>
      <c r="K1846" t="s">
        <v>38</v>
      </c>
      <c r="M1846" t="b">
        <v>0</v>
      </c>
      <c r="N1846" t="s">
        <v>419</v>
      </c>
      <c r="O1846" t="s">
        <v>33</v>
      </c>
      <c r="Q1846">
        <v>117.24</v>
      </c>
      <c r="R1846">
        <v>7.5</v>
      </c>
      <c r="S1846" t="s">
        <v>44</v>
      </c>
      <c r="T1846">
        <v>88.2</v>
      </c>
      <c r="V1846">
        <v>101.8</v>
      </c>
      <c r="W1846">
        <v>78.5</v>
      </c>
      <c r="X1846">
        <v>9.6</v>
      </c>
      <c r="Y1846">
        <v>36.6</v>
      </c>
      <c r="Z1846">
        <v>328239523</v>
      </c>
      <c r="AA1846">
        <v>37.090240000000001</v>
      </c>
      <c r="AB1846">
        <v>-95.712890999999999</v>
      </c>
    </row>
    <row r="1847" spans="1:28" hidden="1">
      <c r="A1847">
        <v>1804</v>
      </c>
      <c r="B1847">
        <v>1600</v>
      </c>
      <c r="C1847" t="s">
        <v>217</v>
      </c>
      <c r="D1847" t="s">
        <v>3611</v>
      </c>
      <c r="E1847">
        <v>73</v>
      </c>
      <c r="G1847" t="s">
        <v>189</v>
      </c>
      <c r="H1847" t="s">
        <v>3612</v>
      </c>
      <c r="I1847" t="s">
        <v>231</v>
      </c>
      <c r="J1847" t="s">
        <v>217</v>
      </c>
      <c r="K1847" t="s">
        <v>263</v>
      </c>
      <c r="M1847" t="b">
        <v>1</v>
      </c>
      <c r="N1847" t="s">
        <v>32</v>
      </c>
      <c r="O1847" t="s">
        <v>33</v>
      </c>
      <c r="Q1847">
        <v>118.06</v>
      </c>
      <c r="R1847">
        <v>1.5</v>
      </c>
      <c r="S1847" t="s">
        <v>193</v>
      </c>
      <c r="T1847">
        <v>85.1</v>
      </c>
      <c r="V1847">
        <v>103.1</v>
      </c>
      <c r="W1847">
        <v>81.599999999999994</v>
      </c>
      <c r="X1847">
        <v>25.4</v>
      </c>
      <c r="Y1847">
        <v>51.4</v>
      </c>
      <c r="Z1847">
        <v>8877067</v>
      </c>
      <c r="AA1847">
        <v>47.516230999999998</v>
      </c>
      <c r="AB1847">
        <v>14.550072</v>
      </c>
    </row>
    <row r="1848" spans="1:28" hidden="1">
      <c r="A1848">
        <v>1804</v>
      </c>
      <c r="B1848">
        <v>1600</v>
      </c>
      <c r="C1848" t="s">
        <v>154</v>
      </c>
      <c r="D1848" t="s">
        <v>3613</v>
      </c>
      <c r="E1848">
        <v>76</v>
      </c>
      <c r="G1848" t="s">
        <v>198</v>
      </c>
      <c r="H1848" t="s">
        <v>320</v>
      </c>
      <c r="I1848" t="s">
        <v>310</v>
      </c>
      <c r="J1848" t="s">
        <v>154</v>
      </c>
      <c r="K1848" t="s">
        <v>198</v>
      </c>
      <c r="M1848" t="b">
        <v>1</v>
      </c>
      <c r="N1848" t="s">
        <v>42</v>
      </c>
      <c r="O1848" t="s">
        <v>33</v>
      </c>
      <c r="Q1848">
        <v>105.48</v>
      </c>
      <c r="R1848">
        <v>0.5</v>
      </c>
      <c r="S1848" t="s">
        <v>201</v>
      </c>
      <c r="T1848">
        <v>63.2</v>
      </c>
      <c r="V1848">
        <v>98.8</v>
      </c>
      <c r="W1848">
        <v>84.2</v>
      </c>
      <c r="X1848">
        <v>11.9</v>
      </c>
      <c r="Y1848">
        <v>46.7</v>
      </c>
      <c r="Z1848">
        <v>126226568</v>
      </c>
      <c r="AA1848">
        <v>36.204824000000002</v>
      </c>
      <c r="AB1848">
        <v>138.25292400000001</v>
      </c>
    </row>
    <row r="1849" spans="1:28" hidden="1">
      <c r="A1849">
        <v>1804</v>
      </c>
      <c r="B1849">
        <v>1600</v>
      </c>
      <c r="C1849" t="s">
        <v>288</v>
      </c>
      <c r="D1849" t="s">
        <v>3614</v>
      </c>
      <c r="E1849">
        <v>74</v>
      </c>
      <c r="G1849" t="s">
        <v>38</v>
      </c>
      <c r="H1849" t="s">
        <v>980</v>
      </c>
      <c r="I1849" t="s">
        <v>1198</v>
      </c>
      <c r="J1849" t="s">
        <v>288</v>
      </c>
      <c r="K1849" t="s">
        <v>38</v>
      </c>
      <c r="M1849" t="b">
        <v>1</v>
      </c>
      <c r="N1849" t="s">
        <v>419</v>
      </c>
      <c r="O1849" t="s">
        <v>33</v>
      </c>
      <c r="Q1849">
        <v>117.24</v>
      </c>
      <c r="R1849">
        <v>7.5</v>
      </c>
      <c r="S1849" t="s">
        <v>44</v>
      </c>
      <c r="T1849">
        <v>88.2</v>
      </c>
      <c r="V1849">
        <v>101.8</v>
      </c>
      <c r="W1849">
        <v>78.5</v>
      </c>
      <c r="X1849">
        <v>9.6</v>
      </c>
      <c r="Y1849">
        <v>36.6</v>
      </c>
      <c r="Z1849">
        <v>328239523</v>
      </c>
      <c r="AA1849">
        <v>37.090240000000001</v>
      </c>
      <c r="AB1849">
        <v>-95.712890999999999</v>
      </c>
    </row>
    <row r="1850" spans="1:28" hidden="1">
      <c r="A1850">
        <v>1804</v>
      </c>
      <c r="B1850">
        <v>1600</v>
      </c>
      <c r="C1850" t="s">
        <v>75</v>
      </c>
      <c r="D1850" t="s">
        <v>3615</v>
      </c>
      <c r="E1850">
        <v>68</v>
      </c>
      <c r="G1850" t="s">
        <v>203</v>
      </c>
      <c r="H1850" t="s">
        <v>3616</v>
      </c>
      <c r="I1850" t="s">
        <v>217</v>
      </c>
      <c r="J1850" t="s">
        <v>75</v>
      </c>
      <c r="K1850" t="s">
        <v>203</v>
      </c>
      <c r="M1850" t="b">
        <v>1</v>
      </c>
      <c r="N1850" t="s">
        <v>42</v>
      </c>
      <c r="O1850" t="s">
        <v>33</v>
      </c>
      <c r="Q1850">
        <v>119.62</v>
      </c>
      <c r="R1850">
        <v>1.7</v>
      </c>
      <c r="S1850" t="s">
        <v>206</v>
      </c>
      <c r="T1850">
        <v>60</v>
      </c>
      <c r="V1850">
        <v>101.2</v>
      </c>
      <c r="W1850">
        <v>81.3</v>
      </c>
      <c r="X1850">
        <v>25.5</v>
      </c>
      <c r="Y1850">
        <v>30.6</v>
      </c>
      <c r="Z1850">
        <v>66834405</v>
      </c>
      <c r="AA1850">
        <v>55.378050999999999</v>
      </c>
      <c r="AB1850">
        <v>-3.4359730000000002</v>
      </c>
    </row>
    <row r="1851" spans="1:28" hidden="1">
      <c r="A1851">
        <v>1804</v>
      </c>
      <c r="B1851">
        <v>1600</v>
      </c>
      <c r="C1851" t="s">
        <v>75</v>
      </c>
      <c r="D1851" t="s">
        <v>3617</v>
      </c>
      <c r="E1851">
        <v>70</v>
      </c>
      <c r="G1851" t="s">
        <v>1180</v>
      </c>
      <c r="H1851" t="s">
        <v>3263</v>
      </c>
      <c r="I1851" t="s">
        <v>3618</v>
      </c>
      <c r="J1851" t="s">
        <v>75</v>
      </c>
      <c r="K1851" t="s">
        <v>1180</v>
      </c>
      <c r="M1851" t="b">
        <v>0</v>
      </c>
      <c r="N1851" t="s">
        <v>192</v>
      </c>
      <c r="O1851" t="s">
        <v>88</v>
      </c>
      <c r="Q1851">
        <v>101.87</v>
      </c>
      <c r="R1851">
        <v>0.2</v>
      </c>
      <c r="S1851" t="s">
        <v>1181</v>
      </c>
      <c r="T1851">
        <v>136.6</v>
      </c>
      <c r="V1851">
        <v>99.6</v>
      </c>
      <c r="W1851">
        <v>81.3</v>
      </c>
      <c r="X1851">
        <v>26.2</v>
      </c>
      <c r="Y1851">
        <v>51.9</v>
      </c>
      <c r="Z1851">
        <v>10716322</v>
      </c>
      <c r="AA1851">
        <v>39.074207999999999</v>
      </c>
      <c r="AB1851">
        <v>21.824311999999999</v>
      </c>
    </row>
    <row r="1852" spans="1:28" hidden="1">
      <c r="A1852">
        <v>1804</v>
      </c>
      <c r="B1852">
        <v>1600</v>
      </c>
      <c r="C1852" t="s">
        <v>221</v>
      </c>
      <c r="D1852" t="s">
        <v>3619</v>
      </c>
      <c r="E1852">
        <v>45</v>
      </c>
      <c r="G1852" t="s">
        <v>512</v>
      </c>
      <c r="I1852" t="s">
        <v>2359</v>
      </c>
      <c r="J1852" t="s">
        <v>221</v>
      </c>
      <c r="K1852" t="s">
        <v>512</v>
      </c>
      <c r="M1852" t="b">
        <v>0</v>
      </c>
      <c r="N1852" t="s">
        <v>212</v>
      </c>
      <c r="O1852" t="s">
        <v>33</v>
      </c>
      <c r="Q1852">
        <v>121.46</v>
      </c>
      <c r="R1852">
        <v>0.7</v>
      </c>
      <c r="S1852" t="s">
        <v>592</v>
      </c>
      <c r="T1852">
        <v>45.1</v>
      </c>
      <c r="V1852">
        <v>105.3</v>
      </c>
      <c r="W1852">
        <v>76</v>
      </c>
      <c r="X1852">
        <v>12</v>
      </c>
      <c r="Y1852">
        <v>38.700000000000003</v>
      </c>
      <c r="Z1852">
        <v>32447385</v>
      </c>
      <c r="AA1852">
        <v>4.2104840000000001</v>
      </c>
      <c r="AB1852">
        <v>101.97576599999999</v>
      </c>
    </row>
    <row r="1853" spans="1:28" hidden="1">
      <c r="A1853">
        <v>1804</v>
      </c>
      <c r="B1853">
        <v>1600</v>
      </c>
      <c r="C1853" t="s">
        <v>221</v>
      </c>
      <c r="D1853" t="s">
        <v>3620</v>
      </c>
      <c r="E1853">
        <v>66</v>
      </c>
      <c r="G1853" t="s">
        <v>103</v>
      </c>
      <c r="H1853" t="s">
        <v>489</v>
      </c>
      <c r="I1853" t="s">
        <v>223</v>
      </c>
      <c r="J1853" t="s">
        <v>221</v>
      </c>
      <c r="K1853" t="s">
        <v>172</v>
      </c>
      <c r="M1853" t="b">
        <v>1</v>
      </c>
      <c r="N1853" t="s">
        <v>419</v>
      </c>
      <c r="O1853" t="s">
        <v>33</v>
      </c>
      <c r="Q1853">
        <v>125.08</v>
      </c>
      <c r="R1853">
        <v>2.9</v>
      </c>
      <c r="S1853" t="s">
        <v>106</v>
      </c>
      <c r="T1853">
        <v>50.6</v>
      </c>
      <c r="V1853">
        <v>100.2</v>
      </c>
      <c r="W1853">
        <v>77</v>
      </c>
      <c r="X1853">
        <v>9.4</v>
      </c>
      <c r="Y1853">
        <v>59.2</v>
      </c>
      <c r="Z1853">
        <v>1397715000</v>
      </c>
      <c r="AA1853">
        <v>35.861660000000001</v>
      </c>
      <c r="AB1853">
        <v>104.195397</v>
      </c>
    </row>
    <row r="1854" spans="1:28" hidden="1">
      <c r="A1854">
        <v>1804</v>
      </c>
      <c r="B1854">
        <v>1600</v>
      </c>
      <c r="C1854" t="s">
        <v>221</v>
      </c>
      <c r="D1854" t="s">
        <v>3621</v>
      </c>
      <c r="E1854">
        <v>57</v>
      </c>
      <c r="G1854" t="s">
        <v>103</v>
      </c>
      <c r="H1854" t="s">
        <v>176</v>
      </c>
      <c r="I1854" t="s">
        <v>223</v>
      </c>
      <c r="J1854" t="s">
        <v>221</v>
      </c>
      <c r="K1854" t="s">
        <v>172</v>
      </c>
      <c r="M1854" t="b">
        <v>1</v>
      </c>
      <c r="N1854" t="s">
        <v>42</v>
      </c>
      <c r="O1854" t="s">
        <v>33</v>
      </c>
      <c r="Q1854">
        <v>125.08</v>
      </c>
      <c r="R1854">
        <v>2.9</v>
      </c>
      <c r="S1854" t="s">
        <v>106</v>
      </c>
      <c r="T1854">
        <v>50.6</v>
      </c>
      <c r="V1854">
        <v>100.2</v>
      </c>
      <c r="W1854">
        <v>77</v>
      </c>
      <c r="X1854">
        <v>9.4</v>
      </c>
      <c r="Y1854">
        <v>59.2</v>
      </c>
      <c r="Z1854">
        <v>1397715000</v>
      </c>
      <c r="AA1854">
        <v>35.861660000000001</v>
      </c>
      <c r="AB1854">
        <v>104.195397</v>
      </c>
    </row>
    <row r="1855" spans="1:28" hidden="1">
      <c r="A1855">
        <v>1804</v>
      </c>
      <c r="B1855">
        <v>1600</v>
      </c>
      <c r="C1855" t="s">
        <v>45</v>
      </c>
      <c r="D1855" t="s">
        <v>3622</v>
      </c>
      <c r="E1855">
        <v>46</v>
      </c>
      <c r="G1855" t="s">
        <v>103</v>
      </c>
      <c r="H1855" t="s">
        <v>215</v>
      </c>
      <c r="I1855" t="s">
        <v>245</v>
      </c>
      <c r="J1855" t="s">
        <v>45</v>
      </c>
      <c r="K1855" t="s">
        <v>103</v>
      </c>
      <c r="M1855" t="b">
        <v>1</v>
      </c>
      <c r="N1855" t="s">
        <v>42</v>
      </c>
      <c r="O1855" t="s">
        <v>33</v>
      </c>
      <c r="Q1855">
        <v>125.08</v>
      </c>
      <c r="R1855">
        <v>2.9</v>
      </c>
      <c r="S1855" t="s">
        <v>106</v>
      </c>
      <c r="T1855">
        <v>50.6</v>
      </c>
      <c r="V1855">
        <v>100.2</v>
      </c>
      <c r="W1855">
        <v>77</v>
      </c>
      <c r="X1855">
        <v>9.4</v>
      </c>
      <c r="Y1855">
        <v>59.2</v>
      </c>
      <c r="Z1855">
        <v>1397715000</v>
      </c>
      <c r="AA1855">
        <v>35.861660000000001</v>
      </c>
      <c r="AB1855">
        <v>104.195397</v>
      </c>
    </row>
    <row r="1856" spans="1:28" hidden="1">
      <c r="A1856">
        <v>1804</v>
      </c>
      <c r="B1856">
        <v>1600</v>
      </c>
      <c r="C1856" t="s">
        <v>45</v>
      </c>
      <c r="D1856" t="s">
        <v>3623</v>
      </c>
      <c r="E1856">
        <v>51</v>
      </c>
      <c r="G1856" t="s">
        <v>103</v>
      </c>
      <c r="H1856" t="s">
        <v>3624</v>
      </c>
      <c r="I1856" t="s">
        <v>3625</v>
      </c>
      <c r="J1856" t="s">
        <v>45</v>
      </c>
      <c r="K1856" t="s">
        <v>103</v>
      </c>
      <c r="M1856" t="b">
        <v>1</v>
      </c>
      <c r="N1856" t="s">
        <v>42</v>
      </c>
      <c r="O1856" t="s">
        <v>88</v>
      </c>
      <c r="Q1856">
        <v>125.08</v>
      </c>
      <c r="R1856">
        <v>2.9</v>
      </c>
      <c r="S1856" t="s">
        <v>106</v>
      </c>
      <c r="T1856">
        <v>50.6</v>
      </c>
      <c r="V1856">
        <v>100.2</v>
      </c>
      <c r="W1856">
        <v>77</v>
      </c>
      <c r="X1856">
        <v>9.4</v>
      </c>
      <c r="Y1856">
        <v>59.2</v>
      </c>
      <c r="Z1856">
        <v>1397715000</v>
      </c>
      <c r="AA1856">
        <v>35.861660000000001</v>
      </c>
      <c r="AB1856">
        <v>104.195397</v>
      </c>
    </row>
    <row r="1857" spans="1:28" hidden="1">
      <c r="A1857">
        <v>1804</v>
      </c>
      <c r="B1857">
        <v>1600</v>
      </c>
      <c r="C1857" t="s">
        <v>221</v>
      </c>
      <c r="D1857" t="s">
        <v>3626</v>
      </c>
      <c r="E1857">
        <v>75</v>
      </c>
      <c r="G1857" t="s">
        <v>172</v>
      </c>
      <c r="H1857" t="s">
        <v>172</v>
      </c>
      <c r="I1857" t="s">
        <v>223</v>
      </c>
      <c r="J1857" t="s">
        <v>221</v>
      </c>
      <c r="K1857" t="s">
        <v>172</v>
      </c>
      <c r="M1857" t="b">
        <v>0</v>
      </c>
      <c r="N1857" t="s">
        <v>419</v>
      </c>
      <c r="O1857" t="s">
        <v>33</v>
      </c>
    </row>
    <row r="1858" spans="1:28" hidden="1">
      <c r="A1858">
        <v>1804</v>
      </c>
      <c r="B1858">
        <v>1600</v>
      </c>
      <c r="C1858" t="s">
        <v>68</v>
      </c>
      <c r="D1858" t="s">
        <v>3627</v>
      </c>
      <c r="E1858">
        <v>80</v>
      </c>
      <c r="G1858" t="s">
        <v>127</v>
      </c>
      <c r="H1858" t="s">
        <v>1686</v>
      </c>
      <c r="I1858" t="s">
        <v>68</v>
      </c>
      <c r="J1858" t="s">
        <v>68</v>
      </c>
      <c r="K1858" t="s">
        <v>127</v>
      </c>
      <c r="M1858" t="b">
        <v>1</v>
      </c>
      <c r="N1858" t="s">
        <v>419</v>
      </c>
      <c r="O1858" t="s">
        <v>33</v>
      </c>
      <c r="Q1858">
        <v>116.76</v>
      </c>
      <c r="R1858">
        <v>1.9</v>
      </c>
      <c r="S1858" t="s">
        <v>132</v>
      </c>
      <c r="T1858">
        <v>68.900000000000006</v>
      </c>
      <c r="V1858">
        <v>100.9</v>
      </c>
      <c r="W1858">
        <v>81.900000000000006</v>
      </c>
      <c r="X1858">
        <v>12.8</v>
      </c>
      <c r="Y1858">
        <v>24.5</v>
      </c>
      <c r="Z1858">
        <v>36991981</v>
      </c>
      <c r="AA1858">
        <v>56.130366000000002</v>
      </c>
      <c r="AB1858">
        <v>-106.346771</v>
      </c>
    </row>
    <row r="1859" spans="1:28" hidden="1">
      <c r="A1859">
        <v>1804</v>
      </c>
      <c r="B1859">
        <v>1600</v>
      </c>
      <c r="C1859" t="s">
        <v>45</v>
      </c>
      <c r="D1859" t="s">
        <v>3628</v>
      </c>
      <c r="E1859">
        <v>57</v>
      </c>
      <c r="G1859" t="s">
        <v>38</v>
      </c>
      <c r="H1859" t="s">
        <v>958</v>
      </c>
      <c r="I1859" t="s">
        <v>3629</v>
      </c>
      <c r="J1859" t="s">
        <v>45</v>
      </c>
      <c r="K1859" t="s">
        <v>38</v>
      </c>
      <c r="M1859" t="b">
        <v>1</v>
      </c>
      <c r="N1859" t="s">
        <v>42</v>
      </c>
      <c r="O1859" t="s">
        <v>33</v>
      </c>
      <c r="Q1859">
        <v>117.24</v>
      </c>
      <c r="R1859">
        <v>7.5</v>
      </c>
      <c r="S1859" t="s">
        <v>44</v>
      </c>
      <c r="T1859">
        <v>88.2</v>
      </c>
      <c r="V1859">
        <v>101.8</v>
      </c>
      <c r="W1859">
        <v>78.5</v>
      </c>
      <c r="X1859">
        <v>9.6</v>
      </c>
      <c r="Y1859">
        <v>36.6</v>
      </c>
      <c r="Z1859">
        <v>328239523</v>
      </c>
      <c r="AA1859">
        <v>37.090240000000001</v>
      </c>
      <c r="AB1859">
        <v>-95.712890999999999</v>
      </c>
    </row>
    <row r="1860" spans="1:28" hidden="1">
      <c r="A1860">
        <v>1804</v>
      </c>
      <c r="B1860">
        <v>1600</v>
      </c>
      <c r="C1860" t="s">
        <v>221</v>
      </c>
      <c r="D1860" t="s">
        <v>3630</v>
      </c>
      <c r="E1860">
        <v>74</v>
      </c>
      <c r="G1860" t="s">
        <v>260</v>
      </c>
      <c r="H1860" t="s">
        <v>515</v>
      </c>
      <c r="I1860" t="s">
        <v>223</v>
      </c>
      <c r="J1860" t="s">
        <v>221</v>
      </c>
      <c r="K1860" t="s">
        <v>2400</v>
      </c>
      <c r="M1860" t="b">
        <v>1</v>
      </c>
      <c r="N1860" t="s">
        <v>853</v>
      </c>
      <c r="O1860" t="s">
        <v>33</v>
      </c>
      <c r="Q1860">
        <v>114.52</v>
      </c>
      <c r="R1860">
        <v>-1.9</v>
      </c>
      <c r="S1860" t="s">
        <v>264</v>
      </c>
      <c r="T1860">
        <v>36.799999999999997</v>
      </c>
      <c r="V1860">
        <v>108.4</v>
      </c>
      <c r="W1860">
        <v>77.8</v>
      </c>
      <c r="X1860">
        <v>0.1</v>
      </c>
      <c r="Y1860">
        <v>15.9</v>
      </c>
      <c r="Z1860">
        <v>9770529</v>
      </c>
      <c r="AA1860">
        <v>23.424075999999999</v>
      </c>
      <c r="AB1860">
        <v>53.847817999999997</v>
      </c>
    </row>
    <row r="1861" spans="1:28" hidden="1">
      <c r="A1861">
        <v>1804</v>
      </c>
      <c r="B1861">
        <v>1600</v>
      </c>
      <c r="C1861" t="s">
        <v>250</v>
      </c>
      <c r="D1861" t="s">
        <v>3631</v>
      </c>
      <c r="E1861">
        <v>77</v>
      </c>
      <c r="G1861" t="s">
        <v>164</v>
      </c>
      <c r="H1861" t="s">
        <v>538</v>
      </c>
      <c r="I1861" t="s">
        <v>3632</v>
      </c>
      <c r="J1861" t="s">
        <v>250</v>
      </c>
      <c r="K1861" t="s">
        <v>164</v>
      </c>
      <c r="M1861" t="b">
        <v>0</v>
      </c>
      <c r="N1861" t="s">
        <v>32</v>
      </c>
      <c r="O1861" t="s">
        <v>33</v>
      </c>
      <c r="Q1861">
        <v>110.62</v>
      </c>
      <c r="R1861">
        <v>0.6</v>
      </c>
      <c r="S1861" t="s">
        <v>539</v>
      </c>
      <c r="T1861">
        <v>61.9</v>
      </c>
      <c r="V1861">
        <v>101.9</v>
      </c>
      <c r="W1861">
        <v>82.9</v>
      </c>
      <c r="X1861">
        <v>24.3</v>
      </c>
      <c r="Y1861">
        <v>59.1</v>
      </c>
      <c r="Z1861">
        <v>60297396</v>
      </c>
      <c r="AA1861">
        <v>41.871940000000002</v>
      </c>
      <c r="AB1861">
        <v>12.56738</v>
      </c>
    </row>
    <row r="1862" spans="1:28" hidden="1">
      <c r="A1862">
        <v>1804</v>
      </c>
      <c r="B1862">
        <v>1600</v>
      </c>
      <c r="C1862" t="s">
        <v>54</v>
      </c>
      <c r="D1862" t="s">
        <v>3633</v>
      </c>
      <c r="E1862">
        <v>69</v>
      </c>
      <c r="G1862" t="s">
        <v>342</v>
      </c>
      <c r="H1862" t="s">
        <v>1093</v>
      </c>
      <c r="I1862" t="s">
        <v>231</v>
      </c>
      <c r="J1862" t="s">
        <v>54</v>
      </c>
      <c r="K1862" t="s">
        <v>342</v>
      </c>
      <c r="M1862" t="b">
        <v>0</v>
      </c>
      <c r="N1862" t="s">
        <v>42</v>
      </c>
      <c r="O1862" t="s">
        <v>88</v>
      </c>
      <c r="Q1862">
        <v>108.15</v>
      </c>
      <c r="R1862">
        <v>0.8</v>
      </c>
      <c r="S1862" t="s">
        <v>532</v>
      </c>
      <c r="T1862">
        <v>63.4</v>
      </c>
      <c r="V1862">
        <v>104.9</v>
      </c>
      <c r="W1862">
        <v>82.8</v>
      </c>
      <c r="X1862">
        <v>23.1</v>
      </c>
      <c r="Y1862">
        <v>25.3</v>
      </c>
      <c r="Z1862">
        <v>9053300</v>
      </c>
      <c r="AA1862">
        <v>31.046050999999999</v>
      </c>
      <c r="AB1862">
        <v>34.851612000000003</v>
      </c>
    </row>
    <row r="1863" spans="1:28" hidden="1">
      <c r="A1863">
        <v>1804</v>
      </c>
      <c r="B1863">
        <v>1600</v>
      </c>
      <c r="C1863" t="s">
        <v>36</v>
      </c>
      <c r="D1863" t="s">
        <v>3634</v>
      </c>
      <c r="E1863">
        <v>66</v>
      </c>
      <c r="G1863" t="s">
        <v>189</v>
      </c>
      <c r="H1863" t="s">
        <v>3635</v>
      </c>
      <c r="I1863" t="s">
        <v>36</v>
      </c>
      <c r="J1863" t="s">
        <v>36</v>
      </c>
      <c r="K1863" t="s">
        <v>189</v>
      </c>
      <c r="M1863" t="b">
        <v>1</v>
      </c>
      <c r="N1863" t="s">
        <v>32</v>
      </c>
      <c r="O1863" t="s">
        <v>33</v>
      </c>
      <c r="Q1863">
        <v>118.06</v>
      </c>
      <c r="R1863">
        <v>1.5</v>
      </c>
      <c r="S1863" t="s">
        <v>193</v>
      </c>
      <c r="T1863">
        <v>85.1</v>
      </c>
      <c r="V1863">
        <v>103.1</v>
      </c>
      <c r="W1863">
        <v>81.599999999999994</v>
      </c>
      <c r="X1863">
        <v>25.4</v>
      </c>
      <c r="Y1863">
        <v>51.4</v>
      </c>
      <c r="Z1863">
        <v>8877067</v>
      </c>
      <c r="AA1863">
        <v>47.516230999999998</v>
      </c>
      <c r="AB1863">
        <v>14.550072</v>
      </c>
    </row>
    <row r="1864" spans="1:28" hidden="1">
      <c r="A1864">
        <v>1804</v>
      </c>
      <c r="B1864">
        <v>1600</v>
      </c>
      <c r="C1864" t="s">
        <v>54</v>
      </c>
      <c r="D1864" t="s">
        <v>3636</v>
      </c>
      <c r="E1864">
        <v>58</v>
      </c>
      <c r="G1864" t="s">
        <v>148</v>
      </c>
      <c r="H1864" t="s">
        <v>3637</v>
      </c>
      <c r="I1864" t="s">
        <v>3417</v>
      </c>
      <c r="J1864" t="s">
        <v>54</v>
      </c>
      <c r="K1864" t="s">
        <v>148</v>
      </c>
      <c r="M1864" t="b">
        <v>0</v>
      </c>
      <c r="N1864" t="s">
        <v>32</v>
      </c>
      <c r="O1864" t="s">
        <v>33</v>
      </c>
      <c r="Q1864">
        <v>112.85</v>
      </c>
      <c r="R1864">
        <v>1.4</v>
      </c>
      <c r="S1864" t="s">
        <v>151</v>
      </c>
      <c r="T1864">
        <v>70.2</v>
      </c>
      <c r="V1864">
        <v>104</v>
      </c>
      <c r="W1864">
        <v>80.900000000000006</v>
      </c>
      <c r="X1864">
        <v>11.5</v>
      </c>
      <c r="Y1864">
        <v>48.8</v>
      </c>
      <c r="Z1864">
        <v>83132799</v>
      </c>
      <c r="AA1864">
        <v>51.165691000000002</v>
      </c>
      <c r="AB1864">
        <v>10.451525999999999</v>
      </c>
    </row>
    <row r="1865" spans="1:28" hidden="1">
      <c r="A1865">
        <v>1804</v>
      </c>
      <c r="B1865">
        <v>1600</v>
      </c>
      <c r="C1865" t="s">
        <v>54</v>
      </c>
      <c r="D1865" t="s">
        <v>3638</v>
      </c>
      <c r="E1865">
        <v>63</v>
      </c>
      <c r="G1865" t="s">
        <v>148</v>
      </c>
      <c r="H1865" t="s">
        <v>3637</v>
      </c>
      <c r="I1865" t="s">
        <v>3417</v>
      </c>
      <c r="J1865" t="s">
        <v>54</v>
      </c>
      <c r="K1865" t="s">
        <v>148</v>
      </c>
      <c r="M1865" t="b">
        <v>0</v>
      </c>
      <c r="N1865" t="s">
        <v>32</v>
      </c>
      <c r="O1865" t="s">
        <v>33</v>
      </c>
      <c r="Q1865">
        <v>112.85</v>
      </c>
      <c r="R1865">
        <v>1.4</v>
      </c>
      <c r="S1865" t="s">
        <v>151</v>
      </c>
      <c r="T1865">
        <v>70.2</v>
      </c>
      <c r="V1865">
        <v>104</v>
      </c>
      <c r="W1865">
        <v>80.900000000000006</v>
      </c>
      <c r="X1865">
        <v>11.5</v>
      </c>
      <c r="Y1865">
        <v>48.8</v>
      </c>
      <c r="Z1865">
        <v>83132799</v>
      </c>
      <c r="AA1865">
        <v>51.165691000000002</v>
      </c>
      <c r="AB1865">
        <v>10.451525999999999</v>
      </c>
    </row>
    <row r="1866" spans="1:28" hidden="1">
      <c r="A1866">
        <v>1804</v>
      </c>
      <c r="B1866">
        <v>1600</v>
      </c>
      <c r="C1866" t="s">
        <v>250</v>
      </c>
      <c r="D1866" t="s">
        <v>3639</v>
      </c>
      <c r="E1866">
        <v>74</v>
      </c>
      <c r="G1866" t="s">
        <v>38</v>
      </c>
      <c r="H1866" t="s">
        <v>307</v>
      </c>
      <c r="I1866" t="s">
        <v>3640</v>
      </c>
      <c r="J1866" t="s">
        <v>250</v>
      </c>
      <c r="K1866" t="s">
        <v>38</v>
      </c>
      <c r="M1866" t="b">
        <v>1</v>
      </c>
      <c r="N1866" t="s">
        <v>32</v>
      </c>
      <c r="O1866" t="s">
        <v>33</v>
      </c>
      <c r="Q1866">
        <v>117.24</v>
      </c>
      <c r="R1866">
        <v>7.5</v>
      </c>
      <c r="S1866" t="s">
        <v>44</v>
      </c>
      <c r="T1866">
        <v>88.2</v>
      </c>
      <c r="V1866">
        <v>101.8</v>
      </c>
      <c r="W1866">
        <v>78.5</v>
      </c>
      <c r="X1866">
        <v>9.6</v>
      </c>
      <c r="Y1866">
        <v>36.6</v>
      </c>
      <c r="Z1866">
        <v>328239523</v>
      </c>
      <c r="AA1866">
        <v>37.090240000000001</v>
      </c>
      <c r="AB1866">
        <v>-95.712890999999999</v>
      </c>
    </row>
    <row r="1867" spans="1:28" hidden="1">
      <c r="A1867">
        <v>1804</v>
      </c>
      <c r="B1867">
        <v>1600</v>
      </c>
      <c r="C1867" t="s">
        <v>217</v>
      </c>
      <c r="D1867" t="s">
        <v>3641</v>
      </c>
      <c r="E1867">
        <v>58</v>
      </c>
      <c r="G1867" t="s">
        <v>95</v>
      </c>
      <c r="H1867" t="s">
        <v>1527</v>
      </c>
      <c r="I1867" t="s">
        <v>3642</v>
      </c>
      <c r="J1867" t="s">
        <v>217</v>
      </c>
      <c r="K1867" t="s">
        <v>95</v>
      </c>
      <c r="M1867" t="b">
        <v>0</v>
      </c>
      <c r="N1867" t="s">
        <v>32</v>
      </c>
      <c r="O1867" t="s">
        <v>33</v>
      </c>
      <c r="Q1867">
        <v>110.96</v>
      </c>
      <c r="R1867">
        <v>0.7</v>
      </c>
      <c r="S1867" t="s">
        <v>98</v>
      </c>
      <c r="T1867">
        <v>88.9</v>
      </c>
      <c r="V1867">
        <v>102.7</v>
      </c>
      <c r="W1867">
        <v>83.3</v>
      </c>
      <c r="X1867">
        <v>14.2</v>
      </c>
      <c r="Y1867">
        <v>47</v>
      </c>
      <c r="Z1867">
        <v>47076781</v>
      </c>
      <c r="AA1867">
        <v>40.463667000000001</v>
      </c>
      <c r="AB1867">
        <v>-3.7492200000000002</v>
      </c>
    </row>
    <row r="1868" spans="1:28" hidden="1">
      <c r="A1868">
        <v>1804</v>
      </c>
      <c r="B1868">
        <v>1600</v>
      </c>
      <c r="C1868" t="s">
        <v>236</v>
      </c>
      <c r="D1868" t="s">
        <v>3643</v>
      </c>
      <c r="E1868">
        <v>54</v>
      </c>
      <c r="G1868" t="s">
        <v>95</v>
      </c>
      <c r="H1868" t="s">
        <v>1527</v>
      </c>
      <c r="I1868" t="s">
        <v>323</v>
      </c>
      <c r="J1868" t="s">
        <v>236</v>
      </c>
      <c r="K1868" t="s">
        <v>95</v>
      </c>
      <c r="M1868" t="b">
        <v>0</v>
      </c>
      <c r="N1868" t="s">
        <v>853</v>
      </c>
      <c r="O1868" t="s">
        <v>33</v>
      </c>
      <c r="Q1868">
        <v>110.96</v>
      </c>
      <c r="R1868">
        <v>0.7</v>
      </c>
      <c r="S1868" t="s">
        <v>98</v>
      </c>
      <c r="T1868">
        <v>88.9</v>
      </c>
      <c r="V1868">
        <v>102.7</v>
      </c>
      <c r="W1868">
        <v>83.3</v>
      </c>
      <c r="X1868">
        <v>14.2</v>
      </c>
      <c r="Y1868">
        <v>47</v>
      </c>
      <c r="Z1868">
        <v>47076781</v>
      </c>
      <c r="AA1868">
        <v>40.463667000000001</v>
      </c>
      <c r="AB1868">
        <v>-3.7492200000000002</v>
      </c>
    </row>
    <row r="1869" spans="1:28" hidden="1">
      <c r="A1869">
        <v>1804</v>
      </c>
      <c r="B1869">
        <v>1600</v>
      </c>
      <c r="C1869" t="s">
        <v>101</v>
      </c>
      <c r="D1869" t="s">
        <v>3644</v>
      </c>
      <c r="E1869">
        <v>44</v>
      </c>
      <c r="G1869" t="s">
        <v>38</v>
      </c>
      <c r="H1869" t="s">
        <v>65</v>
      </c>
      <c r="I1869" t="s">
        <v>414</v>
      </c>
      <c r="J1869" t="s">
        <v>101</v>
      </c>
      <c r="K1869" t="s">
        <v>38</v>
      </c>
      <c r="M1869" t="b">
        <v>0</v>
      </c>
      <c r="N1869" t="s">
        <v>419</v>
      </c>
      <c r="O1869" t="s">
        <v>33</v>
      </c>
      <c r="Q1869">
        <v>117.24</v>
      </c>
      <c r="R1869">
        <v>7.5</v>
      </c>
      <c r="S1869" t="s">
        <v>44</v>
      </c>
      <c r="T1869">
        <v>88.2</v>
      </c>
      <c r="V1869">
        <v>101.8</v>
      </c>
      <c r="W1869">
        <v>78.5</v>
      </c>
      <c r="X1869">
        <v>9.6</v>
      </c>
      <c r="Y1869">
        <v>36.6</v>
      </c>
      <c r="Z1869">
        <v>328239523</v>
      </c>
      <c r="AA1869">
        <v>37.090240000000001</v>
      </c>
      <c r="AB1869">
        <v>-95.712890999999999</v>
      </c>
    </row>
    <row r="1870" spans="1:28" hidden="1">
      <c r="A1870">
        <v>1804</v>
      </c>
      <c r="B1870">
        <v>1600</v>
      </c>
      <c r="C1870" t="s">
        <v>101</v>
      </c>
      <c r="D1870" t="s">
        <v>3645</v>
      </c>
      <c r="E1870">
        <v>68</v>
      </c>
      <c r="G1870" t="s">
        <v>429</v>
      </c>
      <c r="H1870" t="s">
        <v>430</v>
      </c>
      <c r="I1870" t="s">
        <v>3646</v>
      </c>
      <c r="J1870" t="s">
        <v>101</v>
      </c>
      <c r="K1870" t="s">
        <v>429</v>
      </c>
      <c r="M1870" t="b">
        <v>1</v>
      </c>
      <c r="N1870" t="s">
        <v>419</v>
      </c>
      <c r="O1870" t="s">
        <v>33</v>
      </c>
      <c r="Q1870">
        <v>113.27</v>
      </c>
      <c r="R1870">
        <v>0.7</v>
      </c>
      <c r="S1870" t="s">
        <v>431</v>
      </c>
      <c r="T1870">
        <v>49.3</v>
      </c>
      <c r="V1870">
        <v>99.8</v>
      </c>
      <c r="W1870">
        <v>76.900000000000006</v>
      </c>
      <c r="X1870">
        <v>14.9</v>
      </c>
      <c r="Y1870">
        <v>29.5</v>
      </c>
      <c r="Z1870">
        <v>69625582</v>
      </c>
      <c r="AA1870">
        <v>15.870032</v>
      </c>
      <c r="AB1870">
        <v>100.992541</v>
      </c>
    </row>
    <row r="1871" spans="1:28" hidden="1">
      <c r="A1871">
        <v>1804</v>
      </c>
      <c r="B1871">
        <v>1600</v>
      </c>
      <c r="C1871" t="s">
        <v>217</v>
      </c>
      <c r="D1871" t="s">
        <v>3647</v>
      </c>
      <c r="E1871">
        <v>49</v>
      </c>
      <c r="G1871" t="s">
        <v>103</v>
      </c>
      <c r="H1871" t="s">
        <v>837</v>
      </c>
      <c r="I1871" t="s">
        <v>217</v>
      </c>
      <c r="J1871" t="s">
        <v>217</v>
      </c>
      <c r="K1871" t="s">
        <v>103</v>
      </c>
      <c r="M1871" t="b">
        <v>1</v>
      </c>
      <c r="N1871" t="s">
        <v>42</v>
      </c>
      <c r="O1871" t="s">
        <v>33</v>
      </c>
      <c r="Q1871">
        <v>125.08</v>
      </c>
      <c r="R1871">
        <v>2.9</v>
      </c>
      <c r="S1871" t="s">
        <v>106</v>
      </c>
      <c r="T1871">
        <v>50.6</v>
      </c>
      <c r="V1871">
        <v>100.2</v>
      </c>
      <c r="W1871">
        <v>77</v>
      </c>
      <c r="X1871">
        <v>9.4</v>
      </c>
      <c r="Y1871">
        <v>59.2</v>
      </c>
      <c r="Z1871">
        <v>1397715000</v>
      </c>
      <c r="AA1871">
        <v>35.861660000000001</v>
      </c>
      <c r="AB1871">
        <v>104.195397</v>
      </c>
    </row>
    <row r="1872" spans="1:28" hidden="1">
      <c r="A1872">
        <v>1804</v>
      </c>
      <c r="B1872">
        <v>1600</v>
      </c>
      <c r="C1872" t="s">
        <v>101</v>
      </c>
      <c r="D1872" t="s">
        <v>3648</v>
      </c>
      <c r="E1872">
        <v>55</v>
      </c>
      <c r="G1872" t="s">
        <v>156</v>
      </c>
      <c r="H1872" t="s">
        <v>211</v>
      </c>
      <c r="I1872" t="s">
        <v>3649</v>
      </c>
      <c r="J1872" t="s">
        <v>101</v>
      </c>
      <c r="K1872" t="s">
        <v>263</v>
      </c>
      <c r="M1872" t="b">
        <v>1</v>
      </c>
      <c r="N1872" t="s">
        <v>32</v>
      </c>
      <c r="O1872" t="s">
        <v>33</v>
      </c>
      <c r="Q1872">
        <v>99.55</v>
      </c>
      <c r="R1872">
        <v>0.4</v>
      </c>
      <c r="S1872" t="s">
        <v>159</v>
      </c>
      <c r="T1872">
        <v>59.6</v>
      </c>
      <c r="V1872">
        <v>105.2</v>
      </c>
      <c r="W1872">
        <v>83.6</v>
      </c>
      <c r="X1872">
        <v>10.1</v>
      </c>
      <c r="Y1872">
        <v>28.8</v>
      </c>
      <c r="Z1872">
        <v>8574832</v>
      </c>
      <c r="AA1872">
        <v>46.818187999999999</v>
      </c>
      <c r="AB1872">
        <v>8.2275120000000008</v>
      </c>
    </row>
    <row r="1873" spans="1:28" hidden="1">
      <c r="A1873">
        <v>1804</v>
      </c>
      <c r="B1873">
        <v>1600</v>
      </c>
      <c r="C1873" t="s">
        <v>236</v>
      </c>
      <c r="D1873" t="s">
        <v>3650</v>
      </c>
      <c r="E1873">
        <v>59</v>
      </c>
      <c r="G1873" t="s">
        <v>203</v>
      </c>
      <c r="H1873" t="s">
        <v>204</v>
      </c>
      <c r="I1873" t="s">
        <v>994</v>
      </c>
      <c r="J1873" t="s">
        <v>236</v>
      </c>
      <c r="K1873" t="s">
        <v>38</v>
      </c>
      <c r="M1873" t="b">
        <v>1</v>
      </c>
      <c r="N1873" t="s">
        <v>419</v>
      </c>
      <c r="O1873" t="s">
        <v>33</v>
      </c>
      <c r="Q1873">
        <v>119.62</v>
      </c>
      <c r="R1873">
        <v>1.7</v>
      </c>
      <c r="S1873" t="s">
        <v>206</v>
      </c>
      <c r="T1873">
        <v>60</v>
      </c>
      <c r="V1873">
        <v>101.2</v>
      </c>
      <c r="W1873">
        <v>81.3</v>
      </c>
      <c r="X1873">
        <v>25.5</v>
      </c>
      <c r="Y1873">
        <v>30.6</v>
      </c>
      <c r="Z1873">
        <v>66834405</v>
      </c>
      <c r="AA1873">
        <v>55.378050999999999</v>
      </c>
      <c r="AB1873">
        <v>-3.4359730000000002</v>
      </c>
    </row>
    <row r="1874" spans="1:28">
      <c r="A1874">
        <v>1804</v>
      </c>
      <c r="B1874">
        <v>1600</v>
      </c>
      <c r="C1874" t="s">
        <v>45</v>
      </c>
      <c r="D1874" t="s">
        <v>3651</v>
      </c>
      <c r="E1874">
        <v>44</v>
      </c>
      <c r="F1874" t="str">
        <f>IF(E1874&gt;=90,"90-100",IF(E1874&gt;=80,"80-90",IF(E1874&gt;=70,"70-80",IF(E1874&gt;=60,"60-70",IF(E1874&gt;=50,"50-60",IF(E1874&gt;=40,"40-50",IF(E1874&gt;=30,"30-40","20-30")))))))</f>
        <v>40-50</v>
      </c>
      <c r="G1874" t="s">
        <v>38</v>
      </c>
      <c r="H1874" t="s">
        <v>3652</v>
      </c>
      <c r="I1874" t="s">
        <v>3365</v>
      </c>
      <c r="J1874" t="s">
        <v>45</v>
      </c>
      <c r="K1874" t="s">
        <v>38</v>
      </c>
      <c r="L1874" t="s">
        <v>3653</v>
      </c>
      <c r="M1874" t="b">
        <v>1</v>
      </c>
      <c r="N1874" t="s">
        <v>419</v>
      </c>
      <c r="O1874" t="s">
        <v>4867</v>
      </c>
      <c r="P1874" t="s">
        <v>3654</v>
      </c>
      <c r="Q1874">
        <v>117.24</v>
      </c>
      <c r="R1874">
        <v>7.5</v>
      </c>
      <c r="S1874" t="s">
        <v>44</v>
      </c>
      <c r="T1874">
        <v>88.2</v>
      </c>
      <c r="U1874" t="str">
        <f>IF(T1874&gt;=100,"above 100",IF(T1874&gt;=80,"80-100",IF(T1874&gt;=60,"60-80",IF(T1874&gt;=40,"40-60",IF(T1874&gt;=20,"20-60","0-20")))))</f>
        <v>80-100</v>
      </c>
      <c r="V1874">
        <v>101.8</v>
      </c>
      <c r="W1874">
        <v>78.5</v>
      </c>
      <c r="X1874">
        <v>9.6</v>
      </c>
      <c r="Y1874">
        <v>36.6</v>
      </c>
      <c r="Z1874">
        <v>328239523</v>
      </c>
      <c r="AA1874">
        <v>37.090240000000001</v>
      </c>
      <c r="AB1874">
        <v>-95.712890999999999</v>
      </c>
    </row>
    <row r="1875" spans="1:28" hidden="1">
      <c r="A1875">
        <v>1804</v>
      </c>
      <c r="B1875">
        <v>1600</v>
      </c>
      <c r="C1875" t="s">
        <v>75</v>
      </c>
      <c r="D1875" t="s">
        <v>3655</v>
      </c>
      <c r="E1875">
        <v>61</v>
      </c>
      <c r="G1875" t="s">
        <v>263</v>
      </c>
      <c r="H1875" t="s">
        <v>1286</v>
      </c>
      <c r="I1875" t="s">
        <v>3656</v>
      </c>
      <c r="J1875" t="s">
        <v>75</v>
      </c>
      <c r="K1875" t="s">
        <v>263</v>
      </c>
      <c r="M1875" t="b">
        <v>1</v>
      </c>
      <c r="N1875" t="s">
        <v>853</v>
      </c>
      <c r="O1875" t="s">
        <v>33</v>
      </c>
      <c r="Q1875">
        <v>180.75</v>
      </c>
      <c r="R1875">
        <v>4.5</v>
      </c>
      <c r="S1875" t="s">
        <v>276</v>
      </c>
      <c r="T1875">
        <v>81.900000000000006</v>
      </c>
      <c r="V1875">
        <v>102.6</v>
      </c>
      <c r="W1875">
        <v>72.7</v>
      </c>
      <c r="X1875">
        <v>11.4</v>
      </c>
      <c r="Y1875">
        <v>46.2</v>
      </c>
      <c r="Z1875">
        <v>144373535</v>
      </c>
      <c r="AA1875">
        <v>61.524009999999997</v>
      </c>
      <c r="AB1875">
        <v>105.31875599999999</v>
      </c>
    </row>
    <row r="1876" spans="1:28" hidden="1">
      <c r="A1876">
        <v>1804</v>
      </c>
      <c r="B1876">
        <v>1600</v>
      </c>
      <c r="C1876" t="s">
        <v>308</v>
      </c>
      <c r="D1876" t="s">
        <v>3657</v>
      </c>
      <c r="E1876">
        <v>63</v>
      </c>
      <c r="G1876" t="s">
        <v>38</v>
      </c>
      <c r="H1876" t="s">
        <v>1394</v>
      </c>
      <c r="I1876" t="s">
        <v>2155</v>
      </c>
      <c r="J1876" t="s">
        <v>308</v>
      </c>
      <c r="K1876" t="s">
        <v>38</v>
      </c>
      <c r="M1876" t="b">
        <v>0</v>
      </c>
      <c r="N1876" t="s">
        <v>419</v>
      </c>
      <c r="O1876" t="s">
        <v>33</v>
      </c>
      <c r="Q1876">
        <v>117.24</v>
      </c>
      <c r="R1876">
        <v>7.5</v>
      </c>
      <c r="S1876" t="s">
        <v>44</v>
      </c>
      <c r="T1876">
        <v>88.2</v>
      </c>
      <c r="V1876">
        <v>101.8</v>
      </c>
      <c r="W1876">
        <v>78.5</v>
      </c>
      <c r="X1876">
        <v>9.6</v>
      </c>
      <c r="Y1876">
        <v>36.6</v>
      </c>
      <c r="Z1876">
        <v>328239523</v>
      </c>
      <c r="AA1876">
        <v>37.090240000000001</v>
      </c>
      <c r="AB1876">
        <v>-95.712890999999999</v>
      </c>
    </row>
    <row r="1877" spans="1:28" hidden="1">
      <c r="A1877">
        <v>1804</v>
      </c>
      <c r="B1877">
        <v>1600</v>
      </c>
      <c r="C1877" t="s">
        <v>75</v>
      </c>
      <c r="D1877" t="s">
        <v>3658</v>
      </c>
      <c r="E1877">
        <v>72</v>
      </c>
      <c r="G1877" t="s">
        <v>38</v>
      </c>
      <c r="H1877" t="s">
        <v>65</v>
      </c>
      <c r="I1877" t="s">
        <v>3514</v>
      </c>
      <c r="J1877" t="s">
        <v>75</v>
      </c>
      <c r="K1877" t="s">
        <v>38</v>
      </c>
      <c r="M1877" t="b">
        <v>0</v>
      </c>
      <c r="N1877" t="s">
        <v>32</v>
      </c>
      <c r="O1877" t="s">
        <v>88</v>
      </c>
      <c r="Q1877">
        <v>117.24</v>
      </c>
      <c r="R1877">
        <v>7.5</v>
      </c>
      <c r="S1877" t="s">
        <v>44</v>
      </c>
      <c r="T1877">
        <v>88.2</v>
      </c>
      <c r="V1877">
        <v>101.8</v>
      </c>
      <c r="W1877">
        <v>78.5</v>
      </c>
      <c r="X1877">
        <v>9.6</v>
      </c>
      <c r="Y1877">
        <v>36.6</v>
      </c>
      <c r="Z1877">
        <v>328239523</v>
      </c>
      <c r="AA1877">
        <v>37.090240000000001</v>
      </c>
      <c r="AB1877">
        <v>-95.712890999999999</v>
      </c>
    </row>
    <row r="1878" spans="1:28" hidden="1">
      <c r="A1878">
        <v>1804</v>
      </c>
      <c r="B1878">
        <v>1600</v>
      </c>
      <c r="C1878" t="s">
        <v>75</v>
      </c>
      <c r="D1878" t="s">
        <v>3659</v>
      </c>
      <c r="E1878">
        <v>74</v>
      </c>
      <c r="G1878" t="s">
        <v>38</v>
      </c>
      <c r="H1878" t="s">
        <v>675</v>
      </c>
      <c r="I1878" t="s">
        <v>782</v>
      </c>
      <c r="J1878" t="s">
        <v>75</v>
      </c>
      <c r="K1878" t="s">
        <v>38</v>
      </c>
      <c r="M1878" t="b">
        <v>0</v>
      </c>
      <c r="N1878" t="s">
        <v>32</v>
      </c>
      <c r="O1878" t="s">
        <v>33</v>
      </c>
      <c r="Q1878">
        <v>117.24</v>
      </c>
      <c r="R1878">
        <v>7.5</v>
      </c>
      <c r="S1878" t="s">
        <v>44</v>
      </c>
      <c r="T1878">
        <v>88.2</v>
      </c>
      <c r="V1878">
        <v>101.8</v>
      </c>
      <c r="W1878">
        <v>78.5</v>
      </c>
      <c r="X1878">
        <v>9.6</v>
      </c>
      <c r="Y1878">
        <v>36.6</v>
      </c>
      <c r="Z1878">
        <v>328239523</v>
      </c>
      <c r="AA1878">
        <v>37.090240000000001</v>
      </c>
      <c r="AB1878">
        <v>-95.712890999999999</v>
      </c>
    </row>
    <row r="1879" spans="1:28" hidden="1">
      <c r="A1879">
        <v>1804</v>
      </c>
      <c r="B1879">
        <v>1600</v>
      </c>
      <c r="C1879" t="s">
        <v>217</v>
      </c>
      <c r="D1879" t="s">
        <v>3660</v>
      </c>
      <c r="E1879">
        <v>57</v>
      </c>
      <c r="G1879" t="s">
        <v>189</v>
      </c>
      <c r="H1879" t="s">
        <v>803</v>
      </c>
      <c r="I1879" t="s">
        <v>3661</v>
      </c>
      <c r="J1879" t="s">
        <v>217</v>
      </c>
      <c r="K1879" t="s">
        <v>189</v>
      </c>
      <c r="M1879" t="b">
        <v>1</v>
      </c>
      <c r="N1879" t="s">
        <v>42</v>
      </c>
      <c r="O1879" t="s">
        <v>33</v>
      </c>
      <c r="Q1879">
        <v>118.06</v>
      </c>
      <c r="R1879">
        <v>1.5</v>
      </c>
      <c r="S1879" t="s">
        <v>193</v>
      </c>
      <c r="T1879">
        <v>85.1</v>
      </c>
      <c r="V1879">
        <v>103.1</v>
      </c>
      <c r="W1879">
        <v>81.599999999999994</v>
      </c>
      <c r="X1879">
        <v>25.4</v>
      </c>
      <c r="Y1879">
        <v>51.4</v>
      </c>
      <c r="Z1879">
        <v>8877067</v>
      </c>
      <c r="AA1879">
        <v>47.516230999999998</v>
      </c>
      <c r="AB1879">
        <v>14.550072</v>
      </c>
    </row>
    <row r="1880" spans="1:28" hidden="1">
      <c r="A1880">
        <v>1804</v>
      </c>
      <c r="B1880">
        <v>1600</v>
      </c>
      <c r="C1880" t="s">
        <v>288</v>
      </c>
      <c r="D1880" t="s">
        <v>3662</v>
      </c>
      <c r="E1880">
        <v>67</v>
      </c>
      <c r="G1880" t="s">
        <v>38</v>
      </c>
      <c r="H1880" t="s">
        <v>3663</v>
      </c>
      <c r="I1880" t="s">
        <v>3664</v>
      </c>
      <c r="J1880" t="s">
        <v>288</v>
      </c>
      <c r="K1880" t="s">
        <v>38</v>
      </c>
      <c r="M1880" t="b">
        <v>1</v>
      </c>
      <c r="N1880" t="s">
        <v>32</v>
      </c>
      <c r="O1880" t="s">
        <v>33</v>
      </c>
      <c r="Q1880">
        <v>117.24</v>
      </c>
      <c r="R1880">
        <v>7.5</v>
      </c>
      <c r="S1880" t="s">
        <v>44</v>
      </c>
      <c r="T1880">
        <v>88.2</v>
      </c>
      <c r="V1880">
        <v>101.8</v>
      </c>
      <c r="W1880">
        <v>78.5</v>
      </c>
      <c r="X1880">
        <v>9.6</v>
      </c>
      <c r="Y1880">
        <v>36.6</v>
      </c>
      <c r="Z1880">
        <v>328239523</v>
      </c>
      <c r="AA1880">
        <v>37.090240000000001</v>
      </c>
      <c r="AB1880">
        <v>-95.712890999999999</v>
      </c>
    </row>
    <row r="1881" spans="1:28" hidden="1">
      <c r="A1881">
        <v>1804</v>
      </c>
      <c r="B1881">
        <v>1600</v>
      </c>
      <c r="C1881" t="s">
        <v>217</v>
      </c>
      <c r="D1881" t="s">
        <v>3665</v>
      </c>
      <c r="G1881" t="s">
        <v>810</v>
      </c>
      <c r="I1881" t="s">
        <v>808</v>
      </c>
      <c r="J1881" t="s">
        <v>217</v>
      </c>
      <c r="K1881" t="s">
        <v>810</v>
      </c>
      <c r="M1881" t="b">
        <v>0</v>
      </c>
      <c r="N1881" t="s">
        <v>419</v>
      </c>
      <c r="O1881" t="s">
        <v>88</v>
      </c>
    </row>
    <row r="1882" spans="1:28" hidden="1">
      <c r="A1882">
        <v>1804</v>
      </c>
      <c r="B1882">
        <v>1600</v>
      </c>
      <c r="C1882" t="s">
        <v>45</v>
      </c>
      <c r="D1882" t="s">
        <v>3666</v>
      </c>
      <c r="E1882">
        <v>51</v>
      </c>
      <c r="G1882" t="s">
        <v>77</v>
      </c>
      <c r="H1882" t="s">
        <v>2709</v>
      </c>
      <c r="I1882" t="s">
        <v>577</v>
      </c>
      <c r="J1882" t="s">
        <v>45</v>
      </c>
      <c r="K1882" t="s">
        <v>77</v>
      </c>
      <c r="M1882" t="b">
        <v>1</v>
      </c>
      <c r="N1882" t="s">
        <v>32</v>
      </c>
      <c r="O1882" t="s">
        <v>33</v>
      </c>
      <c r="Q1882">
        <v>180.44</v>
      </c>
      <c r="R1882">
        <v>7.7</v>
      </c>
      <c r="S1882" t="s">
        <v>81</v>
      </c>
      <c r="T1882">
        <v>28.1</v>
      </c>
      <c r="V1882">
        <v>113</v>
      </c>
      <c r="W1882">
        <v>69.400000000000006</v>
      </c>
      <c r="X1882">
        <v>11.2</v>
      </c>
      <c r="Y1882">
        <v>49.7</v>
      </c>
      <c r="Z1882">
        <v>1366417754</v>
      </c>
      <c r="AA1882">
        <v>20.593684</v>
      </c>
      <c r="AB1882">
        <v>78.962879999999998</v>
      </c>
    </row>
    <row r="1883" spans="1:28" hidden="1">
      <c r="A1883">
        <v>1804</v>
      </c>
      <c r="B1883">
        <v>1600</v>
      </c>
      <c r="C1883" t="s">
        <v>250</v>
      </c>
      <c r="D1883" t="s">
        <v>3667</v>
      </c>
      <c r="E1883">
        <v>70</v>
      </c>
      <c r="G1883" t="s">
        <v>238</v>
      </c>
      <c r="H1883" t="s">
        <v>3121</v>
      </c>
      <c r="I1883" t="s">
        <v>240</v>
      </c>
      <c r="J1883" t="s">
        <v>250</v>
      </c>
      <c r="K1883" t="s">
        <v>238</v>
      </c>
      <c r="M1883" t="b">
        <v>1</v>
      </c>
      <c r="N1883" t="s">
        <v>853</v>
      </c>
      <c r="O1883" t="s">
        <v>33</v>
      </c>
      <c r="Q1883">
        <v>119.8</v>
      </c>
      <c r="R1883">
        <v>1.6</v>
      </c>
      <c r="S1883" t="s">
        <v>243</v>
      </c>
      <c r="T1883">
        <v>113.1</v>
      </c>
      <c r="V1883">
        <v>100.3</v>
      </c>
      <c r="W1883">
        <v>82.7</v>
      </c>
      <c r="X1883">
        <v>23</v>
      </c>
      <c r="Y1883">
        <v>47.4</v>
      </c>
      <c r="Z1883">
        <v>25766605</v>
      </c>
      <c r="AA1883">
        <v>-25.274398000000001</v>
      </c>
      <c r="AB1883">
        <v>133.775136</v>
      </c>
    </row>
    <row r="1884" spans="1:28" hidden="1">
      <c r="A1884">
        <v>1804</v>
      </c>
      <c r="B1884">
        <v>1600</v>
      </c>
      <c r="C1884" t="s">
        <v>63</v>
      </c>
      <c r="D1884" t="s">
        <v>3668</v>
      </c>
      <c r="E1884">
        <v>57</v>
      </c>
      <c r="G1884" t="s">
        <v>103</v>
      </c>
      <c r="H1884" t="s">
        <v>143</v>
      </c>
      <c r="I1884" t="s">
        <v>3669</v>
      </c>
      <c r="J1884" t="s">
        <v>63</v>
      </c>
      <c r="K1884" t="s">
        <v>103</v>
      </c>
      <c r="M1884" t="b">
        <v>1</v>
      </c>
      <c r="N1884" t="s">
        <v>42</v>
      </c>
      <c r="O1884" t="s">
        <v>33</v>
      </c>
      <c r="Q1884">
        <v>125.08</v>
      </c>
      <c r="R1884">
        <v>2.9</v>
      </c>
      <c r="S1884" t="s">
        <v>106</v>
      </c>
      <c r="T1884">
        <v>50.6</v>
      </c>
      <c r="V1884">
        <v>100.2</v>
      </c>
      <c r="W1884">
        <v>77</v>
      </c>
      <c r="X1884">
        <v>9.4</v>
      </c>
      <c r="Y1884">
        <v>59.2</v>
      </c>
      <c r="Z1884">
        <v>1397715000</v>
      </c>
      <c r="AA1884">
        <v>35.861660000000001</v>
      </c>
      <c r="AB1884">
        <v>104.195397</v>
      </c>
    </row>
    <row r="1885" spans="1:28" hidden="1">
      <c r="A1885">
        <v>1804</v>
      </c>
      <c r="B1885">
        <v>1600</v>
      </c>
      <c r="C1885" t="s">
        <v>63</v>
      </c>
      <c r="D1885" t="s">
        <v>3670</v>
      </c>
      <c r="E1885">
        <v>36</v>
      </c>
      <c r="G1885" t="s">
        <v>103</v>
      </c>
      <c r="H1885" t="s">
        <v>143</v>
      </c>
      <c r="I1885" t="s">
        <v>3671</v>
      </c>
      <c r="J1885" t="s">
        <v>63</v>
      </c>
      <c r="K1885" t="s">
        <v>103</v>
      </c>
      <c r="M1885" t="b">
        <v>1</v>
      </c>
      <c r="N1885" t="s">
        <v>42</v>
      </c>
      <c r="O1885" t="s">
        <v>33</v>
      </c>
      <c r="Q1885">
        <v>125.08</v>
      </c>
      <c r="R1885">
        <v>2.9</v>
      </c>
      <c r="S1885" t="s">
        <v>106</v>
      </c>
      <c r="T1885">
        <v>50.6</v>
      </c>
      <c r="V1885">
        <v>100.2</v>
      </c>
      <c r="W1885">
        <v>77</v>
      </c>
      <c r="X1885">
        <v>9.4</v>
      </c>
      <c r="Y1885">
        <v>59.2</v>
      </c>
      <c r="Z1885">
        <v>1397715000</v>
      </c>
      <c r="AA1885">
        <v>35.861660000000001</v>
      </c>
      <c r="AB1885">
        <v>104.195397</v>
      </c>
    </row>
    <row r="1886" spans="1:28" hidden="1">
      <c r="A1886">
        <v>1804</v>
      </c>
      <c r="B1886">
        <v>1600</v>
      </c>
      <c r="C1886" t="s">
        <v>45</v>
      </c>
      <c r="D1886" t="s">
        <v>3672</v>
      </c>
      <c r="E1886">
        <v>67</v>
      </c>
      <c r="G1886" t="s">
        <v>38</v>
      </c>
      <c r="H1886" t="s">
        <v>3673</v>
      </c>
      <c r="I1886" t="s">
        <v>3674</v>
      </c>
      <c r="J1886" t="s">
        <v>45</v>
      </c>
      <c r="K1886" t="s">
        <v>38</v>
      </c>
      <c r="M1886" t="b">
        <v>1</v>
      </c>
      <c r="N1886" t="s">
        <v>419</v>
      </c>
      <c r="O1886" t="s">
        <v>33</v>
      </c>
      <c r="Q1886">
        <v>117.24</v>
      </c>
      <c r="R1886">
        <v>7.5</v>
      </c>
      <c r="S1886" t="s">
        <v>44</v>
      </c>
      <c r="T1886">
        <v>88.2</v>
      </c>
      <c r="V1886">
        <v>101.8</v>
      </c>
      <c r="W1886">
        <v>78.5</v>
      </c>
      <c r="X1886">
        <v>9.6</v>
      </c>
      <c r="Y1886">
        <v>36.6</v>
      </c>
      <c r="Z1886">
        <v>328239523</v>
      </c>
      <c r="AA1886">
        <v>37.090240000000001</v>
      </c>
      <c r="AB1886">
        <v>-95.712890999999999</v>
      </c>
    </row>
    <row r="1887" spans="1:28" hidden="1">
      <c r="A1887">
        <v>1804</v>
      </c>
      <c r="B1887">
        <v>1600</v>
      </c>
      <c r="C1887" t="s">
        <v>250</v>
      </c>
      <c r="D1887" t="s">
        <v>3675</v>
      </c>
      <c r="E1887">
        <v>66</v>
      </c>
      <c r="G1887" t="s">
        <v>38</v>
      </c>
      <c r="H1887" t="s">
        <v>3676</v>
      </c>
      <c r="I1887" t="s">
        <v>1018</v>
      </c>
      <c r="J1887" t="s">
        <v>250</v>
      </c>
      <c r="K1887" t="s">
        <v>38</v>
      </c>
      <c r="M1887" t="b">
        <v>1</v>
      </c>
      <c r="N1887" t="s">
        <v>32</v>
      </c>
      <c r="O1887" t="s">
        <v>33</v>
      </c>
      <c r="Q1887">
        <v>117.24</v>
      </c>
      <c r="R1887">
        <v>7.5</v>
      </c>
      <c r="S1887" t="s">
        <v>44</v>
      </c>
      <c r="T1887">
        <v>88.2</v>
      </c>
      <c r="V1887">
        <v>101.8</v>
      </c>
      <c r="W1887">
        <v>78.5</v>
      </c>
      <c r="X1887">
        <v>9.6</v>
      </c>
      <c r="Y1887">
        <v>36.6</v>
      </c>
      <c r="Z1887">
        <v>328239523</v>
      </c>
      <c r="AA1887">
        <v>37.090240000000001</v>
      </c>
      <c r="AB1887">
        <v>-95.712890999999999</v>
      </c>
    </row>
    <row r="1888" spans="1:28" hidden="1">
      <c r="A1888">
        <v>1804</v>
      </c>
      <c r="B1888">
        <v>1600</v>
      </c>
      <c r="C1888" t="s">
        <v>26</v>
      </c>
      <c r="D1888" t="s">
        <v>3677</v>
      </c>
      <c r="E1888">
        <v>82</v>
      </c>
      <c r="G1888" t="s">
        <v>238</v>
      </c>
      <c r="H1888" t="s">
        <v>534</v>
      </c>
      <c r="I1888" t="s">
        <v>2549</v>
      </c>
      <c r="J1888" t="s">
        <v>26</v>
      </c>
      <c r="K1888" t="s">
        <v>238</v>
      </c>
      <c r="M1888" t="b">
        <v>0</v>
      </c>
      <c r="N1888" t="s">
        <v>212</v>
      </c>
      <c r="O1888" t="s">
        <v>33</v>
      </c>
      <c r="Q1888">
        <v>119.8</v>
      </c>
      <c r="R1888">
        <v>1.6</v>
      </c>
      <c r="S1888" t="s">
        <v>243</v>
      </c>
      <c r="T1888">
        <v>113.1</v>
      </c>
      <c r="V1888">
        <v>100.3</v>
      </c>
      <c r="W1888">
        <v>82.7</v>
      </c>
      <c r="X1888">
        <v>23</v>
      </c>
      <c r="Y1888">
        <v>47.4</v>
      </c>
      <c r="Z1888">
        <v>25766605</v>
      </c>
      <c r="AA1888">
        <v>-25.274398000000001</v>
      </c>
      <c r="AB1888">
        <v>133.775136</v>
      </c>
    </row>
    <row r="1889" spans="1:28" hidden="1">
      <c r="A1889">
        <v>1804</v>
      </c>
      <c r="B1889">
        <v>1600</v>
      </c>
      <c r="C1889" t="s">
        <v>26</v>
      </c>
      <c r="D1889" t="s">
        <v>3678</v>
      </c>
      <c r="E1889">
        <v>76</v>
      </c>
      <c r="G1889" t="s">
        <v>238</v>
      </c>
      <c r="H1889" t="s">
        <v>534</v>
      </c>
      <c r="I1889" t="s">
        <v>2549</v>
      </c>
      <c r="J1889" t="s">
        <v>26</v>
      </c>
      <c r="K1889" t="s">
        <v>238</v>
      </c>
      <c r="M1889" t="b">
        <v>0</v>
      </c>
      <c r="N1889" t="s">
        <v>212</v>
      </c>
      <c r="O1889" t="s">
        <v>33</v>
      </c>
      <c r="Q1889">
        <v>119.8</v>
      </c>
      <c r="R1889">
        <v>1.6</v>
      </c>
      <c r="S1889" t="s">
        <v>243</v>
      </c>
      <c r="T1889">
        <v>113.1</v>
      </c>
      <c r="V1889">
        <v>100.3</v>
      </c>
      <c r="W1889">
        <v>82.7</v>
      </c>
      <c r="X1889">
        <v>23</v>
      </c>
      <c r="Y1889">
        <v>47.4</v>
      </c>
      <c r="Z1889">
        <v>25766605</v>
      </c>
      <c r="AA1889">
        <v>-25.274398000000001</v>
      </c>
      <c r="AB1889">
        <v>133.775136</v>
      </c>
    </row>
    <row r="1890" spans="1:28" hidden="1">
      <c r="A1890">
        <v>1804</v>
      </c>
      <c r="B1890">
        <v>1600</v>
      </c>
      <c r="C1890" t="s">
        <v>26</v>
      </c>
      <c r="D1890" t="s">
        <v>3679</v>
      </c>
      <c r="E1890">
        <v>85</v>
      </c>
      <c r="G1890" t="s">
        <v>238</v>
      </c>
      <c r="H1890" t="s">
        <v>534</v>
      </c>
      <c r="I1890" t="s">
        <v>2549</v>
      </c>
      <c r="J1890" t="s">
        <v>26</v>
      </c>
      <c r="K1890" t="s">
        <v>238</v>
      </c>
      <c r="M1890" t="b">
        <v>0</v>
      </c>
      <c r="N1890" t="s">
        <v>212</v>
      </c>
      <c r="O1890" t="s">
        <v>33</v>
      </c>
      <c r="Q1890">
        <v>119.8</v>
      </c>
      <c r="R1890">
        <v>1.6</v>
      </c>
      <c r="S1890" t="s">
        <v>243</v>
      </c>
      <c r="T1890">
        <v>113.1</v>
      </c>
      <c r="V1890">
        <v>100.3</v>
      </c>
      <c r="W1890">
        <v>82.7</v>
      </c>
      <c r="X1890">
        <v>23</v>
      </c>
      <c r="Y1890">
        <v>47.4</v>
      </c>
      <c r="Z1890">
        <v>25766605</v>
      </c>
      <c r="AA1890">
        <v>-25.274398000000001</v>
      </c>
      <c r="AB1890">
        <v>133.775136</v>
      </c>
    </row>
    <row r="1891" spans="1:28" hidden="1">
      <c r="A1891">
        <v>1804</v>
      </c>
      <c r="B1891">
        <v>1600</v>
      </c>
      <c r="C1891" t="s">
        <v>45</v>
      </c>
      <c r="D1891" t="s">
        <v>3680</v>
      </c>
      <c r="E1891">
        <v>57</v>
      </c>
      <c r="G1891" t="s">
        <v>38</v>
      </c>
      <c r="H1891" t="s">
        <v>90</v>
      </c>
      <c r="I1891" t="s">
        <v>3681</v>
      </c>
      <c r="J1891" t="s">
        <v>45</v>
      </c>
      <c r="K1891" t="s">
        <v>38</v>
      </c>
      <c r="M1891" t="b">
        <v>1</v>
      </c>
      <c r="N1891" t="s">
        <v>42</v>
      </c>
      <c r="O1891" t="s">
        <v>33</v>
      </c>
      <c r="Q1891">
        <v>117.24</v>
      </c>
      <c r="R1891">
        <v>7.5</v>
      </c>
      <c r="S1891" t="s">
        <v>44</v>
      </c>
      <c r="T1891">
        <v>88.2</v>
      </c>
      <c r="V1891">
        <v>101.8</v>
      </c>
      <c r="W1891">
        <v>78.5</v>
      </c>
      <c r="X1891">
        <v>9.6</v>
      </c>
      <c r="Y1891">
        <v>36.6</v>
      </c>
      <c r="Z1891">
        <v>328239523</v>
      </c>
      <c r="AA1891">
        <v>37.090240000000001</v>
      </c>
      <c r="AB1891">
        <v>-95.712890999999999</v>
      </c>
    </row>
    <row r="1892" spans="1:28" hidden="1">
      <c r="A1892">
        <v>1804</v>
      </c>
      <c r="B1892">
        <v>1600</v>
      </c>
      <c r="C1892" t="s">
        <v>217</v>
      </c>
      <c r="D1892" t="s">
        <v>3682</v>
      </c>
      <c r="E1892">
        <v>58</v>
      </c>
      <c r="G1892" t="s">
        <v>103</v>
      </c>
      <c r="H1892" t="s">
        <v>3683</v>
      </c>
      <c r="I1892" t="s">
        <v>3684</v>
      </c>
      <c r="J1892" t="s">
        <v>217</v>
      </c>
      <c r="K1892" t="s">
        <v>103</v>
      </c>
      <c r="M1892" t="b">
        <v>1</v>
      </c>
      <c r="N1892" t="s">
        <v>42</v>
      </c>
      <c r="O1892" t="s">
        <v>33</v>
      </c>
      <c r="Q1892">
        <v>125.08</v>
      </c>
      <c r="R1892">
        <v>2.9</v>
      </c>
      <c r="S1892" t="s">
        <v>106</v>
      </c>
      <c r="T1892">
        <v>50.6</v>
      </c>
      <c r="V1892">
        <v>100.2</v>
      </c>
      <c r="W1892">
        <v>77</v>
      </c>
      <c r="X1892">
        <v>9.4</v>
      </c>
      <c r="Y1892">
        <v>59.2</v>
      </c>
      <c r="Z1892">
        <v>1397715000</v>
      </c>
      <c r="AA1892">
        <v>35.861660000000001</v>
      </c>
      <c r="AB1892">
        <v>104.195397</v>
      </c>
    </row>
    <row r="1893" spans="1:28" hidden="1">
      <c r="A1893">
        <v>1804</v>
      </c>
      <c r="B1893">
        <v>1600</v>
      </c>
      <c r="C1893" t="s">
        <v>288</v>
      </c>
      <c r="D1893" t="s">
        <v>3685</v>
      </c>
      <c r="E1893">
        <v>53</v>
      </c>
      <c r="G1893" t="s">
        <v>103</v>
      </c>
      <c r="H1893" t="s">
        <v>623</v>
      </c>
      <c r="I1893" t="s">
        <v>418</v>
      </c>
      <c r="J1893" t="s">
        <v>288</v>
      </c>
      <c r="K1893" t="s">
        <v>103</v>
      </c>
      <c r="M1893" t="b">
        <v>1</v>
      </c>
      <c r="N1893" t="s">
        <v>42</v>
      </c>
      <c r="O1893" t="s">
        <v>88</v>
      </c>
      <c r="Q1893">
        <v>125.08</v>
      </c>
      <c r="R1893">
        <v>2.9</v>
      </c>
      <c r="S1893" t="s">
        <v>106</v>
      </c>
      <c r="T1893">
        <v>50.6</v>
      </c>
      <c r="V1893">
        <v>100.2</v>
      </c>
      <c r="W1893">
        <v>77</v>
      </c>
      <c r="X1893">
        <v>9.4</v>
      </c>
      <c r="Y1893">
        <v>59.2</v>
      </c>
      <c r="Z1893">
        <v>1397715000</v>
      </c>
      <c r="AA1893">
        <v>35.861660000000001</v>
      </c>
      <c r="AB1893">
        <v>104.195397</v>
      </c>
    </row>
    <row r="1894" spans="1:28" hidden="1">
      <c r="A1894">
        <v>1804</v>
      </c>
      <c r="B1894">
        <v>1600</v>
      </c>
      <c r="C1894" t="s">
        <v>45</v>
      </c>
      <c r="D1894" t="s">
        <v>3686</v>
      </c>
      <c r="E1894">
        <v>49</v>
      </c>
      <c r="G1894" t="s">
        <v>103</v>
      </c>
      <c r="H1894" t="s">
        <v>1785</v>
      </c>
      <c r="I1894" t="s">
        <v>3687</v>
      </c>
      <c r="J1894" t="s">
        <v>45</v>
      </c>
      <c r="K1894" t="s">
        <v>103</v>
      </c>
      <c r="M1894" t="b">
        <v>1</v>
      </c>
      <c r="N1894" t="s">
        <v>42</v>
      </c>
      <c r="O1894" t="s">
        <v>33</v>
      </c>
      <c r="Q1894">
        <v>125.08</v>
      </c>
      <c r="R1894">
        <v>2.9</v>
      </c>
      <c r="S1894" t="s">
        <v>106</v>
      </c>
      <c r="T1894">
        <v>50.6</v>
      </c>
      <c r="V1894">
        <v>100.2</v>
      </c>
      <c r="W1894">
        <v>77</v>
      </c>
      <c r="X1894">
        <v>9.4</v>
      </c>
      <c r="Y1894">
        <v>59.2</v>
      </c>
      <c r="Z1894">
        <v>1397715000</v>
      </c>
      <c r="AA1894">
        <v>35.861660000000001</v>
      </c>
      <c r="AB1894">
        <v>104.195397</v>
      </c>
    </row>
    <row r="1895" spans="1:28" hidden="1">
      <c r="A1895">
        <v>1804</v>
      </c>
      <c r="B1895">
        <v>1600</v>
      </c>
      <c r="C1895" t="s">
        <v>217</v>
      </c>
      <c r="D1895" t="s">
        <v>3688</v>
      </c>
      <c r="E1895">
        <v>59</v>
      </c>
      <c r="G1895" t="s">
        <v>103</v>
      </c>
      <c r="H1895" t="s">
        <v>1514</v>
      </c>
      <c r="I1895" t="s">
        <v>3689</v>
      </c>
      <c r="J1895" t="s">
        <v>217</v>
      </c>
      <c r="K1895" t="s">
        <v>103</v>
      </c>
      <c r="M1895" t="b">
        <v>1</v>
      </c>
      <c r="N1895" t="s">
        <v>42</v>
      </c>
      <c r="O1895" t="s">
        <v>33</v>
      </c>
      <c r="Q1895">
        <v>125.08</v>
      </c>
      <c r="R1895">
        <v>2.9</v>
      </c>
      <c r="S1895" t="s">
        <v>106</v>
      </c>
      <c r="T1895">
        <v>50.6</v>
      </c>
      <c r="V1895">
        <v>100.2</v>
      </c>
      <c r="W1895">
        <v>77</v>
      </c>
      <c r="X1895">
        <v>9.4</v>
      </c>
      <c r="Y1895">
        <v>59.2</v>
      </c>
      <c r="Z1895">
        <v>1397715000</v>
      </c>
      <c r="AA1895">
        <v>35.861660000000001</v>
      </c>
      <c r="AB1895">
        <v>104.195397</v>
      </c>
    </row>
    <row r="1896" spans="1:28" hidden="1">
      <c r="A1896">
        <v>1804</v>
      </c>
      <c r="B1896">
        <v>1600</v>
      </c>
      <c r="C1896" t="s">
        <v>45</v>
      </c>
      <c r="D1896" t="s">
        <v>3690</v>
      </c>
      <c r="E1896">
        <v>64</v>
      </c>
      <c r="G1896" t="s">
        <v>103</v>
      </c>
      <c r="H1896" t="s">
        <v>143</v>
      </c>
      <c r="I1896" t="s">
        <v>572</v>
      </c>
      <c r="J1896" t="s">
        <v>45</v>
      </c>
      <c r="K1896" t="s">
        <v>103</v>
      </c>
      <c r="M1896" t="b">
        <v>1</v>
      </c>
      <c r="N1896" t="s">
        <v>42</v>
      </c>
      <c r="O1896" t="s">
        <v>33</v>
      </c>
      <c r="Q1896">
        <v>125.08</v>
      </c>
      <c r="R1896">
        <v>2.9</v>
      </c>
      <c r="S1896" t="s">
        <v>106</v>
      </c>
      <c r="T1896">
        <v>50.6</v>
      </c>
      <c r="V1896">
        <v>100.2</v>
      </c>
      <c r="W1896">
        <v>77</v>
      </c>
      <c r="X1896">
        <v>9.4</v>
      </c>
      <c r="Y1896">
        <v>59.2</v>
      </c>
      <c r="Z1896">
        <v>1397715000</v>
      </c>
      <c r="AA1896">
        <v>35.861660000000001</v>
      </c>
      <c r="AB1896">
        <v>104.195397</v>
      </c>
    </row>
    <row r="1897" spans="1:28" hidden="1">
      <c r="A1897">
        <v>1804</v>
      </c>
      <c r="B1897">
        <v>1600</v>
      </c>
      <c r="C1897" t="s">
        <v>288</v>
      </c>
      <c r="D1897" t="s">
        <v>3691</v>
      </c>
      <c r="E1897">
        <v>63</v>
      </c>
      <c r="G1897" t="s">
        <v>38</v>
      </c>
      <c r="H1897" t="s">
        <v>3692</v>
      </c>
      <c r="I1897" t="s">
        <v>418</v>
      </c>
      <c r="J1897" t="s">
        <v>288</v>
      </c>
      <c r="K1897" t="s">
        <v>38</v>
      </c>
      <c r="M1897" t="b">
        <v>1</v>
      </c>
      <c r="N1897" t="s">
        <v>32</v>
      </c>
      <c r="O1897" t="s">
        <v>33</v>
      </c>
      <c r="Q1897">
        <v>117.24</v>
      </c>
      <c r="R1897">
        <v>7.5</v>
      </c>
      <c r="S1897" t="s">
        <v>44</v>
      </c>
      <c r="T1897">
        <v>88.2</v>
      </c>
      <c r="V1897">
        <v>101.8</v>
      </c>
      <c r="W1897">
        <v>78.5</v>
      </c>
      <c r="X1897">
        <v>9.6</v>
      </c>
      <c r="Y1897">
        <v>36.6</v>
      </c>
      <c r="Z1897">
        <v>328239523</v>
      </c>
      <c r="AA1897">
        <v>37.090240000000001</v>
      </c>
      <c r="AB1897">
        <v>-95.712890999999999</v>
      </c>
    </row>
    <row r="1898" spans="1:28" hidden="1">
      <c r="A1898">
        <v>1804</v>
      </c>
      <c r="B1898">
        <v>1600</v>
      </c>
      <c r="C1898" t="s">
        <v>45</v>
      </c>
      <c r="D1898" t="s">
        <v>3693</v>
      </c>
      <c r="E1898">
        <v>40</v>
      </c>
      <c r="G1898" t="s">
        <v>103</v>
      </c>
      <c r="H1898" t="s">
        <v>463</v>
      </c>
      <c r="I1898" t="s">
        <v>897</v>
      </c>
      <c r="J1898" t="s">
        <v>45</v>
      </c>
      <c r="K1898" t="s">
        <v>103</v>
      </c>
      <c r="M1898" t="b">
        <v>1</v>
      </c>
      <c r="N1898" t="s">
        <v>42</v>
      </c>
      <c r="O1898" t="s">
        <v>33</v>
      </c>
      <c r="Q1898">
        <v>125.08</v>
      </c>
      <c r="R1898">
        <v>2.9</v>
      </c>
      <c r="S1898" t="s">
        <v>106</v>
      </c>
      <c r="T1898">
        <v>50.6</v>
      </c>
      <c r="V1898">
        <v>100.2</v>
      </c>
      <c r="W1898">
        <v>77</v>
      </c>
      <c r="X1898">
        <v>9.4</v>
      </c>
      <c r="Y1898">
        <v>59.2</v>
      </c>
      <c r="Z1898">
        <v>1397715000</v>
      </c>
      <c r="AA1898">
        <v>35.861660000000001</v>
      </c>
      <c r="AB1898">
        <v>104.195397</v>
      </c>
    </row>
    <row r="1899" spans="1:28" hidden="1">
      <c r="A1899">
        <v>1804</v>
      </c>
      <c r="B1899">
        <v>1600</v>
      </c>
      <c r="C1899" t="s">
        <v>36</v>
      </c>
      <c r="D1899" t="s">
        <v>3694</v>
      </c>
      <c r="E1899">
        <v>52</v>
      </c>
      <c r="G1899" t="s">
        <v>103</v>
      </c>
      <c r="H1899" t="s">
        <v>3550</v>
      </c>
      <c r="I1899" t="s">
        <v>2534</v>
      </c>
      <c r="J1899" t="s">
        <v>36</v>
      </c>
      <c r="K1899" t="s">
        <v>103</v>
      </c>
      <c r="M1899" t="b">
        <v>1</v>
      </c>
      <c r="N1899" t="s">
        <v>42</v>
      </c>
      <c r="O1899" t="s">
        <v>33</v>
      </c>
      <c r="Q1899">
        <v>125.08</v>
      </c>
      <c r="R1899">
        <v>2.9</v>
      </c>
      <c r="S1899" t="s">
        <v>106</v>
      </c>
      <c r="T1899">
        <v>50.6</v>
      </c>
      <c r="V1899">
        <v>100.2</v>
      </c>
      <c r="W1899">
        <v>77</v>
      </c>
      <c r="X1899">
        <v>9.4</v>
      </c>
      <c r="Y1899">
        <v>59.2</v>
      </c>
      <c r="Z1899">
        <v>1397715000</v>
      </c>
      <c r="AA1899">
        <v>35.861660000000001</v>
      </c>
      <c r="AB1899">
        <v>104.195397</v>
      </c>
    </row>
    <row r="1900" spans="1:28" hidden="1">
      <c r="A1900">
        <v>1804</v>
      </c>
      <c r="B1900">
        <v>1600</v>
      </c>
      <c r="C1900" t="s">
        <v>75</v>
      </c>
      <c r="D1900" t="s">
        <v>3695</v>
      </c>
      <c r="E1900">
        <v>62</v>
      </c>
      <c r="G1900" t="s">
        <v>103</v>
      </c>
      <c r="H1900" t="s">
        <v>463</v>
      </c>
      <c r="I1900" t="s">
        <v>1671</v>
      </c>
      <c r="J1900" t="s">
        <v>75</v>
      </c>
      <c r="K1900" t="s">
        <v>103</v>
      </c>
      <c r="M1900" t="b">
        <v>1</v>
      </c>
      <c r="N1900" t="s">
        <v>42</v>
      </c>
      <c r="O1900" t="s">
        <v>33</v>
      </c>
      <c r="Q1900">
        <v>125.08</v>
      </c>
      <c r="R1900">
        <v>2.9</v>
      </c>
      <c r="S1900" t="s">
        <v>106</v>
      </c>
      <c r="T1900">
        <v>50.6</v>
      </c>
      <c r="V1900">
        <v>100.2</v>
      </c>
      <c r="W1900">
        <v>77</v>
      </c>
      <c r="X1900">
        <v>9.4</v>
      </c>
      <c r="Y1900">
        <v>59.2</v>
      </c>
      <c r="Z1900">
        <v>1397715000</v>
      </c>
      <c r="AA1900">
        <v>35.861660000000001</v>
      </c>
      <c r="AB1900">
        <v>104.195397</v>
      </c>
    </row>
    <row r="1901" spans="1:28" hidden="1">
      <c r="A1901">
        <v>1804</v>
      </c>
      <c r="B1901">
        <v>1600</v>
      </c>
      <c r="C1901" t="s">
        <v>217</v>
      </c>
      <c r="D1901" t="s">
        <v>3696</v>
      </c>
      <c r="E1901">
        <v>55</v>
      </c>
      <c r="G1901" t="s">
        <v>103</v>
      </c>
      <c r="H1901" t="s">
        <v>463</v>
      </c>
      <c r="I1901" t="s">
        <v>3697</v>
      </c>
      <c r="J1901" t="s">
        <v>217</v>
      </c>
      <c r="K1901" t="s">
        <v>103</v>
      </c>
      <c r="M1901" t="b">
        <v>1</v>
      </c>
      <c r="N1901" t="s">
        <v>42</v>
      </c>
      <c r="O1901" t="s">
        <v>88</v>
      </c>
      <c r="Q1901">
        <v>125.08</v>
      </c>
      <c r="R1901">
        <v>2.9</v>
      </c>
      <c r="S1901" t="s">
        <v>106</v>
      </c>
      <c r="T1901">
        <v>50.6</v>
      </c>
      <c r="V1901">
        <v>100.2</v>
      </c>
      <c r="W1901">
        <v>77</v>
      </c>
      <c r="X1901">
        <v>9.4</v>
      </c>
      <c r="Y1901">
        <v>59.2</v>
      </c>
      <c r="Z1901">
        <v>1397715000</v>
      </c>
      <c r="AA1901">
        <v>35.861660000000001</v>
      </c>
      <c r="AB1901">
        <v>104.195397</v>
      </c>
    </row>
    <row r="1902" spans="1:28" hidden="1">
      <c r="A1902">
        <v>1804</v>
      </c>
      <c r="B1902">
        <v>1600</v>
      </c>
      <c r="C1902" t="s">
        <v>45</v>
      </c>
      <c r="D1902" t="s">
        <v>3698</v>
      </c>
      <c r="E1902">
        <v>48</v>
      </c>
      <c r="G1902" t="s">
        <v>103</v>
      </c>
      <c r="H1902" t="s">
        <v>215</v>
      </c>
      <c r="I1902" t="s">
        <v>245</v>
      </c>
      <c r="J1902" t="s">
        <v>45</v>
      </c>
      <c r="K1902" t="s">
        <v>103</v>
      </c>
      <c r="M1902" t="b">
        <v>1</v>
      </c>
      <c r="N1902" t="s">
        <v>42</v>
      </c>
      <c r="O1902" t="s">
        <v>33</v>
      </c>
      <c r="Q1902">
        <v>125.08</v>
      </c>
      <c r="R1902">
        <v>2.9</v>
      </c>
      <c r="S1902" t="s">
        <v>106</v>
      </c>
      <c r="T1902">
        <v>50.6</v>
      </c>
      <c r="V1902">
        <v>100.2</v>
      </c>
      <c r="W1902">
        <v>77</v>
      </c>
      <c r="X1902">
        <v>9.4</v>
      </c>
      <c r="Y1902">
        <v>59.2</v>
      </c>
      <c r="Z1902">
        <v>1397715000</v>
      </c>
      <c r="AA1902">
        <v>35.861660000000001</v>
      </c>
      <c r="AB1902">
        <v>104.195397</v>
      </c>
    </row>
    <row r="1903" spans="1:28" hidden="1">
      <c r="A1903">
        <v>1804</v>
      </c>
      <c r="B1903">
        <v>1600</v>
      </c>
      <c r="C1903" t="s">
        <v>236</v>
      </c>
      <c r="D1903" t="s">
        <v>3699</v>
      </c>
      <c r="E1903">
        <v>75</v>
      </c>
      <c r="G1903" t="s">
        <v>103</v>
      </c>
      <c r="H1903" t="s">
        <v>3700</v>
      </c>
      <c r="I1903" t="s">
        <v>1680</v>
      </c>
      <c r="J1903" t="s">
        <v>236</v>
      </c>
      <c r="K1903" t="s">
        <v>103</v>
      </c>
      <c r="M1903" t="b">
        <v>1</v>
      </c>
      <c r="N1903" t="s">
        <v>42</v>
      </c>
      <c r="O1903" t="s">
        <v>33</v>
      </c>
      <c r="Q1903">
        <v>125.08</v>
      </c>
      <c r="R1903">
        <v>2.9</v>
      </c>
      <c r="S1903" t="s">
        <v>106</v>
      </c>
      <c r="T1903">
        <v>50.6</v>
      </c>
      <c r="V1903">
        <v>100.2</v>
      </c>
      <c r="W1903">
        <v>77</v>
      </c>
      <c r="X1903">
        <v>9.4</v>
      </c>
      <c r="Y1903">
        <v>59.2</v>
      </c>
      <c r="Z1903">
        <v>1397715000</v>
      </c>
      <c r="AA1903">
        <v>35.861660000000001</v>
      </c>
      <c r="AB1903">
        <v>104.195397</v>
      </c>
    </row>
    <row r="1904" spans="1:28" hidden="1">
      <c r="A1904">
        <v>1804</v>
      </c>
      <c r="B1904">
        <v>1600</v>
      </c>
      <c r="C1904" t="s">
        <v>101</v>
      </c>
      <c r="D1904" t="s">
        <v>3701</v>
      </c>
      <c r="E1904">
        <v>58</v>
      </c>
      <c r="G1904" t="s">
        <v>103</v>
      </c>
      <c r="H1904" t="s">
        <v>3702</v>
      </c>
      <c r="I1904" t="s">
        <v>2130</v>
      </c>
      <c r="J1904" t="s">
        <v>101</v>
      </c>
      <c r="K1904" t="s">
        <v>103</v>
      </c>
      <c r="M1904" t="b">
        <v>1</v>
      </c>
      <c r="N1904" t="s">
        <v>42</v>
      </c>
      <c r="O1904" t="s">
        <v>33</v>
      </c>
      <c r="Q1904">
        <v>125.08</v>
      </c>
      <c r="R1904">
        <v>2.9</v>
      </c>
      <c r="S1904" t="s">
        <v>106</v>
      </c>
      <c r="T1904">
        <v>50.6</v>
      </c>
      <c r="V1904">
        <v>100.2</v>
      </c>
      <c r="W1904">
        <v>77</v>
      </c>
      <c r="X1904">
        <v>9.4</v>
      </c>
      <c r="Y1904">
        <v>59.2</v>
      </c>
      <c r="Z1904">
        <v>1397715000</v>
      </c>
      <c r="AA1904">
        <v>35.861660000000001</v>
      </c>
      <c r="AB1904">
        <v>104.195397</v>
      </c>
    </row>
    <row r="1905" spans="1:28" hidden="1">
      <c r="A1905">
        <v>1804</v>
      </c>
      <c r="B1905">
        <v>1600</v>
      </c>
      <c r="C1905" t="s">
        <v>179</v>
      </c>
      <c r="D1905" t="s">
        <v>3703</v>
      </c>
      <c r="E1905">
        <v>52</v>
      </c>
      <c r="G1905" t="s">
        <v>397</v>
      </c>
      <c r="H1905" t="s">
        <v>398</v>
      </c>
      <c r="I1905" t="s">
        <v>3704</v>
      </c>
      <c r="J1905" t="s">
        <v>179</v>
      </c>
      <c r="K1905" t="s">
        <v>397</v>
      </c>
      <c r="M1905" t="b">
        <v>1</v>
      </c>
      <c r="N1905" t="s">
        <v>32</v>
      </c>
      <c r="O1905" t="s">
        <v>33</v>
      </c>
      <c r="Q1905">
        <v>110.51</v>
      </c>
      <c r="R1905">
        <v>1.8</v>
      </c>
      <c r="S1905" t="s">
        <v>401</v>
      </c>
      <c r="T1905">
        <v>67</v>
      </c>
      <c r="V1905">
        <v>126.6</v>
      </c>
      <c r="W1905">
        <v>82.5</v>
      </c>
      <c r="X1905">
        <v>27.9</v>
      </c>
      <c r="Y1905">
        <v>49.1</v>
      </c>
      <c r="Z1905">
        <v>10285453</v>
      </c>
      <c r="AA1905">
        <v>60.128160999999999</v>
      </c>
      <c r="AB1905">
        <v>18.643501000000001</v>
      </c>
    </row>
    <row r="1906" spans="1:28" hidden="1">
      <c r="A1906">
        <v>1905</v>
      </c>
      <c r="B1906">
        <v>1500</v>
      </c>
      <c r="C1906" t="s">
        <v>101</v>
      </c>
      <c r="D1906" t="s">
        <v>3705</v>
      </c>
      <c r="E1906">
        <v>82</v>
      </c>
      <c r="G1906" t="s">
        <v>77</v>
      </c>
      <c r="H1906" t="s">
        <v>3356</v>
      </c>
      <c r="I1906" t="s">
        <v>3706</v>
      </c>
      <c r="J1906" t="s">
        <v>101</v>
      </c>
      <c r="K1906" t="s">
        <v>77</v>
      </c>
      <c r="M1906" t="b">
        <v>0</v>
      </c>
      <c r="N1906" t="s">
        <v>192</v>
      </c>
      <c r="O1906" t="s">
        <v>33</v>
      </c>
      <c r="Q1906">
        <v>180.44</v>
      </c>
      <c r="R1906">
        <v>7.7</v>
      </c>
      <c r="S1906" t="s">
        <v>81</v>
      </c>
      <c r="T1906">
        <v>28.1</v>
      </c>
      <c r="V1906">
        <v>113</v>
      </c>
      <c r="W1906">
        <v>69.400000000000006</v>
      </c>
      <c r="X1906">
        <v>11.2</v>
      </c>
      <c r="Y1906">
        <v>49.7</v>
      </c>
      <c r="Z1906">
        <v>1366417754</v>
      </c>
      <c r="AA1906">
        <v>20.593684</v>
      </c>
      <c r="AB1906">
        <v>78.962879999999998</v>
      </c>
    </row>
    <row r="1907" spans="1:28" hidden="1">
      <c r="A1907">
        <v>1905</v>
      </c>
      <c r="B1907">
        <v>1500</v>
      </c>
      <c r="C1907" t="s">
        <v>75</v>
      </c>
      <c r="D1907" t="s">
        <v>3707</v>
      </c>
      <c r="E1907">
        <v>62</v>
      </c>
      <c r="G1907" t="s">
        <v>3708</v>
      </c>
      <c r="H1907" t="s">
        <v>3709</v>
      </c>
      <c r="I1907" t="s">
        <v>3710</v>
      </c>
      <c r="J1907" t="s">
        <v>75</v>
      </c>
      <c r="K1907" t="s">
        <v>3708</v>
      </c>
      <c r="M1907" t="b">
        <v>0</v>
      </c>
      <c r="N1907" t="s">
        <v>42</v>
      </c>
      <c r="O1907" t="s">
        <v>33</v>
      </c>
      <c r="Q1907">
        <v>111.07</v>
      </c>
      <c r="R1907">
        <v>0.2</v>
      </c>
      <c r="S1907" t="s">
        <v>3711</v>
      </c>
      <c r="T1907">
        <v>35.9</v>
      </c>
      <c r="V1907">
        <v>113.9</v>
      </c>
      <c r="W1907">
        <v>76.5</v>
      </c>
      <c r="X1907">
        <v>21.9</v>
      </c>
      <c r="Y1907">
        <v>45.8</v>
      </c>
      <c r="Z1907">
        <v>36910560</v>
      </c>
      <c r="AA1907">
        <v>31.791702000000001</v>
      </c>
      <c r="AB1907">
        <v>-7.0926200000000001</v>
      </c>
    </row>
    <row r="1908" spans="1:28" hidden="1">
      <c r="A1908">
        <v>1905</v>
      </c>
      <c r="B1908">
        <v>1500</v>
      </c>
      <c r="C1908" t="s">
        <v>75</v>
      </c>
      <c r="D1908" t="s">
        <v>3712</v>
      </c>
      <c r="E1908">
        <v>68</v>
      </c>
      <c r="G1908" t="s">
        <v>1267</v>
      </c>
      <c r="H1908" t="s">
        <v>1268</v>
      </c>
      <c r="I1908" t="s">
        <v>75</v>
      </c>
      <c r="J1908" t="s">
        <v>75</v>
      </c>
      <c r="K1908" t="s">
        <v>1267</v>
      </c>
      <c r="M1908" t="b">
        <v>1</v>
      </c>
      <c r="N1908" t="s">
        <v>419</v>
      </c>
      <c r="O1908" t="s">
        <v>33</v>
      </c>
      <c r="Q1908">
        <v>234.44</v>
      </c>
      <c r="R1908">
        <v>15.2</v>
      </c>
      <c r="S1908" t="s">
        <v>1270</v>
      </c>
      <c r="T1908">
        <v>23.9</v>
      </c>
      <c r="V1908">
        <v>93.2</v>
      </c>
      <c r="W1908">
        <v>77.400000000000006</v>
      </c>
      <c r="X1908">
        <v>17.899999999999999</v>
      </c>
      <c r="Y1908">
        <v>42.3</v>
      </c>
      <c r="Z1908">
        <v>83429615</v>
      </c>
      <c r="AA1908">
        <v>38.963745000000003</v>
      </c>
      <c r="AB1908">
        <v>35.243321999999999</v>
      </c>
    </row>
    <row r="1909" spans="1:28" hidden="1">
      <c r="A1909">
        <v>1905</v>
      </c>
      <c r="B1909">
        <v>1500</v>
      </c>
      <c r="C1909" t="s">
        <v>217</v>
      </c>
      <c r="D1909" t="s">
        <v>3713</v>
      </c>
      <c r="E1909">
        <v>61</v>
      </c>
      <c r="G1909" t="s">
        <v>164</v>
      </c>
      <c r="H1909" t="s">
        <v>3714</v>
      </c>
      <c r="I1909" t="s">
        <v>3715</v>
      </c>
      <c r="J1909" t="s">
        <v>217</v>
      </c>
      <c r="K1909" t="s">
        <v>164</v>
      </c>
      <c r="M1909" t="b">
        <v>1</v>
      </c>
      <c r="N1909" t="s">
        <v>32</v>
      </c>
      <c r="O1909" t="s">
        <v>33</v>
      </c>
      <c r="Q1909">
        <v>110.62</v>
      </c>
      <c r="R1909">
        <v>0.6</v>
      </c>
      <c r="S1909" t="s">
        <v>539</v>
      </c>
      <c r="T1909">
        <v>61.9</v>
      </c>
      <c r="V1909">
        <v>101.9</v>
      </c>
      <c r="W1909">
        <v>82.9</v>
      </c>
      <c r="X1909">
        <v>24.3</v>
      </c>
      <c r="Y1909">
        <v>59.1</v>
      </c>
      <c r="Z1909">
        <v>60297396</v>
      </c>
      <c r="AA1909">
        <v>41.871940000000002</v>
      </c>
      <c r="AB1909">
        <v>12.56738</v>
      </c>
    </row>
    <row r="1910" spans="1:28" hidden="1">
      <c r="A1910">
        <v>1905</v>
      </c>
      <c r="B1910">
        <v>1500</v>
      </c>
      <c r="C1910" t="s">
        <v>75</v>
      </c>
      <c r="D1910" t="s">
        <v>3716</v>
      </c>
      <c r="E1910">
        <v>26</v>
      </c>
      <c r="G1910" t="s">
        <v>833</v>
      </c>
      <c r="H1910" t="s">
        <v>834</v>
      </c>
      <c r="I1910" t="s">
        <v>231</v>
      </c>
      <c r="J1910" t="s">
        <v>75</v>
      </c>
      <c r="K1910" t="s">
        <v>833</v>
      </c>
      <c r="M1910" t="b">
        <v>0</v>
      </c>
      <c r="N1910" t="s">
        <v>32</v>
      </c>
      <c r="O1910" t="s">
        <v>88</v>
      </c>
      <c r="Q1910">
        <v>120.27</v>
      </c>
      <c r="R1910">
        <v>2.2000000000000002</v>
      </c>
      <c r="S1910" t="s">
        <v>835</v>
      </c>
      <c r="T1910">
        <v>82</v>
      </c>
      <c r="V1910">
        <v>100.3</v>
      </c>
      <c r="W1910">
        <v>82.8</v>
      </c>
      <c r="X1910">
        <v>23.9</v>
      </c>
      <c r="Y1910">
        <v>36.200000000000003</v>
      </c>
      <c r="Z1910">
        <v>5347896</v>
      </c>
      <c r="AA1910">
        <v>60.472023999999998</v>
      </c>
      <c r="AB1910">
        <v>8.4689460000000008</v>
      </c>
    </row>
    <row r="1911" spans="1:28" hidden="1">
      <c r="A1911">
        <v>1905</v>
      </c>
      <c r="B1911">
        <v>1500</v>
      </c>
      <c r="C1911" t="s">
        <v>75</v>
      </c>
      <c r="D1911" t="s">
        <v>3717</v>
      </c>
      <c r="E1911">
        <v>27</v>
      </c>
      <c r="G1911" t="s">
        <v>833</v>
      </c>
      <c r="H1911" t="s">
        <v>834</v>
      </c>
      <c r="I1911" t="s">
        <v>231</v>
      </c>
      <c r="J1911" t="s">
        <v>75</v>
      </c>
      <c r="K1911" t="s">
        <v>833</v>
      </c>
      <c r="M1911" t="b">
        <v>0</v>
      </c>
      <c r="N1911" t="s">
        <v>32</v>
      </c>
      <c r="O1911" t="s">
        <v>88</v>
      </c>
      <c r="Q1911">
        <v>120.27</v>
      </c>
      <c r="R1911">
        <v>2.2000000000000002</v>
      </c>
      <c r="S1911" t="s">
        <v>835</v>
      </c>
      <c r="T1911">
        <v>82</v>
      </c>
      <c r="V1911">
        <v>100.3</v>
      </c>
      <c r="W1911">
        <v>82.8</v>
      </c>
      <c r="X1911">
        <v>23.9</v>
      </c>
      <c r="Y1911">
        <v>36.200000000000003</v>
      </c>
      <c r="Z1911">
        <v>5347896</v>
      </c>
      <c r="AA1911">
        <v>60.472023999999998</v>
      </c>
      <c r="AB1911">
        <v>8.4689460000000008</v>
      </c>
    </row>
    <row r="1912" spans="1:28" hidden="1">
      <c r="A1912">
        <v>1905</v>
      </c>
      <c r="B1912">
        <v>1500</v>
      </c>
      <c r="C1912" t="s">
        <v>75</v>
      </c>
      <c r="D1912" t="s">
        <v>3718</v>
      </c>
      <c r="E1912">
        <v>68</v>
      </c>
      <c r="G1912" t="s">
        <v>282</v>
      </c>
      <c r="H1912" t="s">
        <v>283</v>
      </c>
      <c r="I1912" t="s">
        <v>3163</v>
      </c>
      <c r="J1912" t="s">
        <v>75</v>
      </c>
      <c r="K1912" t="s">
        <v>282</v>
      </c>
      <c r="M1912" t="b">
        <v>0</v>
      </c>
      <c r="N1912" t="s">
        <v>32</v>
      </c>
      <c r="O1912" t="s">
        <v>88</v>
      </c>
      <c r="Q1912">
        <v>131.91</v>
      </c>
      <c r="R1912">
        <v>2.6</v>
      </c>
      <c r="S1912" t="s">
        <v>284</v>
      </c>
      <c r="T1912">
        <v>88.5</v>
      </c>
      <c r="V1912">
        <v>101.4</v>
      </c>
      <c r="W1912">
        <v>80</v>
      </c>
      <c r="X1912">
        <v>18.2</v>
      </c>
      <c r="Y1912">
        <v>34</v>
      </c>
      <c r="Z1912">
        <v>18952038</v>
      </c>
      <c r="AA1912">
        <v>-35.675147000000003</v>
      </c>
      <c r="AB1912">
        <v>-71.542968999999999</v>
      </c>
    </row>
    <row r="1913" spans="1:28" hidden="1">
      <c r="A1913">
        <v>1905</v>
      </c>
      <c r="B1913">
        <v>1500</v>
      </c>
      <c r="C1913" t="s">
        <v>288</v>
      </c>
      <c r="D1913" t="s">
        <v>3719</v>
      </c>
      <c r="E1913">
        <v>70</v>
      </c>
      <c r="G1913" t="s">
        <v>342</v>
      </c>
      <c r="H1913" t="s">
        <v>3720</v>
      </c>
      <c r="I1913" t="s">
        <v>418</v>
      </c>
      <c r="J1913" t="s">
        <v>288</v>
      </c>
      <c r="K1913" t="s">
        <v>342</v>
      </c>
      <c r="M1913" t="b">
        <v>1</v>
      </c>
      <c r="N1913" t="s">
        <v>42</v>
      </c>
      <c r="O1913" t="s">
        <v>33</v>
      </c>
      <c r="Q1913">
        <v>108.15</v>
      </c>
      <c r="R1913">
        <v>0.8</v>
      </c>
      <c r="S1913" t="s">
        <v>532</v>
      </c>
      <c r="T1913">
        <v>63.4</v>
      </c>
      <c r="V1913">
        <v>104.9</v>
      </c>
      <c r="W1913">
        <v>82.8</v>
      </c>
      <c r="X1913">
        <v>23.1</v>
      </c>
      <c r="Y1913">
        <v>25.3</v>
      </c>
      <c r="Z1913">
        <v>9053300</v>
      </c>
      <c r="AA1913">
        <v>31.046050999999999</v>
      </c>
      <c r="AB1913">
        <v>34.851612000000003</v>
      </c>
    </row>
    <row r="1914" spans="1:28" hidden="1">
      <c r="A1914">
        <v>1905</v>
      </c>
      <c r="B1914">
        <v>1500</v>
      </c>
      <c r="C1914" t="s">
        <v>26</v>
      </c>
      <c r="D1914" t="s">
        <v>3721</v>
      </c>
      <c r="E1914">
        <v>53</v>
      </c>
      <c r="G1914" t="s">
        <v>164</v>
      </c>
      <c r="H1914" t="s">
        <v>3722</v>
      </c>
      <c r="I1914" t="s">
        <v>2051</v>
      </c>
      <c r="J1914" t="s">
        <v>26</v>
      </c>
      <c r="K1914" t="s">
        <v>164</v>
      </c>
      <c r="M1914" t="b">
        <v>0</v>
      </c>
      <c r="N1914" t="s">
        <v>32</v>
      </c>
      <c r="O1914" t="s">
        <v>88</v>
      </c>
      <c r="Q1914">
        <v>110.62</v>
      </c>
      <c r="R1914">
        <v>0.6</v>
      </c>
      <c r="S1914" t="s">
        <v>539</v>
      </c>
      <c r="T1914">
        <v>61.9</v>
      </c>
      <c r="V1914">
        <v>101.9</v>
      </c>
      <c r="W1914">
        <v>82.9</v>
      </c>
      <c r="X1914">
        <v>24.3</v>
      </c>
      <c r="Y1914">
        <v>59.1</v>
      </c>
      <c r="Z1914">
        <v>60297396</v>
      </c>
      <c r="AA1914">
        <v>41.871940000000002</v>
      </c>
      <c r="AB1914">
        <v>12.56738</v>
      </c>
    </row>
    <row r="1915" spans="1:28" hidden="1">
      <c r="A1915">
        <v>1905</v>
      </c>
      <c r="B1915">
        <v>1500</v>
      </c>
      <c r="C1915" t="s">
        <v>236</v>
      </c>
      <c r="D1915" t="s">
        <v>3723</v>
      </c>
      <c r="E1915">
        <v>79</v>
      </c>
      <c r="G1915" t="s">
        <v>238</v>
      </c>
      <c r="H1915" t="s">
        <v>239</v>
      </c>
      <c r="I1915" t="s">
        <v>240</v>
      </c>
      <c r="J1915" t="s">
        <v>236</v>
      </c>
      <c r="K1915" t="s">
        <v>238</v>
      </c>
      <c r="M1915" t="b">
        <v>0</v>
      </c>
      <c r="N1915" t="s">
        <v>32</v>
      </c>
      <c r="O1915" t="s">
        <v>88</v>
      </c>
      <c r="Q1915">
        <v>119.8</v>
      </c>
      <c r="R1915">
        <v>1.6</v>
      </c>
      <c r="S1915" t="s">
        <v>243</v>
      </c>
      <c r="T1915">
        <v>113.1</v>
      </c>
      <c r="V1915">
        <v>100.3</v>
      </c>
      <c r="W1915">
        <v>82.7</v>
      </c>
      <c r="X1915">
        <v>23</v>
      </c>
      <c r="Y1915">
        <v>47.4</v>
      </c>
      <c r="Z1915">
        <v>25766605</v>
      </c>
      <c r="AA1915">
        <v>-25.274398000000001</v>
      </c>
      <c r="AB1915">
        <v>133.775136</v>
      </c>
    </row>
    <row r="1916" spans="1:28" hidden="1">
      <c r="A1916">
        <v>1905</v>
      </c>
      <c r="B1916">
        <v>1500</v>
      </c>
      <c r="C1916" t="s">
        <v>75</v>
      </c>
      <c r="D1916" t="s">
        <v>3724</v>
      </c>
      <c r="E1916">
        <v>79</v>
      </c>
      <c r="G1916" t="s">
        <v>342</v>
      </c>
      <c r="H1916" t="s">
        <v>1093</v>
      </c>
      <c r="I1916" t="s">
        <v>3725</v>
      </c>
      <c r="J1916" t="s">
        <v>75</v>
      </c>
      <c r="K1916" t="s">
        <v>342</v>
      </c>
      <c r="M1916" t="b">
        <v>1</v>
      </c>
      <c r="N1916" t="s">
        <v>42</v>
      </c>
      <c r="O1916" t="s">
        <v>33</v>
      </c>
      <c r="Q1916">
        <v>108.15</v>
      </c>
      <c r="R1916">
        <v>0.8</v>
      </c>
      <c r="S1916" t="s">
        <v>532</v>
      </c>
      <c r="T1916">
        <v>63.4</v>
      </c>
      <c r="V1916">
        <v>104.9</v>
      </c>
      <c r="W1916">
        <v>82.8</v>
      </c>
      <c r="X1916">
        <v>23.1</v>
      </c>
      <c r="Y1916">
        <v>25.3</v>
      </c>
      <c r="Z1916">
        <v>9053300</v>
      </c>
      <c r="AA1916">
        <v>31.046050999999999</v>
      </c>
      <c r="AB1916">
        <v>34.851612000000003</v>
      </c>
    </row>
    <row r="1917" spans="1:28" hidden="1">
      <c r="A1917">
        <v>1905</v>
      </c>
      <c r="B1917">
        <v>1500</v>
      </c>
      <c r="C1917" t="s">
        <v>26</v>
      </c>
      <c r="D1917" t="s">
        <v>3726</v>
      </c>
      <c r="E1917">
        <v>85</v>
      </c>
      <c r="G1917" t="s">
        <v>164</v>
      </c>
      <c r="H1917" t="s">
        <v>1761</v>
      </c>
      <c r="I1917" t="s">
        <v>153</v>
      </c>
      <c r="J1917" t="s">
        <v>26</v>
      </c>
      <c r="K1917" t="s">
        <v>164</v>
      </c>
      <c r="M1917" t="b">
        <v>0</v>
      </c>
      <c r="N1917" t="s">
        <v>419</v>
      </c>
      <c r="O1917" t="s">
        <v>33</v>
      </c>
      <c r="Q1917">
        <v>110.62</v>
      </c>
      <c r="R1917">
        <v>0.6</v>
      </c>
      <c r="S1917" t="s">
        <v>539</v>
      </c>
      <c r="T1917">
        <v>61.9</v>
      </c>
      <c r="V1917">
        <v>101.9</v>
      </c>
      <c r="W1917">
        <v>82.9</v>
      </c>
      <c r="X1917">
        <v>24.3</v>
      </c>
      <c r="Y1917">
        <v>59.1</v>
      </c>
      <c r="Z1917">
        <v>60297396</v>
      </c>
      <c r="AA1917">
        <v>41.871940000000002</v>
      </c>
      <c r="AB1917">
        <v>12.56738</v>
      </c>
    </row>
    <row r="1918" spans="1:28" hidden="1">
      <c r="A1918">
        <v>1905</v>
      </c>
      <c r="B1918">
        <v>1500</v>
      </c>
      <c r="C1918" t="s">
        <v>101</v>
      </c>
      <c r="D1918" t="s">
        <v>3727</v>
      </c>
      <c r="E1918">
        <v>46</v>
      </c>
      <c r="G1918" t="s">
        <v>260</v>
      </c>
      <c r="H1918" t="s">
        <v>515</v>
      </c>
      <c r="I1918" t="s">
        <v>1260</v>
      </c>
      <c r="J1918" t="s">
        <v>101</v>
      </c>
      <c r="K1918" t="s">
        <v>203</v>
      </c>
      <c r="M1918" t="b">
        <v>0</v>
      </c>
      <c r="N1918" t="s">
        <v>42</v>
      </c>
      <c r="O1918" t="s">
        <v>33</v>
      </c>
      <c r="Q1918">
        <v>114.52</v>
      </c>
      <c r="R1918">
        <v>-1.9</v>
      </c>
      <c r="S1918" t="s">
        <v>264</v>
      </c>
      <c r="T1918">
        <v>36.799999999999997</v>
      </c>
      <c r="V1918">
        <v>108.4</v>
      </c>
      <c r="W1918">
        <v>77.8</v>
      </c>
      <c r="X1918">
        <v>0.1</v>
      </c>
      <c r="Y1918">
        <v>15.9</v>
      </c>
      <c r="Z1918">
        <v>9770529</v>
      </c>
      <c r="AA1918">
        <v>23.424075999999999</v>
      </c>
      <c r="AB1918">
        <v>53.847817999999997</v>
      </c>
    </row>
    <row r="1919" spans="1:28" hidden="1">
      <c r="A1919">
        <v>1905</v>
      </c>
      <c r="B1919">
        <v>1500</v>
      </c>
      <c r="C1919" t="s">
        <v>75</v>
      </c>
      <c r="D1919" t="s">
        <v>3728</v>
      </c>
      <c r="E1919">
        <v>65</v>
      </c>
      <c r="G1919" t="s">
        <v>1267</v>
      </c>
      <c r="H1919" t="s">
        <v>1268</v>
      </c>
      <c r="I1919" t="s">
        <v>3729</v>
      </c>
      <c r="J1919" t="s">
        <v>75</v>
      </c>
      <c r="K1919" t="s">
        <v>1267</v>
      </c>
      <c r="M1919" t="b">
        <v>1</v>
      </c>
      <c r="N1919" t="s">
        <v>419</v>
      </c>
      <c r="O1919" t="s">
        <v>33</v>
      </c>
      <c r="Q1919">
        <v>234.44</v>
      </c>
      <c r="R1919">
        <v>15.2</v>
      </c>
      <c r="S1919" t="s">
        <v>1270</v>
      </c>
      <c r="T1919">
        <v>23.9</v>
      </c>
      <c r="V1919">
        <v>93.2</v>
      </c>
      <c r="W1919">
        <v>77.400000000000006</v>
      </c>
      <c r="X1919">
        <v>17.899999999999999</v>
      </c>
      <c r="Y1919">
        <v>42.3</v>
      </c>
      <c r="Z1919">
        <v>83429615</v>
      </c>
      <c r="AA1919">
        <v>38.963745000000003</v>
      </c>
      <c r="AB1919">
        <v>35.243321999999999</v>
      </c>
    </row>
    <row r="1920" spans="1:28">
      <c r="A1920">
        <v>1905</v>
      </c>
      <c r="B1920">
        <v>1500</v>
      </c>
      <c r="C1920" t="s">
        <v>45</v>
      </c>
      <c r="D1920" t="s">
        <v>3730</v>
      </c>
      <c r="E1920">
        <v>61</v>
      </c>
      <c r="F1920" t="str">
        <f>IF(E1920&gt;=90,"90-100",IF(E1920&gt;=80,"80-90",IF(E1920&gt;=70,"70-80",IF(E1920&gt;=60,"60-70",IF(E1920&gt;=50,"50-60",IF(E1920&gt;=40,"40-50",IF(E1920&gt;=30,"30-40","20-30")))))))</f>
        <v>60-70</v>
      </c>
      <c r="G1920" t="s">
        <v>38</v>
      </c>
      <c r="H1920" t="s">
        <v>3731</v>
      </c>
      <c r="I1920" t="s">
        <v>572</v>
      </c>
      <c r="J1920" t="s">
        <v>45</v>
      </c>
      <c r="K1920" t="s">
        <v>38</v>
      </c>
      <c r="L1920" t="s">
        <v>52</v>
      </c>
      <c r="M1920" t="b">
        <v>1</v>
      </c>
      <c r="N1920" t="s">
        <v>419</v>
      </c>
      <c r="O1920" t="s">
        <v>4866</v>
      </c>
      <c r="P1920" t="s">
        <v>43</v>
      </c>
      <c r="Q1920">
        <v>117.24</v>
      </c>
      <c r="R1920">
        <v>7.5</v>
      </c>
      <c r="S1920" t="s">
        <v>44</v>
      </c>
      <c r="T1920">
        <v>88.2</v>
      </c>
      <c r="U1920" t="str">
        <f>IF(T1920&gt;=100,"above 100",IF(T1920&gt;=80,"80-100",IF(T1920&gt;=60,"60-80",IF(T1920&gt;=40,"40-60",IF(T1920&gt;=20,"20-60","0-20")))))</f>
        <v>80-100</v>
      </c>
      <c r="V1920">
        <v>101.8</v>
      </c>
      <c r="W1920">
        <v>78.5</v>
      </c>
      <c r="X1920">
        <v>9.6</v>
      </c>
      <c r="Y1920">
        <v>36.6</v>
      </c>
      <c r="Z1920">
        <v>328239523</v>
      </c>
      <c r="AA1920">
        <v>37.090240000000001</v>
      </c>
      <c r="AB1920">
        <v>-95.712890999999999</v>
      </c>
    </row>
    <row r="1921" spans="1:28" hidden="1">
      <c r="A1921">
        <v>1905</v>
      </c>
      <c r="B1921">
        <v>1500</v>
      </c>
      <c r="C1921" t="s">
        <v>154</v>
      </c>
      <c r="D1921" t="s">
        <v>3732</v>
      </c>
      <c r="E1921">
        <v>68</v>
      </c>
      <c r="G1921" t="s">
        <v>810</v>
      </c>
      <c r="H1921" t="s">
        <v>811</v>
      </c>
      <c r="I1921" t="s">
        <v>3733</v>
      </c>
      <c r="J1921" t="s">
        <v>154</v>
      </c>
      <c r="K1921" t="s">
        <v>810</v>
      </c>
      <c r="M1921" t="b">
        <v>0</v>
      </c>
      <c r="N1921" t="s">
        <v>42</v>
      </c>
      <c r="O1921" t="s">
        <v>33</v>
      </c>
    </row>
    <row r="1922" spans="1:28" hidden="1">
      <c r="A1922">
        <v>1905</v>
      </c>
      <c r="B1922">
        <v>1500</v>
      </c>
      <c r="C1922" t="s">
        <v>217</v>
      </c>
      <c r="D1922" t="s">
        <v>3734</v>
      </c>
      <c r="E1922">
        <v>60</v>
      </c>
      <c r="G1922" t="s">
        <v>103</v>
      </c>
      <c r="H1922" t="s">
        <v>104</v>
      </c>
      <c r="I1922" t="s">
        <v>217</v>
      </c>
      <c r="J1922" t="s">
        <v>217</v>
      </c>
      <c r="K1922" t="s">
        <v>103</v>
      </c>
      <c r="M1922" t="b">
        <v>1</v>
      </c>
      <c r="N1922" t="s">
        <v>32</v>
      </c>
      <c r="O1922" t="s">
        <v>33</v>
      </c>
      <c r="Q1922">
        <v>125.08</v>
      </c>
      <c r="R1922">
        <v>2.9</v>
      </c>
      <c r="S1922" t="s">
        <v>106</v>
      </c>
      <c r="T1922">
        <v>50.6</v>
      </c>
      <c r="V1922">
        <v>100.2</v>
      </c>
      <c r="W1922">
        <v>77</v>
      </c>
      <c r="X1922">
        <v>9.4</v>
      </c>
      <c r="Y1922">
        <v>59.2</v>
      </c>
      <c r="Z1922">
        <v>1397715000</v>
      </c>
      <c r="AA1922">
        <v>35.861660000000001</v>
      </c>
      <c r="AB1922">
        <v>104.195397</v>
      </c>
    </row>
    <row r="1923" spans="1:28" hidden="1">
      <c r="A1923">
        <v>1905</v>
      </c>
      <c r="B1923">
        <v>1500</v>
      </c>
      <c r="C1923" t="s">
        <v>75</v>
      </c>
      <c r="D1923" t="s">
        <v>3735</v>
      </c>
      <c r="E1923">
        <v>70</v>
      </c>
      <c r="G1923" t="s">
        <v>3736</v>
      </c>
      <c r="H1923" t="s">
        <v>3737</v>
      </c>
      <c r="I1923" t="s">
        <v>3738</v>
      </c>
      <c r="J1923" t="s">
        <v>75</v>
      </c>
      <c r="K1923" t="s">
        <v>3736</v>
      </c>
      <c r="M1923" t="b">
        <v>1</v>
      </c>
      <c r="N1923" t="s">
        <v>32</v>
      </c>
      <c r="O1923" t="s">
        <v>33</v>
      </c>
      <c r="Q1923">
        <v>121.64</v>
      </c>
      <c r="R1923">
        <v>3.3</v>
      </c>
      <c r="S1923" t="s">
        <v>3739</v>
      </c>
      <c r="T1923">
        <v>48.5</v>
      </c>
      <c r="V1923">
        <v>100.8</v>
      </c>
      <c r="W1923">
        <v>75.8</v>
      </c>
      <c r="X1923">
        <v>23</v>
      </c>
      <c r="Y1923">
        <v>37.9</v>
      </c>
      <c r="Z1923">
        <v>9769949</v>
      </c>
      <c r="AA1923">
        <v>47.162494000000002</v>
      </c>
      <c r="AB1923">
        <v>19.503304</v>
      </c>
    </row>
    <row r="1924" spans="1:28" hidden="1">
      <c r="A1924">
        <v>1905</v>
      </c>
      <c r="B1924">
        <v>1500</v>
      </c>
      <c r="C1924" t="s">
        <v>54</v>
      </c>
      <c r="D1924" t="s">
        <v>3740</v>
      </c>
      <c r="E1924">
        <v>49</v>
      </c>
      <c r="G1924" t="s">
        <v>384</v>
      </c>
      <c r="H1924" t="s">
        <v>562</v>
      </c>
      <c r="I1924" t="s">
        <v>383</v>
      </c>
      <c r="J1924" t="s">
        <v>54</v>
      </c>
      <c r="K1924" t="s">
        <v>384</v>
      </c>
      <c r="M1924" t="b">
        <v>0</v>
      </c>
      <c r="N1924" t="s">
        <v>42</v>
      </c>
      <c r="O1924" t="s">
        <v>88</v>
      </c>
      <c r="Q1924">
        <v>167.4</v>
      </c>
      <c r="R1924">
        <v>3.7</v>
      </c>
      <c r="S1924" t="s">
        <v>563</v>
      </c>
      <c r="T1924">
        <v>51.3</v>
      </c>
      <c r="V1924">
        <v>115.4</v>
      </c>
      <c r="W1924">
        <v>75.7</v>
      </c>
      <c r="X1924">
        <v>14.2</v>
      </c>
      <c r="Y1924">
        <v>65.099999999999994</v>
      </c>
      <c r="Z1924">
        <v>212559417</v>
      </c>
      <c r="AA1924">
        <v>-14.235004</v>
      </c>
      <c r="AB1924">
        <v>-51.925280000000001</v>
      </c>
    </row>
    <row r="1925" spans="1:28" hidden="1">
      <c r="A1925">
        <v>1905</v>
      </c>
      <c r="B1925">
        <v>1500</v>
      </c>
      <c r="C1925" t="s">
        <v>217</v>
      </c>
      <c r="D1925" t="s">
        <v>3741</v>
      </c>
      <c r="E1925">
        <v>55</v>
      </c>
      <c r="G1925" t="s">
        <v>164</v>
      </c>
      <c r="H1925" t="s">
        <v>538</v>
      </c>
      <c r="I1925" t="s">
        <v>3742</v>
      </c>
      <c r="J1925" t="s">
        <v>217</v>
      </c>
      <c r="K1925" t="s">
        <v>164</v>
      </c>
      <c r="M1925" t="b">
        <v>0</v>
      </c>
      <c r="N1925" t="s">
        <v>42</v>
      </c>
      <c r="O1925" t="s">
        <v>33</v>
      </c>
      <c r="Q1925">
        <v>110.62</v>
      </c>
      <c r="R1925">
        <v>0.6</v>
      </c>
      <c r="S1925" t="s">
        <v>539</v>
      </c>
      <c r="T1925">
        <v>61.9</v>
      </c>
      <c r="V1925">
        <v>101.9</v>
      </c>
      <c r="W1925">
        <v>82.9</v>
      </c>
      <c r="X1925">
        <v>24.3</v>
      </c>
      <c r="Y1925">
        <v>59.1</v>
      </c>
      <c r="Z1925">
        <v>60297396</v>
      </c>
      <c r="AA1925">
        <v>41.871940000000002</v>
      </c>
      <c r="AB1925">
        <v>12.56738</v>
      </c>
    </row>
    <row r="1926" spans="1:28">
      <c r="A1926">
        <v>1905</v>
      </c>
      <c r="B1926">
        <v>1500</v>
      </c>
      <c r="C1926" t="s">
        <v>45</v>
      </c>
      <c r="D1926" t="s">
        <v>3743</v>
      </c>
      <c r="E1926">
        <v>70</v>
      </c>
      <c r="F1926" t="str">
        <f>IF(E1926&gt;=90,"90-100",IF(E1926&gt;=80,"80-90",IF(E1926&gt;=70,"70-80",IF(E1926&gt;=60,"60-70",IF(E1926&gt;=50,"50-60",IF(E1926&gt;=40,"40-50",IF(E1926&gt;=30,"30-40","20-30")))))))</f>
        <v>70-80</v>
      </c>
      <c r="G1926" t="s">
        <v>38</v>
      </c>
      <c r="H1926" t="s">
        <v>3744</v>
      </c>
      <c r="I1926" t="s">
        <v>3745</v>
      </c>
      <c r="J1926" t="s">
        <v>45</v>
      </c>
      <c r="K1926" t="s">
        <v>38</v>
      </c>
      <c r="L1926" t="s">
        <v>3746</v>
      </c>
      <c r="M1926" t="b">
        <v>1</v>
      </c>
      <c r="N1926" t="s">
        <v>419</v>
      </c>
      <c r="O1926" t="s">
        <v>4867</v>
      </c>
      <c r="P1926" t="s">
        <v>3747</v>
      </c>
      <c r="Q1926">
        <v>117.24</v>
      </c>
      <c r="R1926">
        <v>7.5</v>
      </c>
      <c r="S1926" t="s">
        <v>44</v>
      </c>
      <c r="T1926">
        <v>88.2</v>
      </c>
      <c r="U1926" t="str">
        <f>IF(T1926&gt;=100,"above 100",IF(T1926&gt;=80,"80-100",IF(T1926&gt;=60,"60-80",IF(T1926&gt;=40,"40-60",IF(T1926&gt;=20,"20-60","0-20")))))</f>
        <v>80-100</v>
      </c>
      <c r="V1926">
        <v>101.8</v>
      </c>
      <c r="W1926">
        <v>78.5</v>
      </c>
      <c r="X1926">
        <v>9.6</v>
      </c>
      <c r="Y1926">
        <v>36.6</v>
      </c>
      <c r="Z1926">
        <v>328239523</v>
      </c>
      <c r="AA1926">
        <v>37.090240000000001</v>
      </c>
      <c r="AB1926">
        <v>-95.712890999999999</v>
      </c>
    </row>
    <row r="1927" spans="1:28" hidden="1">
      <c r="A1927">
        <v>1905</v>
      </c>
      <c r="B1927">
        <v>1500</v>
      </c>
      <c r="C1927" t="s">
        <v>75</v>
      </c>
      <c r="D1927" t="s">
        <v>3748</v>
      </c>
      <c r="E1927">
        <v>47</v>
      </c>
      <c r="G1927" t="s">
        <v>3749</v>
      </c>
      <c r="H1927" t="s">
        <v>3750</v>
      </c>
      <c r="I1927" t="s">
        <v>75</v>
      </c>
      <c r="J1927" t="s">
        <v>75</v>
      </c>
      <c r="K1927" t="s">
        <v>3749</v>
      </c>
      <c r="M1927" t="b">
        <v>0</v>
      </c>
      <c r="N1927" t="s">
        <v>419</v>
      </c>
      <c r="O1927" t="s">
        <v>33</v>
      </c>
      <c r="Q1927">
        <v>187.43</v>
      </c>
      <c r="R1927">
        <v>3.5</v>
      </c>
      <c r="S1927" t="s">
        <v>3751</v>
      </c>
      <c r="T1927">
        <v>4</v>
      </c>
      <c r="V1927">
        <v>94.2</v>
      </c>
      <c r="W1927">
        <v>65</v>
      </c>
      <c r="X1927">
        <v>11.5</v>
      </c>
      <c r="Y1927">
        <v>43.8</v>
      </c>
      <c r="Z1927">
        <v>58005463</v>
      </c>
      <c r="AA1927">
        <v>-6.3690280000000001</v>
      </c>
      <c r="AB1927">
        <v>34.888821999999998</v>
      </c>
    </row>
    <row r="1928" spans="1:28" hidden="1">
      <c r="A1928">
        <v>1905</v>
      </c>
      <c r="B1928">
        <v>1500</v>
      </c>
      <c r="C1928" t="s">
        <v>54</v>
      </c>
      <c r="D1928" t="s">
        <v>3752</v>
      </c>
      <c r="E1928">
        <v>49</v>
      </c>
      <c r="G1928" t="s">
        <v>38</v>
      </c>
      <c r="H1928" t="s">
        <v>403</v>
      </c>
      <c r="I1928" t="s">
        <v>613</v>
      </c>
      <c r="J1928" t="s">
        <v>54</v>
      </c>
      <c r="K1928" t="s">
        <v>38</v>
      </c>
      <c r="M1928" t="b">
        <v>1</v>
      </c>
      <c r="N1928" t="s">
        <v>419</v>
      </c>
      <c r="O1928" t="s">
        <v>33</v>
      </c>
      <c r="Q1928">
        <v>117.24</v>
      </c>
      <c r="R1928">
        <v>7.5</v>
      </c>
      <c r="S1928" t="s">
        <v>44</v>
      </c>
      <c r="T1928">
        <v>88.2</v>
      </c>
      <c r="V1928">
        <v>101.8</v>
      </c>
      <c r="W1928">
        <v>78.5</v>
      </c>
      <c r="X1928">
        <v>9.6</v>
      </c>
      <c r="Y1928">
        <v>36.6</v>
      </c>
      <c r="Z1928">
        <v>328239523</v>
      </c>
      <c r="AA1928">
        <v>37.090240000000001</v>
      </c>
      <c r="AB1928">
        <v>-95.712890999999999</v>
      </c>
    </row>
    <row r="1929" spans="1:28" hidden="1">
      <c r="A1929">
        <v>1905</v>
      </c>
      <c r="B1929">
        <v>1500</v>
      </c>
      <c r="C1929" t="s">
        <v>217</v>
      </c>
      <c r="D1929" t="s">
        <v>3753</v>
      </c>
      <c r="E1929">
        <v>60</v>
      </c>
      <c r="G1929" t="s">
        <v>103</v>
      </c>
      <c r="H1929" t="s">
        <v>633</v>
      </c>
      <c r="I1929" t="s">
        <v>217</v>
      </c>
      <c r="J1929" t="s">
        <v>217</v>
      </c>
      <c r="K1929" t="s">
        <v>103</v>
      </c>
      <c r="M1929" t="b">
        <v>1</v>
      </c>
      <c r="N1929" t="s">
        <v>42</v>
      </c>
      <c r="O1929" t="s">
        <v>33</v>
      </c>
      <c r="Q1929">
        <v>125.08</v>
      </c>
      <c r="R1929">
        <v>2.9</v>
      </c>
      <c r="S1929" t="s">
        <v>106</v>
      </c>
      <c r="T1929">
        <v>50.6</v>
      </c>
      <c r="V1929">
        <v>100.2</v>
      </c>
      <c r="W1929">
        <v>77</v>
      </c>
      <c r="X1929">
        <v>9.4</v>
      </c>
      <c r="Y1929">
        <v>59.2</v>
      </c>
      <c r="Z1929">
        <v>1397715000</v>
      </c>
      <c r="AA1929">
        <v>35.861660000000001</v>
      </c>
      <c r="AB1929">
        <v>104.195397</v>
      </c>
    </row>
    <row r="1930" spans="1:28" hidden="1">
      <c r="A1930">
        <v>1905</v>
      </c>
      <c r="B1930">
        <v>1500</v>
      </c>
      <c r="C1930" t="s">
        <v>63</v>
      </c>
      <c r="D1930" t="s">
        <v>3754</v>
      </c>
      <c r="E1930">
        <v>94</v>
      </c>
      <c r="G1930" t="s">
        <v>38</v>
      </c>
      <c r="H1930" t="s">
        <v>3755</v>
      </c>
      <c r="I1930" t="s">
        <v>665</v>
      </c>
      <c r="J1930" t="s">
        <v>63</v>
      </c>
      <c r="K1930" t="s">
        <v>38</v>
      </c>
      <c r="M1930" t="b">
        <v>1</v>
      </c>
      <c r="N1930" t="s">
        <v>419</v>
      </c>
      <c r="O1930" t="s">
        <v>33</v>
      </c>
      <c r="Q1930">
        <v>117.24</v>
      </c>
      <c r="R1930">
        <v>7.5</v>
      </c>
      <c r="S1930" t="s">
        <v>44</v>
      </c>
      <c r="T1930">
        <v>88.2</v>
      </c>
      <c r="V1930">
        <v>101.8</v>
      </c>
      <c r="W1930">
        <v>78.5</v>
      </c>
      <c r="X1930">
        <v>9.6</v>
      </c>
      <c r="Y1930">
        <v>36.6</v>
      </c>
      <c r="Z1930">
        <v>328239523</v>
      </c>
      <c r="AA1930">
        <v>37.090240000000001</v>
      </c>
      <c r="AB1930">
        <v>-95.712890999999999</v>
      </c>
    </row>
    <row r="1931" spans="1:28" hidden="1">
      <c r="A1931">
        <v>1905</v>
      </c>
      <c r="B1931">
        <v>1500</v>
      </c>
      <c r="C1931" t="s">
        <v>26</v>
      </c>
      <c r="D1931" t="s">
        <v>3756</v>
      </c>
      <c r="E1931">
        <v>69</v>
      </c>
      <c r="G1931" t="s">
        <v>28</v>
      </c>
      <c r="H1931" t="s">
        <v>3757</v>
      </c>
      <c r="I1931" t="s">
        <v>3758</v>
      </c>
      <c r="J1931" t="s">
        <v>26</v>
      </c>
      <c r="K1931" t="s">
        <v>28</v>
      </c>
      <c r="M1931" t="b">
        <v>1</v>
      </c>
      <c r="N1931" t="s">
        <v>42</v>
      </c>
      <c r="O1931" t="s">
        <v>33</v>
      </c>
      <c r="Q1931">
        <v>110.05</v>
      </c>
      <c r="R1931">
        <v>1.1000000000000001</v>
      </c>
      <c r="S1931" t="s">
        <v>35</v>
      </c>
      <c r="T1931">
        <v>65.599999999999994</v>
      </c>
      <c r="V1931">
        <v>102.5</v>
      </c>
      <c r="W1931">
        <v>82.5</v>
      </c>
      <c r="X1931">
        <v>24.2</v>
      </c>
      <c r="Y1931">
        <v>60.7</v>
      </c>
      <c r="Z1931">
        <v>67059887</v>
      </c>
      <c r="AA1931">
        <v>46.227637999999999</v>
      </c>
      <c r="AB1931">
        <v>2.213749</v>
      </c>
    </row>
    <row r="1932" spans="1:28" hidden="1">
      <c r="A1932">
        <v>1905</v>
      </c>
      <c r="B1932">
        <v>1500</v>
      </c>
      <c r="C1932" t="s">
        <v>154</v>
      </c>
      <c r="D1932" t="s">
        <v>3759</v>
      </c>
      <c r="E1932">
        <v>78</v>
      </c>
      <c r="G1932" t="s">
        <v>512</v>
      </c>
      <c r="H1932" t="s">
        <v>590</v>
      </c>
      <c r="I1932" t="s">
        <v>891</v>
      </c>
      <c r="J1932" t="s">
        <v>154</v>
      </c>
      <c r="K1932" t="s">
        <v>512</v>
      </c>
      <c r="M1932" t="b">
        <v>1</v>
      </c>
      <c r="N1932" t="s">
        <v>42</v>
      </c>
      <c r="O1932" t="s">
        <v>33</v>
      </c>
      <c r="Q1932">
        <v>121.46</v>
      </c>
      <c r="R1932">
        <v>0.7</v>
      </c>
      <c r="S1932" t="s">
        <v>592</v>
      </c>
      <c r="T1932">
        <v>45.1</v>
      </c>
      <c r="V1932">
        <v>105.3</v>
      </c>
      <c r="W1932">
        <v>76</v>
      </c>
      <c r="X1932">
        <v>12</v>
      </c>
      <c r="Y1932">
        <v>38.700000000000003</v>
      </c>
      <c r="Z1932">
        <v>32447385</v>
      </c>
      <c r="AA1932">
        <v>4.2104840000000001</v>
      </c>
      <c r="AB1932">
        <v>101.97576599999999</v>
      </c>
    </row>
    <row r="1933" spans="1:28" hidden="1">
      <c r="A1933">
        <v>1905</v>
      </c>
      <c r="B1933">
        <v>1500</v>
      </c>
      <c r="C1933" t="s">
        <v>26</v>
      </c>
      <c r="D1933" t="s">
        <v>3760</v>
      </c>
      <c r="E1933">
        <v>87</v>
      </c>
      <c r="G1933" t="s">
        <v>156</v>
      </c>
      <c r="H1933" t="s">
        <v>1363</v>
      </c>
      <c r="I1933" t="s">
        <v>2374</v>
      </c>
      <c r="J1933" t="s">
        <v>26</v>
      </c>
      <c r="K1933" t="s">
        <v>156</v>
      </c>
      <c r="M1933" t="b">
        <v>0</v>
      </c>
      <c r="N1933" t="s">
        <v>419</v>
      </c>
      <c r="O1933" t="s">
        <v>88</v>
      </c>
      <c r="Q1933">
        <v>99.55</v>
      </c>
      <c r="R1933">
        <v>0.4</v>
      </c>
      <c r="S1933" t="s">
        <v>159</v>
      </c>
      <c r="T1933">
        <v>59.6</v>
      </c>
      <c r="V1933">
        <v>105.2</v>
      </c>
      <c r="W1933">
        <v>83.6</v>
      </c>
      <c r="X1933">
        <v>10.1</v>
      </c>
      <c r="Y1933">
        <v>28.8</v>
      </c>
      <c r="Z1933">
        <v>8574832</v>
      </c>
      <c r="AA1933">
        <v>46.818187999999999</v>
      </c>
      <c r="AB1933">
        <v>8.2275120000000008</v>
      </c>
    </row>
    <row r="1934" spans="1:28" hidden="1">
      <c r="A1934">
        <v>1905</v>
      </c>
      <c r="B1934">
        <v>1500</v>
      </c>
      <c r="C1934" t="s">
        <v>217</v>
      </c>
      <c r="D1934" t="s">
        <v>3761</v>
      </c>
      <c r="E1934">
        <v>58</v>
      </c>
      <c r="G1934" t="s">
        <v>103</v>
      </c>
      <c r="H1934" t="s">
        <v>176</v>
      </c>
      <c r="I1934" t="s">
        <v>3762</v>
      </c>
      <c r="J1934" t="s">
        <v>217</v>
      </c>
      <c r="K1934" t="s">
        <v>103</v>
      </c>
      <c r="M1934" t="b">
        <v>1</v>
      </c>
      <c r="N1934" t="s">
        <v>419</v>
      </c>
      <c r="O1934" t="s">
        <v>33</v>
      </c>
      <c r="Q1934">
        <v>125.08</v>
      </c>
      <c r="R1934">
        <v>2.9</v>
      </c>
      <c r="S1934" t="s">
        <v>106</v>
      </c>
      <c r="T1934">
        <v>50.6</v>
      </c>
      <c r="V1934">
        <v>100.2</v>
      </c>
      <c r="W1934">
        <v>77</v>
      </c>
      <c r="X1934">
        <v>9.4</v>
      </c>
      <c r="Y1934">
        <v>59.2</v>
      </c>
      <c r="Z1934">
        <v>1397715000</v>
      </c>
      <c r="AA1934">
        <v>35.861660000000001</v>
      </c>
      <c r="AB1934">
        <v>104.195397</v>
      </c>
    </row>
    <row r="1935" spans="1:28" hidden="1">
      <c r="A1935">
        <v>1905</v>
      </c>
      <c r="B1935">
        <v>1500</v>
      </c>
      <c r="C1935" t="s">
        <v>45</v>
      </c>
      <c r="D1935" t="s">
        <v>3763</v>
      </c>
      <c r="E1935">
        <v>67</v>
      </c>
      <c r="G1935" t="s">
        <v>38</v>
      </c>
      <c r="H1935" t="s">
        <v>1418</v>
      </c>
      <c r="I1935" t="s">
        <v>572</v>
      </c>
      <c r="J1935" t="s">
        <v>45</v>
      </c>
      <c r="K1935" t="s">
        <v>38</v>
      </c>
      <c r="M1935" t="b">
        <v>1</v>
      </c>
      <c r="N1935" t="s">
        <v>42</v>
      </c>
      <c r="O1935" t="s">
        <v>33</v>
      </c>
      <c r="Q1935">
        <v>117.24</v>
      </c>
      <c r="R1935">
        <v>7.5</v>
      </c>
      <c r="S1935" t="s">
        <v>44</v>
      </c>
      <c r="T1935">
        <v>88.2</v>
      </c>
      <c r="V1935">
        <v>101.8</v>
      </c>
      <c r="W1935">
        <v>78.5</v>
      </c>
      <c r="X1935">
        <v>9.6</v>
      </c>
      <c r="Y1935">
        <v>36.6</v>
      </c>
      <c r="Z1935">
        <v>328239523</v>
      </c>
      <c r="AA1935">
        <v>37.090240000000001</v>
      </c>
      <c r="AB1935">
        <v>-95.712890999999999</v>
      </c>
    </row>
    <row r="1936" spans="1:28" hidden="1">
      <c r="A1936">
        <v>1905</v>
      </c>
      <c r="B1936">
        <v>1500</v>
      </c>
      <c r="C1936" t="s">
        <v>54</v>
      </c>
      <c r="D1936" t="s">
        <v>3764</v>
      </c>
      <c r="E1936">
        <v>54</v>
      </c>
      <c r="G1936" t="s">
        <v>38</v>
      </c>
      <c r="H1936" t="s">
        <v>3765</v>
      </c>
      <c r="I1936" t="s">
        <v>613</v>
      </c>
      <c r="J1936" t="s">
        <v>54</v>
      </c>
      <c r="K1936" t="s">
        <v>38</v>
      </c>
      <c r="M1936" t="b">
        <v>1</v>
      </c>
      <c r="N1936" t="s">
        <v>419</v>
      </c>
      <c r="O1936" t="s">
        <v>33</v>
      </c>
      <c r="Q1936">
        <v>117.24</v>
      </c>
      <c r="R1936">
        <v>7.5</v>
      </c>
      <c r="S1936" t="s">
        <v>44</v>
      </c>
      <c r="T1936">
        <v>88.2</v>
      </c>
      <c r="V1936">
        <v>101.8</v>
      </c>
      <c r="W1936">
        <v>78.5</v>
      </c>
      <c r="X1936">
        <v>9.6</v>
      </c>
      <c r="Y1936">
        <v>36.6</v>
      </c>
      <c r="Z1936">
        <v>328239523</v>
      </c>
      <c r="AA1936">
        <v>37.090240000000001</v>
      </c>
      <c r="AB1936">
        <v>-95.712890999999999</v>
      </c>
    </row>
    <row r="1937" spans="1:28" hidden="1">
      <c r="A1937">
        <v>1905</v>
      </c>
      <c r="B1937">
        <v>1500</v>
      </c>
      <c r="C1937" t="s">
        <v>54</v>
      </c>
      <c r="D1937" t="s">
        <v>3766</v>
      </c>
      <c r="E1937">
        <v>53</v>
      </c>
      <c r="G1937" t="s">
        <v>3565</v>
      </c>
      <c r="H1937" t="s">
        <v>3566</v>
      </c>
      <c r="I1937" t="s">
        <v>231</v>
      </c>
      <c r="J1937" t="s">
        <v>54</v>
      </c>
      <c r="K1937" t="s">
        <v>3565</v>
      </c>
      <c r="M1937" t="b">
        <v>1</v>
      </c>
      <c r="N1937" t="s">
        <v>32</v>
      </c>
      <c r="O1937" t="s">
        <v>33</v>
      </c>
      <c r="Q1937">
        <v>115.34</v>
      </c>
      <c r="R1937">
        <v>2.7</v>
      </c>
      <c r="S1937" t="s">
        <v>3567</v>
      </c>
      <c r="T1937">
        <v>46.6</v>
      </c>
      <c r="V1937">
        <v>98.7</v>
      </c>
      <c r="W1937">
        <v>77.2</v>
      </c>
      <c r="X1937">
        <v>18.7</v>
      </c>
      <c r="Y1937">
        <v>49.7</v>
      </c>
      <c r="Z1937">
        <v>5454073</v>
      </c>
      <c r="AA1937">
        <v>48.669026000000002</v>
      </c>
      <c r="AB1937">
        <v>19.699024000000001</v>
      </c>
    </row>
    <row r="1938" spans="1:28" hidden="1">
      <c r="A1938">
        <v>1905</v>
      </c>
      <c r="B1938">
        <v>1500</v>
      </c>
      <c r="C1938" t="s">
        <v>217</v>
      </c>
      <c r="D1938" t="s">
        <v>3767</v>
      </c>
      <c r="E1938">
        <v>69</v>
      </c>
      <c r="G1938" t="s">
        <v>103</v>
      </c>
      <c r="H1938" t="s">
        <v>3768</v>
      </c>
      <c r="I1938" t="s">
        <v>287</v>
      </c>
      <c r="J1938" t="s">
        <v>217</v>
      </c>
      <c r="K1938" t="s">
        <v>103</v>
      </c>
      <c r="M1938" t="b">
        <v>1</v>
      </c>
      <c r="N1938" t="s">
        <v>42</v>
      </c>
      <c r="O1938" t="s">
        <v>33</v>
      </c>
      <c r="Q1938">
        <v>125.08</v>
      </c>
      <c r="R1938">
        <v>2.9</v>
      </c>
      <c r="S1938" t="s">
        <v>106</v>
      </c>
      <c r="T1938">
        <v>50.6</v>
      </c>
      <c r="V1938">
        <v>100.2</v>
      </c>
      <c r="W1938">
        <v>77</v>
      </c>
      <c r="X1938">
        <v>9.4</v>
      </c>
      <c r="Y1938">
        <v>59.2</v>
      </c>
      <c r="Z1938">
        <v>1397715000</v>
      </c>
      <c r="AA1938">
        <v>35.861660000000001</v>
      </c>
      <c r="AB1938">
        <v>104.195397</v>
      </c>
    </row>
    <row r="1939" spans="1:28" hidden="1">
      <c r="A1939">
        <v>1905</v>
      </c>
      <c r="B1939">
        <v>1500</v>
      </c>
      <c r="C1939" t="s">
        <v>221</v>
      </c>
      <c r="D1939" t="s">
        <v>3769</v>
      </c>
      <c r="E1939">
        <v>73</v>
      </c>
      <c r="G1939" t="s">
        <v>77</v>
      </c>
      <c r="H1939" t="s">
        <v>78</v>
      </c>
      <c r="I1939" t="s">
        <v>223</v>
      </c>
      <c r="J1939" t="s">
        <v>221</v>
      </c>
      <c r="K1939" t="s">
        <v>77</v>
      </c>
      <c r="M1939" t="b">
        <v>1</v>
      </c>
      <c r="N1939" t="s">
        <v>419</v>
      </c>
      <c r="O1939" t="s">
        <v>33</v>
      </c>
      <c r="Q1939">
        <v>180.44</v>
      </c>
      <c r="R1939">
        <v>7.7</v>
      </c>
      <c r="S1939" t="s">
        <v>81</v>
      </c>
      <c r="T1939">
        <v>28.1</v>
      </c>
      <c r="V1939">
        <v>113</v>
      </c>
      <c r="W1939">
        <v>69.400000000000006</v>
      </c>
      <c r="X1939">
        <v>11.2</v>
      </c>
      <c r="Y1939">
        <v>49.7</v>
      </c>
      <c r="Z1939">
        <v>1366417754</v>
      </c>
      <c r="AA1939">
        <v>20.593684</v>
      </c>
      <c r="AB1939">
        <v>78.962879999999998</v>
      </c>
    </row>
    <row r="1940" spans="1:28" hidden="1">
      <c r="A1940">
        <v>1905</v>
      </c>
      <c r="B1940">
        <v>1500</v>
      </c>
      <c r="C1940" t="s">
        <v>54</v>
      </c>
      <c r="D1940" t="s">
        <v>3770</v>
      </c>
      <c r="E1940">
        <v>52</v>
      </c>
      <c r="G1940" t="s">
        <v>1573</v>
      </c>
      <c r="H1940" t="s">
        <v>1574</v>
      </c>
      <c r="I1940" t="s">
        <v>3771</v>
      </c>
      <c r="J1940" t="s">
        <v>54</v>
      </c>
      <c r="K1940" t="s">
        <v>1573</v>
      </c>
      <c r="M1940" t="b">
        <v>1</v>
      </c>
      <c r="N1940" t="s">
        <v>42</v>
      </c>
      <c r="O1940" t="s">
        <v>33</v>
      </c>
      <c r="Q1940">
        <v>163.52000000000001</v>
      </c>
      <c r="R1940">
        <v>2.8</v>
      </c>
      <c r="S1940" t="s">
        <v>1575</v>
      </c>
      <c r="T1940">
        <v>28.5</v>
      </c>
      <c r="V1940">
        <v>110.6</v>
      </c>
      <c r="W1940">
        <v>75.3</v>
      </c>
      <c r="X1940">
        <v>19.100000000000001</v>
      </c>
      <c r="Y1940">
        <v>37.6</v>
      </c>
      <c r="Z1940">
        <v>96462106</v>
      </c>
      <c r="AA1940">
        <v>14.058324000000001</v>
      </c>
      <c r="AB1940">
        <v>108.277199</v>
      </c>
    </row>
    <row r="1941" spans="1:28" hidden="1">
      <c r="A1941">
        <v>1905</v>
      </c>
      <c r="B1941">
        <v>1500</v>
      </c>
      <c r="C1941" t="s">
        <v>45</v>
      </c>
      <c r="D1941" t="s">
        <v>3772</v>
      </c>
      <c r="E1941">
        <v>70</v>
      </c>
      <c r="G1941" t="s">
        <v>810</v>
      </c>
      <c r="H1941" t="s">
        <v>811</v>
      </c>
      <c r="I1941" t="s">
        <v>312</v>
      </c>
      <c r="J1941" t="s">
        <v>45</v>
      </c>
      <c r="K1941" t="s">
        <v>810</v>
      </c>
      <c r="M1941" t="b">
        <v>1</v>
      </c>
      <c r="N1941" t="s">
        <v>42</v>
      </c>
      <c r="O1941" t="s">
        <v>33</v>
      </c>
    </row>
    <row r="1942" spans="1:28">
      <c r="A1942">
        <v>1905</v>
      </c>
      <c r="B1942">
        <v>1500</v>
      </c>
      <c r="C1942" t="s">
        <v>63</v>
      </c>
      <c r="D1942" t="s">
        <v>3773</v>
      </c>
      <c r="E1942">
        <v>61</v>
      </c>
      <c r="F1942" t="str">
        <f>IF(E1942&gt;=90,"90-100",IF(E1942&gt;=80,"80-90",IF(E1942&gt;=70,"70-80",IF(E1942&gt;=60,"60-70",IF(E1942&gt;=50,"50-60",IF(E1942&gt;=40,"40-50",IF(E1942&gt;=30,"30-40","20-30")))))))</f>
        <v>60-70</v>
      </c>
      <c r="G1942" t="s">
        <v>716</v>
      </c>
      <c r="H1942" t="s">
        <v>3774</v>
      </c>
      <c r="I1942" t="s">
        <v>3775</v>
      </c>
      <c r="J1942" t="s">
        <v>63</v>
      </c>
      <c r="K1942" t="s">
        <v>716</v>
      </c>
      <c r="L1942" t="s">
        <v>3776</v>
      </c>
      <c r="M1942" t="b">
        <v>1</v>
      </c>
      <c r="N1942" t="s">
        <v>419</v>
      </c>
      <c r="O1942" t="s">
        <v>4867</v>
      </c>
      <c r="P1942" t="s">
        <v>121</v>
      </c>
      <c r="Q1942">
        <v>114.24</v>
      </c>
      <c r="R1942">
        <v>1.6</v>
      </c>
      <c r="S1942" t="s">
        <v>718</v>
      </c>
      <c r="T1942">
        <v>82</v>
      </c>
      <c r="U1942" t="str">
        <f t="shared" ref="U1942:U1943" si="47">IF(T1942&gt;=100,"above 100",IF(T1942&gt;=80,"80-100",IF(T1942&gt;=60,"60-80",IF(T1942&gt;=40,"40-60",IF(T1942&gt;=20,"20-60","0-20")))))</f>
        <v>80-100</v>
      </c>
      <c r="V1942">
        <v>100</v>
      </c>
      <c r="W1942">
        <v>81.900000000000006</v>
      </c>
      <c r="X1942">
        <v>29</v>
      </c>
      <c r="Y1942">
        <v>34.6</v>
      </c>
      <c r="Z1942">
        <v>4841000</v>
      </c>
      <c r="AA1942">
        <v>-40.900556999999999</v>
      </c>
      <c r="AB1942">
        <v>174.88597100000001</v>
      </c>
    </row>
    <row r="1943" spans="1:28">
      <c r="A1943">
        <v>1905</v>
      </c>
      <c r="B1943">
        <v>1500</v>
      </c>
      <c r="C1943" t="s">
        <v>54</v>
      </c>
      <c r="D1943" t="s">
        <v>3777</v>
      </c>
      <c r="E1943">
        <v>97</v>
      </c>
      <c r="F1943" t="str">
        <f>IF(E1943&gt;=90,"90-100",IF(E1943&gt;=80,"80-90",IF(E1943&gt;=70,"70-80",IF(E1943&gt;=60,"60-70",IF(E1943&gt;=50,"50-60",IF(E1943&gt;=40,"40-50",IF(E1943&gt;=30,"30-40","20-30")))))))</f>
        <v>90-100</v>
      </c>
      <c r="G1943" t="s">
        <v>127</v>
      </c>
      <c r="H1943" t="s">
        <v>1129</v>
      </c>
      <c r="I1943" t="s">
        <v>1000</v>
      </c>
      <c r="J1943" t="s">
        <v>54</v>
      </c>
      <c r="K1943" t="s">
        <v>127</v>
      </c>
      <c r="L1943" t="s">
        <v>3778</v>
      </c>
      <c r="M1943" t="b">
        <v>1</v>
      </c>
      <c r="N1943" t="s">
        <v>42</v>
      </c>
      <c r="O1943" t="s">
        <v>4867</v>
      </c>
      <c r="P1943" t="s">
        <v>2339</v>
      </c>
      <c r="Q1943">
        <v>116.76</v>
      </c>
      <c r="R1943">
        <v>1.9</v>
      </c>
      <c r="S1943" t="s">
        <v>132</v>
      </c>
      <c r="T1943">
        <v>68.900000000000006</v>
      </c>
      <c r="U1943" t="str">
        <f t="shared" si="47"/>
        <v>60-80</v>
      </c>
      <c r="V1943">
        <v>100.9</v>
      </c>
      <c r="W1943">
        <v>81.900000000000006</v>
      </c>
      <c r="X1943">
        <v>12.8</v>
      </c>
      <c r="Y1943">
        <v>24.5</v>
      </c>
      <c r="Z1943">
        <v>36991981</v>
      </c>
      <c r="AA1943">
        <v>56.130366000000002</v>
      </c>
      <c r="AB1943">
        <v>-106.346771</v>
      </c>
    </row>
    <row r="1944" spans="1:28" hidden="1">
      <c r="A1944">
        <v>1905</v>
      </c>
      <c r="B1944">
        <v>1500</v>
      </c>
      <c r="C1944" t="s">
        <v>288</v>
      </c>
      <c r="D1944" t="s">
        <v>3779</v>
      </c>
      <c r="E1944">
        <v>57</v>
      </c>
      <c r="G1944" t="s">
        <v>77</v>
      </c>
      <c r="H1944" t="s">
        <v>248</v>
      </c>
      <c r="I1944" t="s">
        <v>3780</v>
      </c>
      <c r="J1944" t="s">
        <v>288</v>
      </c>
      <c r="K1944" t="s">
        <v>77</v>
      </c>
      <c r="M1944" t="b">
        <v>1</v>
      </c>
      <c r="N1944" t="s">
        <v>32</v>
      </c>
      <c r="O1944" t="s">
        <v>33</v>
      </c>
      <c r="Q1944">
        <v>180.44</v>
      </c>
      <c r="R1944">
        <v>7.7</v>
      </c>
      <c r="S1944" t="s">
        <v>81</v>
      </c>
      <c r="T1944">
        <v>28.1</v>
      </c>
      <c r="V1944">
        <v>113</v>
      </c>
      <c r="W1944">
        <v>69.400000000000006</v>
      </c>
      <c r="X1944">
        <v>11.2</v>
      </c>
      <c r="Y1944">
        <v>49.7</v>
      </c>
      <c r="Z1944">
        <v>1366417754</v>
      </c>
      <c r="AA1944">
        <v>20.593684</v>
      </c>
      <c r="AB1944">
        <v>78.962879999999998</v>
      </c>
    </row>
    <row r="1945" spans="1:28" hidden="1">
      <c r="A1945">
        <v>1905</v>
      </c>
      <c r="B1945">
        <v>1500</v>
      </c>
      <c r="C1945" t="s">
        <v>288</v>
      </c>
      <c r="D1945" t="s">
        <v>3781</v>
      </c>
      <c r="E1945">
        <v>67</v>
      </c>
      <c r="G1945" t="s">
        <v>77</v>
      </c>
      <c r="H1945" t="s">
        <v>248</v>
      </c>
      <c r="I1945" t="s">
        <v>418</v>
      </c>
      <c r="J1945" t="s">
        <v>288</v>
      </c>
      <c r="K1945" t="s">
        <v>77</v>
      </c>
      <c r="M1945" t="b">
        <v>1</v>
      </c>
      <c r="N1945" t="s">
        <v>32</v>
      </c>
      <c r="O1945" t="s">
        <v>33</v>
      </c>
      <c r="Q1945">
        <v>180.44</v>
      </c>
      <c r="R1945">
        <v>7.7</v>
      </c>
      <c r="S1945" t="s">
        <v>81</v>
      </c>
      <c r="T1945">
        <v>28.1</v>
      </c>
      <c r="V1945">
        <v>113</v>
      </c>
      <c r="W1945">
        <v>69.400000000000006</v>
      </c>
      <c r="X1945">
        <v>11.2</v>
      </c>
      <c r="Y1945">
        <v>49.7</v>
      </c>
      <c r="Z1945">
        <v>1366417754</v>
      </c>
      <c r="AA1945">
        <v>20.593684</v>
      </c>
      <c r="AB1945">
        <v>78.962879999999998</v>
      </c>
    </row>
    <row r="1946" spans="1:28" hidden="1">
      <c r="A1946">
        <v>1905</v>
      </c>
      <c r="B1946">
        <v>1500</v>
      </c>
      <c r="C1946" t="s">
        <v>75</v>
      </c>
      <c r="D1946" t="s">
        <v>3782</v>
      </c>
      <c r="E1946">
        <v>62</v>
      </c>
      <c r="G1946" t="s">
        <v>103</v>
      </c>
      <c r="H1946" t="s">
        <v>1785</v>
      </c>
      <c r="I1946" t="s">
        <v>231</v>
      </c>
      <c r="J1946" t="s">
        <v>75</v>
      </c>
      <c r="K1946" t="s">
        <v>103</v>
      </c>
      <c r="M1946" t="b">
        <v>1</v>
      </c>
      <c r="N1946" t="s">
        <v>419</v>
      </c>
      <c r="O1946" t="s">
        <v>33</v>
      </c>
      <c r="Q1946">
        <v>125.08</v>
      </c>
      <c r="R1946">
        <v>2.9</v>
      </c>
      <c r="S1946" t="s">
        <v>106</v>
      </c>
      <c r="T1946">
        <v>50.6</v>
      </c>
      <c r="V1946">
        <v>100.2</v>
      </c>
      <c r="W1946">
        <v>77</v>
      </c>
      <c r="X1946">
        <v>9.4</v>
      </c>
      <c r="Y1946">
        <v>59.2</v>
      </c>
      <c r="Z1946">
        <v>1397715000</v>
      </c>
      <c r="AA1946">
        <v>35.861660000000001</v>
      </c>
      <c r="AB1946">
        <v>104.195397</v>
      </c>
    </row>
    <row r="1947" spans="1:28">
      <c r="A1947">
        <v>1905</v>
      </c>
      <c r="B1947">
        <v>1500</v>
      </c>
      <c r="C1947" t="s">
        <v>75</v>
      </c>
      <c r="D1947" t="s">
        <v>3783</v>
      </c>
      <c r="E1947">
        <v>78</v>
      </c>
      <c r="F1947" t="s">
        <v>4845</v>
      </c>
      <c r="G1947" t="s">
        <v>611</v>
      </c>
      <c r="H1947" t="s">
        <v>612</v>
      </c>
      <c r="I1947" t="s">
        <v>75</v>
      </c>
      <c r="J1947" t="s">
        <v>75</v>
      </c>
      <c r="K1947" t="s">
        <v>611</v>
      </c>
      <c r="L1947" t="s">
        <v>3784</v>
      </c>
      <c r="M1947" t="b">
        <v>1</v>
      </c>
      <c r="N1947" t="s">
        <v>32</v>
      </c>
      <c r="O1947" t="s">
        <v>33</v>
      </c>
      <c r="Q1947">
        <v>115.16</v>
      </c>
      <c r="R1947">
        <v>0.4</v>
      </c>
      <c r="S1947" t="s">
        <v>615</v>
      </c>
      <c r="T1947">
        <v>94.3</v>
      </c>
      <c r="U1947" t="str">
        <f>IF(T1947&gt;=100,"above 100",IF(T1947&gt;=80,"80-100",IF(T1947&gt;=60,"60-80",IF(T1947&gt;=40,"40-60",IF(T1947&gt;=20,"20-60","0-20")))))</f>
        <v>80-100</v>
      </c>
      <c r="V1947">
        <v>98.1</v>
      </c>
      <c r="W1947">
        <v>82.6</v>
      </c>
      <c r="X1947">
        <v>15.6</v>
      </c>
      <c r="Y1947">
        <v>33.200000000000003</v>
      </c>
      <c r="Z1947">
        <v>51709098</v>
      </c>
      <c r="AA1947">
        <v>35.907756999999997</v>
      </c>
      <c r="AB1947">
        <v>127.76692199999999</v>
      </c>
    </row>
    <row r="1948" spans="1:28" hidden="1">
      <c r="A1948">
        <v>1905</v>
      </c>
      <c r="B1948">
        <v>1500</v>
      </c>
      <c r="C1948" t="s">
        <v>26</v>
      </c>
      <c r="D1948" t="s">
        <v>3785</v>
      </c>
      <c r="E1948">
        <v>95</v>
      </c>
      <c r="G1948" t="s">
        <v>38</v>
      </c>
      <c r="H1948" t="s">
        <v>65</v>
      </c>
      <c r="I1948" t="s">
        <v>150</v>
      </c>
      <c r="J1948" t="s">
        <v>26</v>
      </c>
      <c r="K1948" t="s">
        <v>38</v>
      </c>
      <c r="M1948" t="b">
        <v>1</v>
      </c>
      <c r="N1948" t="s">
        <v>419</v>
      </c>
      <c r="O1948" t="s">
        <v>33</v>
      </c>
      <c r="Q1948">
        <v>117.24</v>
      </c>
      <c r="R1948">
        <v>7.5</v>
      </c>
      <c r="S1948" t="s">
        <v>44</v>
      </c>
      <c r="T1948">
        <v>88.2</v>
      </c>
      <c r="V1948">
        <v>101.8</v>
      </c>
      <c r="W1948">
        <v>78.5</v>
      </c>
      <c r="X1948">
        <v>9.6</v>
      </c>
      <c r="Y1948">
        <v>36.6</v>
      </c>
      <c r="Z1948">
        <v>328239523</v>
      </c>
      <c r="AA1948">
        <v>37.090240000000001</v>
      </c>
      <c r="AB1948">
        <v>-95.712890999999999</v>
      </c>
    </row>
    <row r="1949" spans="1:28" hidden="1">
      <c r="A1949">
        <v>1905</v>
      </c>
      <c r="B1949">
        <v>1500</v>
      </c>
      <c r="C1949" t="s">
        <v>101</v>
      </c>
      <c r="D1949" t="s">
        <v>3786</v>
      </c>
      <c r="E1949">
        <v>73</v>
      </c>
      <c r="G1949" t="s">
        <v>38</v>
      </c>
      <c r="H1949" t="s">
        <v>1371</v>
      </c>
      <c r="I1949" t="s">
        <v>414</v>
      </c>
      <c r="J1949" t="s">
        <v>101</v>
      </c>
      <c r="K1949" t="s">
        <v>38</v>
      </c>
      <c r="M1949" t="b">
        <v>1</v>
      </c>
      <c r="N1949" t="s">
        <v>42</v>
      </c>
      <c r="O1949" t="s">
        <v>33</v>
      </c>
      <c r="Q1949">
        <v>117.24</v>
      </c>
      <c r="R1949">
        <v>7.5</v>
      </c>
      <c r="S1949" t="s">
        <v>44</v>
      </c>
      <c r="T1949">
        <v>88.2</v>
      </c>
      <c r="V1949">
        <v>101.8</v>
      </c>
      <c r="W1949">
        <v>78.5</v>
      </c>
      <c r="X1949">
        <v>9.6</v>
      </c>
      <c r="Y1949">
        <v>36.6</v>
      </c>
      <c r="Z1949">
        <v>328239523</v>
      </c>
      <c r="AA1949">
        <v>37.090240000000001</v>
      </c>
      <c r="AB1949">
        <v>-95.712890999999999</v>
      </c>
    </row>
    <row r="1950" spans="1:28" hidden="1">
      <c r="A1950">
        <v>1905</v>
      </c>
      <c r="B1950">
        <v>1500</v>
      </c>
      <c r="C1950" t="s">
        <v>221</v>
      </c>
      <c r="D1950" t="s">
        <v>3787</v>
      </c>
      <c r="E1950">
        <v>68</v>
      </c>
      <c r="G1950" t="s">
        <v>395</v>
      </c>
      <c r="H1950" t="s">
        <v>395</v>
      </c>
      <c r="I1950" t="s">
        <v>3788</v>
      </c>
      <c r="J1950" t="s">
        <v>221</v>
      </c>
      <c r="K1950" t="s">
        <v>395</v>
      </c>
      <c r="M1950" t="b">
        <v>1</v>
      </c>
      <c r="N1950" t="s">
        <v>212</v>
      </c>
      <c r="O1950" t="s">
        <v>33</v>
      </c>
      <c r="Q1950">
        <v>114.41</v>
      </c>
      <c r="R1950">
        <v>0.6</v>
      </c>
      <c r="S1950" t="s">
        <v>451</v>
      </c>
      <c r="T1950">
        <v>84.8</v>
      </c>
      <c r="V1950">
        <v>100.6</v>
      </c>
      <c r="W1950">
        <v>83.1</v>
      </c>
      <c r="X1950">
        <v>13.1</v>
      </c>
      <c r="Y1950">
        <v>21</v>
      </c>
      <c r="Z1950">
        <v>5703569</v>
      </c>
      <c r="AA1950">
        <v>1.3520829999999999</v>
      </c>
      <c r="AB1950">
        <v>103.819836</v>
      </c>
    </row>
    <row r="1951" spans="1:28" hidden="1">
      <c r="A1951">
        <v>1905</v>
      </c>
      <c r="B1951">
        <v>1500</v>
      </c>
      <c r="C1951" t="s">
        <v>75</v>
      </c>
      <c r="D1951" t="s">
        <v>3789</v>
      </c>
      <c r="E1951">
        <v>76</v>
      </c>
      <c r="G1951" t="s">
        <v>156</v>
      </c>
      <c r="H1951" t="s">
        <v>211</v>
      </c>
      <c r="I1951" t="s">
        <v>3618</v>
      </c>
      <c r="J1951" t="s">
        <v>75</v>
      </c>
      <c r="K1951" t="s">
        <v>1180</v>
      </c>
      <c r="M1951" t="b">
        <v>0</v>
      </c>
      <c r="N1951" t="s">
        <v>853</v>
      </c>
      <c r="O1951" t="s">
        <v>33</v>
      </c>
      <c r="Q1951">
        <v>99.55</v>
      </c>
      <c r="R1951">
        <v>0.4</v>
      </c>
      <c r="S1951" t="s">
        <v>159</v>
      </c>
      <c r="T1951">
        <v>59.6</v>
      </c>
      <c r="V1951">
        <v>105.2</v>
      </c>
      <c r="W1951">
        <v>83.6</v>
      </c>
      <c r="X1951">
        <v>10.1</v>
      </c>
      <c r="Y1951">
        <v>28.8</v>
      </c>
      <c r="Z1951">
        <v>8574832</v>
      </c>
      <c r="AA1951">
        <v>46.818187999999999</v>
      </c>
      <c r="AB1951">
        <v>8.2275120000000008</v>
      </c>
    </row>
    <row r="1952" spans="1:28" hidden="1">
      <c r="A1952">
        <v>1905</v>
      </c>
      <c r="B1952">
        <v>1500</v>
      </c>
      <c r="C1952" t="s">
        <v>217</v>
      </c>
      <c r="D1952" t="s">
        <v>3790</v>
      </c>
      <c r="E1952">
        <v>56</v>
      </c>
      <c r="G1952" t="s">
        <v>148</v>
      </c>
      <c r="H1952" t="s">
        <v>3791</v>
      </c>
      <c r="I1952" t="s">
        <v>3792</v>
      </c>
      <c r="J1952" t="s">
        <v>217</v>
      </c>
      <c r="K1952" t="s">
        <v>148</v>
      </c>
      <c r="M1952" t="b">
        <v>0</v>
      </c>
      <c r="N1952" t="s">
        <v>42</v>
      </c>
      <c r="O1952" t="s">
        <v>33</v>
      </c>
      <c r="Q1952">
        <v>112.85</v>
      </c>
      <c r="R1952">
        <v>1.4</v>
      </c>
      <c r="S1952" t="s">
        <v>151</v>
      </c>
      <c r="T1952">
        <v>70.2</v>
      </c>
      <c r="V1952">
        <v>104</v>
      </c>
      <c r="W1952">
        <v>80.900000000000006</v>
      </c>
      <c r="X1952">
        <v>11.5</v>
      </c>
      <c r="Y1952">
        <v>48.8</v>
      </c>
      <c r="Z1952">
        <v>83132799</v>
      </c>
      <c r="AA1952">
        <v>51.165691000000002</v>
      </c>
      <c r="AB1952">
        <v>10.451525999999999</v>
      </c>
    </row>
    <row r="1953" spans="1:28" hidden="1">
      <c r="A1953">
        <v>1905</v>
      </c>
      <c r="B1953">
        <v>1500</v>
      </c>
      <c r="C1953" t="s">
        <v>217</v>
      </c>
      <c r="D1953" t="s">
        <v>3793</v>
      </c>
      <c r="E1953">
        <v>60</v>
      </c>
      <c r="G1953" t="s">
        <v>148</v>
      </c>
      <c r="H1953" t="s">
        <v>2186</v>
      </c>
      <c r="I1953" t="s">
        <v>3792</v>
      </c>
      <c r="J1953" t="s">
        <v>217</v>
      </c>
      <c r="K1953" t="s">
        <v>148</v>
      </c>
      <c r="M1953" t="b">
        <v>0</v>
      </c>
      <c r="N1953" t="s">
        <v>42</v>
      </c>
      <c r="O1953" t="s">
        <v>88</v>
      </c>
      <c r="Q1953">
        <v>112.85</v>
      </c>
      <c r="R1953">
        <v>1.4</v>
      </c>
      <c r="S1953" t="s">
        <v>151</v>
      </c>
      <c r="T1953">
        <v>70.2</v>
      </c>
      <c r="V1953">
        <v>104</v>
      </c>
      <c r="W1953">
        <v>80.900000000000006</v>
      </c>
      <c r="X1953">
        <v>11.5</v>
      </c>
      <c r="Y1953">
        <v>48.8</v>
      </c>
      <c r="Z1953">
        <v>83132799</v>
      </c>
      <c r="AA1953">
        <v>51.165691000000002</v>
      </c>
      <c r="AB1953">
        <v>10.451525999999999</v>
      </c>
    </row>
    <row r="1954" spans="1:28" hidden="1">
      <c r="A1954">
        <v>1905</v>
      </c>
      <c r="B1954">
        <v>1500</v>
      </c>
      <c r="C1954" t="s">
        <v>217</v>
      </c>
      <c r="D1954" t="s">
        <v>3794</v>
      </c>
      <c r="E1954">
        <v>63</v>
      </c>
      <c r="G1954" t="s">
        <v>148</v>
      </c>
      <c r="H1954" t="s">
        <v>2186</v>
      </c>
      <c r="I1954" t="s">
        <v>217</v>
      </c>
      <c r="J1954" t="s">
        <v>217</v>
      </c>
      <c r="K1954" t="s">
        <v>148</v>
      </c>
      <c r="M1954" t="b">
        <v>0</v>
      </c>
      <c r="N1954" t="s">
        <v>42</v>
      </c>
      <c r="O1954" t="s">
        <v>88</v>
      </c>
      <c r="Q1954">
        <v>112.85</v>
      </c>
      <c r="R1954">
        <v>1.4</v>
      </c>
      <c r="S1954" t="s">
        <v>151</v>
      </c>
      <c r="T1954">
        <v>70.2</v>
      </c>
      <c r="V1954">
        <v>104</v>
      </c>
      <c r="W1954">
        <v>80.900000000000006</v>
      </c>
      <c r="X1954">
        <v>11.5</v>
      </c>
      <c r="Y1954">
        <v>48.8</v>
      </c>
      <c r="Z1954">
        <v>83132799</v>
      </c>
      <c r="AA1954">
        <v>51.165691000000002</v>
      </c>
      <c r="AB1954">
        <v>10.451525999999999</v>
      </c>
    </row>
    <row r="1955" spans="1:28" hidden="1">
      <c r="A1955">
        <v>1905</v>
      </c>
      <c r="B1955">
        <v>1500</v>
      </c>
      <c r="C1955" t="s">
        <v>217</v>
      </c>
      <c r="D1955" t="s">
        <v>3795</v>
      </c>
      <c r="E1955">
        <v>50</v>
      </c>
      <c r="G1955" t="s">
        <v>103</v>
      </c>
      <c r="H1955" t="s">
        <v>176</v>
      </c>
      <c r="I1955" t="s">
        <v>3796</v>
      </c>
      <c r="J1955" t="s">
        <v>217</v>
      </c>
      <c r="K1955" t="s">
        <v>103</v>
      </c>
      <c r="M1955" t="b">
        <v>1</v>
      </c>
      <c r="N1955" t="s">
        <v>42</v>
      </c>
      <c r="O1955" t="s">
        <v>33</v>
      </c>
      <c r="Q1955">
        <v>125.08</v>
      </c>
      <c r="R1955">
        <v>2.9</v>
      </c>
      <c r="S1955" t="s">
        <v>106</v>
      </c>
      <c r="T1955">
        <v>50.6</v>
      </c>
      <c r="V1955">
        <v>100.2</v>
      </c>
      <c r="W1955">
        <v>77</v>
      </c>
      <c r="X1955">
        <v>9.4</v>
      </c>
      <c r="Y1955">
        <v>59.2</v>
      </c>
      <c r="Z1955">
        <v>1397715000</v>
      </c>
      <c r="AA1955">
        <v>35.861660000000001</v>
      </c>
      <c r="AB1955">
        <v>104.195397</v>
      </c>
    </row>
    <row r="1956" spans="1:28" hidden="1">
      <c r="A1956">
        <v>1905</v>
      </c>
      <c r="B1956">
        <v>1500</v>
      </c>
      <c r="C1956" t="s">
        <v>217</v>
      </c>
      <c r="D1956" t="s">
        <v>3797</v>
      </c>
      <c r="E1956">
        <v>59</v>
      </c>
      <c r="G1956" t="s">
        <v>103</v>
      </c>
      <c r="H1956" t="s">
        <v>521</v>
      </c>
      <c r="I1956" t="s">
        <v>287</v>
      </c>
      <c r="J1956" t="s">
        <v>217</v>
      </c>
      <c r="K1956" t="s">
        <v>103</v>
      </c>
      <c r="M1956" t="b">
        <v>1</v>
      </c>
      <c r="N1956" t="s">
        <v>42</v>
      </c>
      <c r="O1956" t="s">
        <v>33</v>
      </c>
      <c r="Q1956">
        <v>125.08</v>
      </c>
      <c r="R1956">
        <v>2.9</v>
      </c>
      <c r="S1956" t="s">
        <v>106</v>
      </c>
      <c r="T1956">
        <v>50.6</v>
      </c>
      <c r="V1956">
        <v>100.2</v>
      </c>
      <c r="W1956">
        <v>77</v>
      </c>
      <c r="X1956">
        <v>9.4</v>
      </c>
      <c r="Y1956">
        <v>59.2</v>
      </c>
      <c r="Z1956">
        <v>1397715000</v>
      </c>
      <c r="AA1956">
        <v>35.861660000000001</v>
      </c>
      <c r="AB1956">
        <v>104.195397</v>
      </c>
    </row>
    <row r="1957" spans="1:28" hidden="1">
      <c r="A1957">
        <v>1905</v>
      </c>
      <c r="B1957">
        <v>1500</v>
      </c>
      <c r="C1957" t="s">
        <v>26</v>
      </c>
      <c r="D1957" t="s">
        <v>3798</v>
      </c>
      <c r="E1957">
        <v>71</v>
      </c>
      <c r="G1957" t="s">
        <v>103</v>
      </c>
      <c r="H1957" t="s">
        <v>633</v>
      </c>
      <c r="I1957" t="s">
        <v>940</v>
      </c>
      <c r="J1957" t="s">
        <v>26</v>
      </c>
      <c r="K1957" t="s">
        <v>103</v>
      </c>
      <c r="M1957" t="b">
        <v>1</v>
      </c>
      <c r="N1957" t="s">
        <v>42</v>
      </c>
      <c r="O1957" t="s">
        <v>33</v>
      </c>
      <c r="Q1957">
        <v>125.08</v>
      </c>
      <c r="R1957">
        <v>2.9</v>
      </c>
      <c r="S1957" t="s">
        <v>106</v>
      </c>
      <c r="T1957">
        <v>50.6</v>
      </c>
      <c r="V1957">
        <v>100.2</v>
      </c>
      <c r="W1957">
        <v>77</v>
      </c>
      <c r="X1957">
        <v>9.4</v>
      </c>
      <c r="Y1957">
        <v>59.2</v>
      </c>
      <c r="Z1957">
        <v>1397715000</v>
      </c>
      <c r="AA1957">
        <v>35.861660000000001</v>
      </c>
      <c r="AB1957">
        <v>104.195397</v>
      </c>
    </row>
    <row r="1958" spans="1:28" hidden="1">
      <c r="A1958">
        <v>1905</v>
      </c>
      <c r="B1958">
        <v>1500</v>
      </c>
      <c r="C1958" t="s">
        <v>217</v>
      </c>
      <c r="D1958" t="s">
        <v>3799</v>
      </c>
      <c r="E1958">
        <v>66</v>
      </c>
      <c r="G1958" t="s">
        <v>103</v>
      </c>
      <c r="H1958" t="s">
        <v>3800</v>
      </c>
      <c r="I1958" t="s">
        <v>3801</v>
      </c>
      <c r="J1958" t="s">
        <v>217</v>
      </c>
      <c r="K1958" t="s">
        <v>810</v>
      </c>
      <c r="M1958" t="b">
        <v>1</v>
      </c>
      <c r="N1958" t="s">
        <v>32</v>
      </c>
      <c r="O1958" t="s">
        <v>33</v>
      </c>
      <c r="Q1958">
        <v>125.08</v>
      </c>
      <c r="R1958">
        <v>2.9</v>
      </c>
      <c r="S1958" t="s">
        <v>106</v>
      </c>
      <c r="T1958">
        <v>50.6</v>
      </c>
      <c r="V1958">
        <v>100.2</v>
      </c>
      <c r="W1958">
        <v>77</v>
      </c>
      <c r="X1958">
        <v>9.4</v>
      </c>
      <c r="Y1958">
        <v>59.2</v>
      </c>
      <c r="Z1958">
        <v>1397715000</v>
      </c>
      <c r="AA1958">
        <v>35.861660000000001</v>
      </c>
      <c r="AB1958">
        <v>104.195397</v>
      </c>
    </row>
    <row r="1959" spans="1:28" hidden="1">
      <c r="A1959">
        <v>1905</v>
      </c>
      <c r="B1959">
        <v>1500</v>
      </c>
      <c r="C1959" t="s">
        <v>45</v>
      </c>
      <c r="D1959" t="s">
        <v>3802</v>
      </c>
      <c r="E1959">
        <v>90</v>
      </c>
      <c r="G1959" t="s">
        <v>810</v>
      </c>
      <c r="H1959" t="s">
        <v>3803</v>
      </c>
      <c r="I1959" t="s">
        <v>3804</v>
      </c>
      <c r="J1959" t="s">
        <v>45</v>
      </c>
      <c r="K1959" t="s">
        <v>810</v>
      </c>
      <c r="M1959" t="b">
        <v>1</v>
      </c>
      <c r="N1959" t="s">
        <v>32</v>
      </c>
      <c r="O1959" t="s">
        <v>33</v>
      </c>
    </row>
    <row r="1960" spans="1:28" hidden="1">
      <c r="A1960">
        <v>1905</v>
      </c>
      <c r="B1960">
        <v>1500</v>
      </c>
      <c r="C1960" t="s">
        <v>217</v>
      </c>
      <c r="D1960" t="s">
        <v>3805</v>
      </c>
      <c r="E1960">
        <v>66</v>
      </c>
      <c r="G1960" t="s">
        <v>103</v>
      </c>
      <c r="H1960" t="s">
        <v>215</v>
      </c>
      <c r="I1960" t="s">
        <v>287</v>
      </c>
      <c r="J1960" t="s">
        <v>217</v>
      </c>
      <c r="K1960" t="s">
        <v>38</v>
      </c>
      <c r="M1960" t="b">
        <v>1</v>
      </c>
      <c r="N1960" t="s">
        <v>42</v>
      </c>
      <c r="O1960" t="s">
        <v>33</v>
      </c>
      <c r="Q1960">
        <v>125.08</v>
      </c>
      <c r="R1960">
        <v>2.9</v>
      </c>
      <c r="S1960" t="s">
        <v>106</v>
      </c>
      <c r="T1960">
        <v>50.6</v>
      </c>
      <c r="V1960">
        <v>100.2</v>
      </c>
      <c r="W1960">
        <v>77</v>
      </c>
      <c r="X1960">
        <v>9.4</v>
      </c>
      <c r="Y1960">
        <v>59.2</v>
      </c>
      <c r="Z1960">
        <v>1397715000</v>
      </c>
      <c r="AA1960">
        <v>35.861660000000001</v>
      </c>
      <c r="AB1960">
        <v>104.195397</v>
      </c>
    </row>
    <row r="1961" spans="1:28" hidden="1">
      <c r="A1961">
        <v>1905</v>
      </c>
      <c r="B1961">
        <v>1500</v>
      </c>
      <c r="C1961" t="s">
        <v>36</v>
      </c>
      <c r="D1961" t="s">
        <v>3806</v>
      </c>
      <c r="E1961">
        <v>80</v>
      </c>
      <c r="G1961" t="s">
        <v>103</v>
      </c>
      <c r="H1961" t="s">
        <v>3807</v>
      </c>
      <c r="I1961" t="s">
        <v>2155</v>
      </c>
      <c r="J1961" t="s">
        <v>36</v>
      </c>
      <c r="K1961" t="s">
        <v>103</v>
      </c>
      <c r="M1961" t="b">
        <v>1</v>
      </c>
      <c r="N1961" t="s">
        <v>42</v>
      </c>
      <c r="O1961" t="s">
        <v>88</v>
      </c>
      <c r="Q1961">
        <v>125.08</v>
      </c>
      <c r="R1961">
        <v>2.9</v>
      </c>
      <c r="S1961" t="s">
        <v>106</v>
      </c>
      <c r="T1961">
        <v>50.6</v>
      </c>
      <c r="V1961">
        <v>100.2</v>
      </c>
      <c r="W1961">
        <v>77</v>
      </c>
      <c r="X1961">
        <v>9.4</v>
      </c>
      <c r="Y1961">
        <v>59.2</v>
      </c>
      <c r="Z1961">
        <v>1397715000</v>
      </c>
      <c r="AA1961">
        <v>35.861660000000001</v>
      </c>
      <c r="AB1961">
        <v>104.195397</v>
      </c>
    </row>
    <row r="1962" spans="1:28" hidden="1">
      <c r="A1962">
        <v>1905</v>
      </c>
      <c r="B1962">
        <v>1500</v>
      </c>
      <c r="C1962" t="s">
        <v>154</v>
      </c>
      <c r="D1962" t="s">
        <v>3808</v>
      </c>
      <c r="E1962">
        <v>59</v>
      </c>
      <c r="G1962" t="s">
        <v>103</v>
      </c>
      <c r="H1962" t="s">
        <v>215</v>
      </c>
      <c r="I1962" t="s">
        <v>154</v>
      </c>
      <c r="J1962" t="s">
        <v>154</v>
      </c>
      <c r="K1962" t="s">
        <v>103</v>
      </c>
      <c r="M1962" t="b">
        <v>1</v>
      </c>
      <c r="N1962" t="s">
        <v>42</v>
      </c>
      <c r="O1962" t="s">
        <v>33</v>
      </c>
      <c r="Q1962">
        <v>125.08</v>
      </c>
      <c r="R1962">
        <v>2.9</v>
      </c>
      <c r="S1962" t="s">
        <v>106</v>
      </c>
      <c r="T1962">
        <v>50.6</v>
      </c>
      <c r="V1962">
        <v>100.2</v>
      </c>
      <c r="W1962">
        <v>77</v>
      </c>
      <c r="X1962">
        <v>9.4</v>
      </c>
      <c r="Y1962">
        <v>59.2</v>
      </c>
      <c r="Z1962">
        <v>1397715000</v>
      </c>
      <c r="AA1962">
        <v>35.861660000000001</v>
      </c>
      <c r="AB1962">
        <v>104.195397</v>
      </c>
    </row>
    <row r="1963" spans="1:28" hidden="1">
      <c r="A1963">
        <v>1905</v>
      </c>
      <c r="B1963">
        <v>1500</v>
      </c>
      <c r="C1963" t="s">
        <v>75</v>
      </c>
      <c r="D1963" t="s">
        <v>3809</v>
      </c>
      <c r="E1963">
        <v>77</v>
      </c>
      <c r="G1963" t="s">
        <v>874</v>
      </c>
      <c r="H1963" t="s">
        <v>875</v>
      </c>
      <c r="I1963" t="s">
        <v>75</v>
      </c>
      <c r="J1963" t="s">
        <v>75</v>
      </c>
      <c r="K1963" t="s">
        <v>874</v>
      </c>
      <c r="M1963" t="b">
        <v>1</v>
      </c>
      <c r="N1963" t="s">
        <v>419</v>
      </c>
      <c r="O1963" t="s">
        <v>33</v>
      </c>
      <c r="Q1963">
        <v>288.57</v>
      </c>
      <c r="R1963">
        <v>9.1999999999999993</v>
      </c>
      <c r="S1963" t="s">
        <v>877</v>
      </c>
      <c r="T1963">
        <v>35.200000000000003</v>
      </c>
      <c r="V1963">
        <v>106.3</v>
      </c>
      <c r="W1963">
        <v>71.8</v>
      </c>
      <c r="X1963">
        <v>12.5</v>
      </c>
      <c r="Y1963">
        <v>44.4</v>
      </c>
      <c r="Z1963">
        <v>100388073</v>
      </c>
      <c r="AA1963">
        <v>26.820553</v>
      </c>
      <c r="AB1963">
        <v>30.802498</v>
      </c>
    </row>
    <row r="1964" spans="1:28" hidden="1">
      <c r="A1964">
        <v>1905</v>
      </c>
      <c r="B1964">
        <v>1500</v>
      </c>
      <c r="C1964" t="s">
        <v>221</v>
      </c>
      <c r="D1964" t="s">
        <v>3810</v>
      </c>
      <c r="E1964">
        <v>79</v>
      </c>
      <c r="G1964" t="s">
        <v>238</v>
      </c>
      <c r="H1964" t="s">
        <v>3811</v>
      </c>
      <c r="I1964" t="s">
        <v>1843</v>
      </c>
      <c r="J1964" t="s">
        <v>221</v>
      </c>
      <c r="K1964" t="s">
        <v>238</v>
      </c>
      <c r="M1964" t="b">
        <v>1</v>
      </c>
      <c r="N1964" t="s">
        <v>42</v>
      </c>
      <c r="O1964" t="s">
        <v>33</v>
      </c>
      <c r="Q1964">
        <v>119.8</v>
      </c>
      <c r="R1964">
        <v>1.6</v>
      </c>
      <c r="S1964" t="s">
        <v>243</v>
      </c>
      <c r="T1964">
        <v>113.1</v>
      </c>
      <c r="V1964">
        <v>100.3</v>
      </c>
      <c r="W1964">
        <v>82.7</v>
      </c>
      <c r="X1964">
        <v>23</v>
      </c>
      <c r="Y1964">
        <v>47.4</v>
      </c>
      <c r="Z1964">
        <v>25766605</v>
      </c>
      <c r="AA1964">
        <v>-25.274398000000001</v>
      </c>
      <c r="AB1964">
        <v>133.775136</v>
      </c>
    </row>
    <row r="1965" spans="1:28" hidden="1">
      <c r="A1965">
        <v>1905</v>
      </c>
      <c r="B1965">
        <v>1500</v>
      </c>
      <c r="C1965" t="s">
        <v>75</v>
      </c>
      <c r="D1965" t="s">
        <v>3812</v>
      </c>
      <c r="E1965">
        <v>88</v>
      </c>
      <c r="G1965" t="s">
        <v>164</v>
      </c>
      <c r="H1965" t="s">
        <v>3813</v>
      </c>
      <c r="I1965" t="s">
        <v>3814</v>
      </c>
      <c r="J1965" t="s">
        <v>75</v>
      </c>
      <c r="K1965" t="s">
        <v>164</v>
      </c>
      <c r="M1965" t="b">
        <v>1</v>
      </c>
      <c r="N1965" t="s">
        <v>42</v>
      </c>
      <c r="O1965" t="s">
        <v>33</v>
      </c>
      <c r="Q1965">
        <v>110.62</v>
      </c>
      <c r="R1965">
        <v>0.6</v>
      </c>
      <c r="S1965" t="s">
        <v>539</v>
      </c>
      <c r="T1965">
        <v>61.9</v>
      </c>
      <c r="V1965">
        <v>101.9</v>
      </c>
      <c r="W1965">
        <v>82.9</v>
      </c>
      <c r="X1965">
        <v>24.3</v>
      </c>
      <c r="Y1965">
        <v>59.1</v>
      </c>
      <c r="Z1965">
        <v>60297396</v>
      </c>
      <c r="AA1965">
        <v>41.871940000000002</v>
      </c>
      <c r="AB1965">
        <v>12.56738</v>
      </c>
    </row>
    <row r="1966" spans="1:28" hidden="1">
      <c r="A1966">
        <v>1905</v>
      </c>
      <c r="B1966">
        <v>1500</v>
      </c>
      <c r="C1966" t="s">
        <v>54</v>
      </c>
      <c r="D1966" t="s">
        <v>3815</v>
      </c>
      <c r="E1966">
        <v>48</v>
      </c>
      <c r="G1966" t="s">
        <v>38</v>
      </c>
      <c r="H1966" t="s">
        <v>65</v>
      </c>
      <c r="I1966" t="s">
        <v>613</v>
      </c>
      <c r="J1966" t="s">
        <v>54</v>
      </c>
      <c r="K1966" t="s">
        <v>38</v>
      </c>
      <c r="M1966" t="b">
        <v>1</v>
      </c>
      <c r="N1966" t="s">
        <v>419</v>
      </c>
      <c r="O1966" t="s">
        <v>33</v>
      </c>
      <c r="Q1966">
        <v>117.24</v>
      </c>
      <c r="R1966">
        <v>7.5</v>
      </c>
      <c r="S1966" t="s">
        <v>44</v>
      </c>
      <c r="T1966">
        <v>88.2</v>
      </c>
      <c r="V1966">
        <v>101.8</v>
      </c>
      <c r="W1966">
        <v>78.5</v>
      </c>
      <c r="X1966">
        <v>9.6</v>
      </c>
      <c r="Y1966">
        <v>36.6</v>
      </c>
      <c r="Z1966">
        <v>328239523</v>
      </c>
      <c r="AA1966">
        <v>37.090240000000001</v>
      </c>
      <c r="AB1966">
        <v>-95.712890999999999</v>
      </c>
    </row>
    <row r="1967" spans="1:28" hidden="1">
      <c r="A1967">
        <v>1905</v>
      </c>
      <c r="B1967">
        <v>1500</v>
      </c>
      <c r="C1967" t="s">
        <v>26</v>
      </c>
      <c r="D1967" t="s">
        <v>3816</v>
      </c>
      <c r="E1967">
        <v>70</v>
      </c>
      <c r="G1967" t="s">
        <v>164</v>
      </c>
      <c r="H1967" t="s">
        <v>3817</v>
      </c>
      <c r="I1967" t="s">
        <v>818</v>
      </c>
      <c r="J1967" t="s">
        <v>26</v>
      </c>
      <c r="K1967" t="s">
        <v>164</v>
      </c>
      <c r="M1967" t="b">
        <v>1</v>
      </c>
      <c r="N1967" t="s">
        <v>42</v>
      </c>
      <c r="O1967" t="s">
        <v>33</v>
      </c>
      <c r="Q1967">
        <v>110.62</v>
      </c>
      <c r="R1967">
        <v>0.6</v>
      </c>
      <c r="S1967" t="s">
        <v>539</v>
      </c>
      <c r="T1967">
        <v>61.9</v>
      </c>
      <c r="V1967">
        <v>101.9</v>
      </c>
      <c r="W1967">
        <v>82.9</v>
      </c>
      <c r="X1967">
        <v>24.3</v>
      </c>
      <c r="Y1967">
        <v>59.1</v>
      </c>
      <c r="Z1967">
        <v>60297396</v>
      </c>
      <c r="AA1967">
        <v>41.871940000000002</v>
      </c>
      <c r="AB1967">
        <v>12.56738</v>
      </c>
    </row>
    <row r="1968" spans="1:28" hidden="1">
      <c r="A1968">
        <v>1905</v>
      </c>
      <c r="B1968">
        <v>1500</v>
      </c>
      <c r="C1968" t="s">
        <v>308</v>
      </c>
      <c r="D1968" t="s">
        <v>3818</v>
      </c>
      <c r="E1968">
        <v>78</v>
      </c>
      <c r="G1968" t="s">
        <v>3819</v>
      </c>
      <c r="H1968" t="s">
        <v>3820</v>
      </c>
      <c r="I1968" t="s">
        <v>3821</v>
      </c>
      <c r="J1968" t="s">
        <v>308</v>
      </c>
      <c r="K1968" t="s">
        <v>2367</v>
      </c>
      <c r="M1968" t="b">
        <v>0</v>
      </c>
      <c r="N1968" t="s">
        <v>419</v>
      </c>
      <c r="O1968" t="s">
        <v>33</v>
      </c>
      <c r="Q1968">
        <v>117.59</v>
      </c>
      <c r="R1968">
        <v>2.1</v>
      </c>
      <c r="S1968" t="s">
        <v>3822</v>
      </c>
      <c r="T1968">
        <v>50.5</v>
      </c>
      <c r="V1968">
        <v>99.4</v>
      </c>
      <c r="W1968">
        <v>77.2</v>
      </c>
      <c r="X1968">
        <v>4.2</v>
      </c>
      <c r="Y1968">
        <v>13.8</v>
      </c>
      <c r="Z1968">
        <v>1501635</v>
      </c>
      <c r="AA1968">
        <v>26.066700000000001</v>
      </c>
      <c r="AB1968">
        <v>50.557699999999997</v>
      </c>
    </row>
    <row r="1969" spans="1:28" hidden="1">
      <c r="A1969">
        <v>1905</v>
      </c>
      <c r="B1969">
        <v>1500</v>
      </c>
      <c r="C1969" t="s">
        <v>154</v>
      </c>
      <c r="D1969" t="s">
        <v>3823</v>
      </c>
      <c r="E1969">
        <v>79</v>
      </c>
      <c r="G1969" t="s">
        <v>38</v>
      </c>
      <c r="H1969" t="s">
        <v>3824</v>
      </c>
      <c r="I1969" t="s">
        <v>3452</v>
      </c>
      <c r="J1969" t="s">
        <v>154</v>
      </c>
      <c r="K1969" t="s">
        <v>38</v>
      </c>
      <c r="M1969" t="b">
        <v>1</v>
      </c>
      <c r="N1969" t="s">
        <v>32</v>
      </c>
      <c r="O1969" t="s">
        <v>33</v>
      </c>
      <c r="Q1969">
        <v>117.24</v>
      </c>
      <c r="R1969">
        <v>7.5</v>
      </c>
      <c r="S1969" t="s">
        <v>44</v>
      </c>
      <c r="T1969">
        <v>88.2</v>
      </c>
      <c r="V1969">
        <v>101.8</v>
      </c>
      <c r="W1969">
        <v>78.5</v>
      </c>
      <c r="X1969">
        <v>9.6</v>
      </c>
      <c r="Y1969">
        <v>36.6</v>
      </c>
      <c r="Z1969">
        <v>328239523</v>
      </c>
      <c r="AA1969">
        <v>37.090240000000001</v>
      </c>
      <c r="AB1969">
        <v>-95.712890999999999</v>
      </c>
    </row>
    <row r="1970" spans="1:28" hidden="1">
      <c r="A1970">
        <v>1905</v>
      </c>
      <c r="B1970">
        <v>1500</v>
      </c>
      <c r="C1970" t="s">
        <v>45</v>
      </c>
      <c r="D1970" t="s">
        <v>3825</v>
      </c>
      <c r="E1970">
        <v>63</v>
      </c>
      <c r="G1970" t="s">
        <v>38</v>
      </c>
      <c r="H1970" t="s">
        <v>100</v>
      </c>
      <c r="I1970" t="s">
        <v>312</v>
      </c>
      <c r="J1970" t="s">
        <v>45</v>
      </c>
      <c r="K1970" t="s">
        <v>38</v>
      </c>
      <c r="M1970" t="b">
        <v>1</v>
      </c>
      <c r="N1970" t="s">
        <v>32</v>
      </c>
      <c r="O1970" t="s">
        <v>33</v>
      </c>
      <c r="Q1970">
        <v>117.24</v>
      </c>
      <c r="R1970">
        <v>7.5</v>
      </c>
      <c r="S1970" t="s">
        <v>44</v>
      </c>
      <c r="T1970">
        <v>88.2</v>
      </c>
      <c r="V1970">
        <v>101.8</v>
      </c>
      <c r="W1970">
        <v>78.5</v>
      </c>
      <c r="X1970">
        <v>9.6</v>
      </c>
      <c r="Y1970">
        <v>36.6</v>
      </c>
      <c r="Z1970">
        <v>328239523</v>
      </c>
      <c r="AA1970">
        <v>37.090240000000001</v>
      </c>
      <c r="AB1970">
        <v>-95.712890999999999</v>
      </c>
    </row>
    <row r="1971" spans="1:28" hidden="1">
      <c r="A1971">
        <v>1905</v>
      </c>
      <c r="B1971">
        <v>1500</v>
      </c>
      <c r="C1971" t="s">
        <v>75</v>
      </c>
      <c r="D1971" t="s">
        <v>3826</v>
      </c>
      <c r="E1971">
        <v>74</v>
      </c>
      <c r="G1971" t="s">
        <v>203</v>
      </c>
      <c r="H1971" t="s">
        <v>204</v>
      </c>
      <c r="I1971" t="s">
        <v>75</v>
      </c>
      <c r="J1971" t="s">
        <v>75</v>
      </c>
      <c r="K1971" t="s">
        <v>397</v>
      </c>
      <c r="M1971" t="b">
        <v>0</v>
      </c>
      <c r="N1971" t="s">
        <v>32</v>
      </c>
      <c r="O1971" t="s">
        <v>33</v>
      </c>
      <c r="Q1971">
        <v>119.62</v>
      </c>
      <c r="R1971">
        <v>1.7</v>
      </c>
      <c r="S1971" t="s">
        <v>206</v>
      </c>
      <c r="T1971">
        <v>60</v>
      </c>
      <c r="V1971">
        <v>101.2</v>
      </c>
      <c r="W1971">
        <v>81.3</v>
      </c>
      <c r="X1971">
        <v>25.5</v>
      </c>
      <c r="Y1971">
        <v>30.6</v>
      </c>
      <c r="Z1971">
        <v>66834405</v>
      </c>
      <c r="AA1971">
        <v>55.378050999999999</v>
      </c>
      <c r="AB1971">
        <v>-3.4359730000000002</v>
      </c>
    </row>
    <row r="1972" spans="1:28" hidden="1">
      <c r="A1972">
        <v>1905</v>
      </c>
      <c r="B1972">
        <v>1500</v>
      </c>
      <c r="C1972" t="s">
        <v>250</v>
      </c>
      <c r="D1972" t="s">
        <v>3827</v>
      </c>
      <c r="E1972">
        <v>73</v>
      </c>
      <c r="G1972" t="s">
        <v>384</v>
      </c>
      <c r="H1972" t="s">
        <v>562</v>
      </c>
      <c r="I1972" t="s">
        <v>3828</v>
      </c>
      <c r="J1972" t="s">
        <v>250</v>
      </c>
      <c r="K1972" t="s">
        <v>384</v>
      </c>
      <c r="M1972" t="b">
        <v>0</v>
      </c>
      <c r="N1972" t="s">
        <v>42</v>
      </c>
      <c r="O1972" t="s">
        <v>33</v>
      </c>
      <c r="Q1972">
        <v>167.4</v>
      </c>
      <c r="R1972">
        <v>3.7</v>
      </c>
      <c r="S1972" t="s">
        <v>563</v>
      </c>
      <c r="T1972">
        <v>51.3</v>
      </c>
      <c r="V1972">
        <v>115.4</v>
      </c>
      <c r="W1972">
        <v>75.7</v>
      </c>
      <c r="X1972">
        <v>14.2</v>
      </c>
      <c r="Y1972">
        <v>65.099999999999994</v>
      </c>
      <c r="Z1972">
        <v>212559417</v>
      </c>
      <c r="AA1972">
        <v>-14.235004</v>
      </c>
      <c r="AB1972">
        <v>-51.925280000000001</v>
      </c>
    </row>
    <row r="1973" spans="1:28" hidden="1">
      <c r="A1973">
        <v>1905</v>
      </c>
      <c r="B1973">
        <v>1500</v>
      </c>
      <c r="C1973" t="s">
        <v>54</v>
      </c>
      <c r="D1973" t="s">
        <v>3829</v>
      </c>
      <c r="I1973" t="s">
        <v>1152</v>
      </c>
      <c r="J1973" t="s">
        <v>54</v>
      </c>
      <c r="K1973" t="s">
        <v>3830</v>
      </c>
      <c r="M1973" t="b">
        <v>0</v>
      </c>
      <c r="N1973" t="s">
        <v>212</v>
      </c>
      <c r="O1973" t="s">
        <v>88</v>
      </c>
    </row>
    <row r="1974" spans="1:28" hidden="1">
      <c r="A1974">
        <v>1905</v>
      </c>
      <c r="B1974">
        <v>1500</v>
      </c>
      <c r="C1974" t="s">
        <v>54</v>
      </c>
      <c r="D1974" t="s">
        <v>3831</v>
      </c>
      <c r="I1974" t="s">
        <v>1152</v>
      </c>
      <c r="J1974" t="s">
        <v>54</v>
      </c>
      <c r="K1974" t="s">
        <v>3830</v>
      </c>
      <c r="M1974" t="b">
        <v>0</v>
      </c>
      <c r="N1974" t="s">
        <v>212</v>
      </c>
      <c r="O1974" t="s">
        <v>33</v>
      </c>
    </row>
    <row r="1975" spans="1:28">
      <c r="A1975">
        <v>1905</v>
      </c>
      <c r="B1975">
        <v>1500</v>
      </c>
      <c r="C1975" t="s">
        <v>54</v>
      </c>
      <c r="D1975" t="s">
        <v>3832</v>
      </c>
      <c r="E1975">
        <v>80</v>
      </c>
      <c r="F1975" t="str">
        <f>IF(E1975&gt;=90,"90-100",IF(E1975&gt;=80,"80-90",IF(E1975&gt;=70,"70-80",IF(E1975&gt;=60,"60-70",IF(E1975&gt;=50,"50-60",IF(E1975&gt;=40,"40-50",IF(E1975&gt;=30,"30-40","20-30")))))))</f>
        <v>80-90</v>
      </c>
      <c r="G1975" t="s">
        <v>38</v>
      </c>
      <c r="H1975" t="s">
        <v>3833</v>
      </c>
      <c r="I1975" t="s">
        <v>231</v>
      </c>
      <c r="J1975" t="s">
        <v>54</v>
      </c>
      <c r="K1975" t="s">
        <v>38</v>
      </c>
      <c r="L1975" t="s">
        <v>3834</v>
      </c>
      <c r="M1975" t="b">
        <v>1</v>
      </c>
      <c r="N1975" t="s">
        <v>42</v>
      </c>
      <c r="O1975" t="s">
        <v>4867</v>
      </c>
      <c r="P1975" t="s">
        <v>146</v>
      </c>
      <c r="Q1975">
        <v>117.24</v>
      </c>
      <c r="R1975">
        <v>7.5</v>
      </c>
      <c r="S1975" t="s">
        <v>44</v>
      </c>
      <c r="T1975">
        <v>88.2</v>
      </c>
      <c r="U1975" t="str">
        <f>IF(T1975&gt;=100,"above 100",IF(T1975&gt;=80,"80-100",IF(T1975&gt;=60,"60-80",IF(T1975&gt;=40,"40-60",IF(T1975&gt;=20,"20-60","0-20")))))</f>
        <v>80-100</v>
      </c>
      <c r="V1975">
        <v>101.8</v>
      </c>
      <c r="W1975">
        <v>78.5</v>
      </c>
      <c r="X1975">
        <v>9.6</v>
      </c>
      <c r="Y1975">
        <v>36.6</v>
      </c>
      <c r="Z1975">
        <v>328239523</v>
      </c>
      <c r="AA1975">
        <v>37.090240000000001</v>
      </c>
      <c r="AB1975">
        <v>-95.712890999999999</v>
      </c>
    </row>
    <row r="1976" spans="1:28" hidden="1">
      <c r="A1976">
        <v>1905</v>
      </c>
      <c r="B1976">
        <v>1500</v>
      </c>
      <c r="C1976" t="s">
        <v>469</v>
      </c>
      <c r="D1976" t="s">
        <v>3835</v>
      </c>
      <c r="E1976">
        <v>49</v>
      </c>
      <c r="G1976" t="s">
        <v>70</v>
      </c>
      <c r="H1976" t="s">
        <v>71</v>
      </c>
      <c r="I1976" t="s">
        <v>3836</v>
      </c>
      <c r="J1976" t="s">
        <v>469</v>
      </c>
      <c r="K1976" t="s">
        <v>70</v>
      </c>
      <c r="M1976" t="b">
        <v>0</v>
      </c>
      <c r="N1976" t="s">
        <v>32</v>
      </c>
      <c r="O1976" t="s">
        <v>33</v>
      </c>
      <c r="Q1976">
        <v>141.54</v>
      </c>
      <c r="R1976">
        <v>3.6</v>
      </c>
      <c r="S1976" t="s">
        <v>74</v>
      </c>
      <c r="T1976">
        <v>40.200000000000003</v>
      </c>
      <c r="V1976">
        <v>105.8</v>
      </c>
      <c r="W1976">
        <v>75</v>
      </c>
      <c r="X1976">
        <v>13.1</v>
      </c>
      <c r="Y1976">
        <v>55.1</v>
      </c>
      <c r="Z1976">
        <v>126014024</v>
      </c>
      <c r="AA1976">
        <v>23.634501</v>
      </c>
      <c r="AB1976">
        <v>-102.552784</v>
      </c>
    </row>
    <row r="1977" spans="1:28" hidden="1">
      <c r="A1977">
        <v>1905</v>
      </c>
      <c r="B1977">
        <v>1500</v>
      </c>
      <c r="C1977" t="s">
        <v>26</v>
      </c>
      <c r="D1977" t="s">
        <v>3837</v>
      </c>
      <c r="E1977">
        <v>48</v>
      </c>
      <c r="G1977" t="s">
        <v>397</v>
      </c>
      <c r="H1977" t="s">
        <v>398</v>
      </c>
      <c r="I1977" t="s">
        <v>399</v>
      </c>
      <c r="J1977" t="s">
        <v>26</v>
      </c>
      <c r="K1977" t="s">
        <v>397</v>
      </c>
      <c r="M1977" t="b">
        <v>0</v>
      </c>
      <c r="N1977" t="s">
        <v>419</v>
      </c>
      <c r="O1977" t="s">
        <v>33</v>
      </c>
      <c r="Q1977">
        <v>110.51</v>
      </c>
      <c r="R1977">
        <v>1.8</v>
      </c>
      <c r="S1977" t="s">
        <v>401</v>
      </c>
      <c r="T1977">
        <v>67</v>
      </c>
      <c r="V1977">
        <v>126.6</v>
      </c>
      <c r="W1977">
        <v>82.5</v>
      </c>
      <c r="X1977">
        <v>27.9</v>
      </c>
      <c r="Y1977">
        <v>49.1</v>
      </c>
      <c r="Z1977">
        <v>10285453</v>
      </c>
      <c r="AA1977">
        <v>60.128160999999999</v>
      </c>
      <c r="AB1977">
        <v>18.643501000000001</v>
      </c>
    </row>
    <row r="1978" spans="1:28" hidden="1">
      <c r="A1978">
        <v>1905</v>
      </c>
      <c r="B1978">
        <v>1500</v>
      </c>
      <c r="C1978" t="s">
        <v>101</v>
      </c>
      <c r="D1978" t="s">
        <v>3838</v>
      </c>
      <c r="E1978">
        <v>55</v>
      </c>
      <c r="G1978" t="s">
        <v>38</v>
      </c>
      <c r="H1978" t="s">
        <v>3839</v>
      </c>
      <c r="I1978" t="s">
        <v>3840</v>
      </c>
      <c r="J1978" t="s">
        <v>101</v>
      </c>
      <c r="K1978" t="s">
        <v>38</v>
      </c>
      <c r="M1978" t="b">
        <v>1</v>
      </c>
      <c r="N1978" t="s">
        <v>419</v>
      </c>
      <c r="O1978" t="s">
        <v>33</v>
      </c>
      <c r="Q1978">
        <v>117.24</v>
      </c>
      <c r="R1978">
        <v>7.5</v>
      </c>
      <c r="S1978" t="s">
        <v>44</v>
      </c>
      <c r="T1978">
        <v>88.2</v>
      </c>
      <c r="V1978">
        <v>101.8</v>
      </c>
      <c r="W1978">
        <v>78.5</v>
      </c>
      <c r="X1978">
        <v>9.6</v>
      </c>
      <c r="Y1978">
        <v>36.6</v>
      </c>
      <c r="Z1978">
        <v>328239523</v>
      </c>
      <c r="AA1978">
        <v>37.090240000000001</v>
      </c>
      <c r="AB1978">
        <v>-95.712890999999999</v>
      </c>
    </row>
    <row r="1979" spans="1:28" hidden="1">
      <c r="A1979">
        <v>1905</v>
      </c>
      <c r="B1979">
        <v>1500</v>
      </c>
      <c r="C1979" t="s">
        <v>101</v>
      </c>
      <c r="D1979" t="s">
        <v>3841</v>
      </c>
      <c r="E1979">
        <v>66</v>
      </c>
      <c r="G1979" t="s">
        <v>38</v>
      </c>
      <c r="H1979" t="s">
        <v>257</v>
      </c>
      <c r="I1979" t="s">
        <v>3842</v>
      </c>
      <c r="J1979" t="s">
        <v>101</v>
      </c>
      <c r="K1979" t="s">
        <v>38</v>
      </c>
      <c r="M1979" t="b">
        <v>0</v>
      </c>
      <c r="N1979" t="s">
        <v>32</v>
      </c>
      <c r="O1979" t="s">
        <v>33</v>
      </c>
      <c r="Q1979">
        <v>117.24</v>
      </c>
      <c r="R1979">
        <v>7.5</v>
      </c>
      <c r="S1979" t="s">
        <v>44</v>
      </c>
      <c r="T1979">
        <v>88.2</v>
      </c>
      <c r="V1979">
        <v>101.8</v>
      </c>
      <c r="W1979">
        <v>78.5</v>
      </c>
      <c r="X1979">
        <v>9.6</v>
      </c>
      <c r="Y1979">
        <v>36.6</v>
      </c>
      <c r="Z1979">
        <v>328239523</v>
      </c>
      <c r="AA1979">
        <v>37.090240000000001</v>
      </c>
      <c r="AB1979">
        <v>-95.712890999999999</v>
      </c>
    </row>
    <row r="1980" spans="1:28" hidden="1">
      <c r="A1980">
        <v>1905</v>
      </c>
      <c r="B1980">
        <v>1500</v>
      </c>
      <c r="C1980" t="s">
        <v>221</v>
      </c>
      <c r="D1980" t="s">
        <v>3843</v>
      </c>
      <c r="E1980">
        <v>39</v>
      </c>
      <c r="G1980" t="s">
        <v>395</v>
      </c>
      <c r="H1980" t="s">
        <v>395</v>
      </c>
      <c r="I1980" t="s">
        <v>3788</v>
      </c>
      <c r="J1980" t="s">
        <v>221</v>
      </c>
      <c r="K1980" t="s">
        <v>395</v>
      </c>
      <c r="M1980" t="b">
        <v>0</v>
      </c>
      <c r="N1980" t="s">
        <v>212</v>
      </c>
      <c r="O1980" t="s">
        <v>33</v>
      </c>
      <c r="Q1980">
        <v>114.41</v>
      </c>
      <c r="R1980">
        <v>0.6</v>
      </c>
      <c r="S1980" t="s">
        <v>451</v>
      </c>
      <c r="T1980">
        <v>84.8</v>
      </c>
      <c r="V1980">
        <v>100.6</v>
      </c>
      <c r="W1980">
        <v>83.1</v>
      </c>
      <c r="X1980">
        <v>13.1</v>
      </c>
      <c r="Y1980">
        <v>21</v>
      </c>
      <c r="Z1980">
        <v>5703569</v>
      </c>
      <c r="AA1980">
        <v>1.3520829999999999</v>
      </c>
      <c r="AB1980">
        <v>103.819836</v>
      </c>
    </row>
    <row r="1981" spans="1:28" hidden="1">
      <c r="A1981">
        <v>1905</v>
      </c>
      <c r="B1981">
        <v>1500</v>
      </c>
      <c r="C1981" t="s">
        <v>54</v>
      </c>
      <c r="D1981" t="s">
        <v>3844</v>
      </c>
      <c r="E1981">
        <v>63</v>
      </c>
      <c r="G1981" t="s">
        <v>3830</v>
      </c>
      <c r="H1981" t="s">
        <v>3845</v>
      </c>
      <c r="I1981" t="s">
        <v>1152</v>
      </c>
      <c r="J1981" t="s">
        <v>54</v>
      </c>
      <c r="K1981" t="s">
        <v>3830</v>
      </c>
      <c r="M1981" t="b">
        <v>0</v>
      </c>
      <c r="N1981" t="s">
        <v>212</v>
      </c>
      <c r="O1981" t="s">
        <v>33</v>
      </c>
      <c r="Q1981">
        <v>129.78</v>
      </c>
      <c r="R1981">
        <v>2.1</v>
      </c>
      <c r="S1981" t="s">
        <v>3846</v>
      </c>
      <c r="T1981">
        <v>70.7</v>
      </c>
      <c r="V1981">
        <v>106.9</v>
      </c>
      <c r="W1981">
        <v>76.5</v>
      </c>
      <c r="X1981">
        <v>14.3</v>
      </c>
      <c r="Y1981">
        <v>36.799999999999997</v>
      </c>
      <c r="Z1981">
        <v>32510453</v>
      </c>
      <c r="AA1981">
        <v>-9.1899669999999993</v>
      </c>
      <c r="AB1981">
        <v>-75.015152</v>
      </c>
    </row>
    <row r="1982" spans="1:28">
      <c r="A1982">
        <v>1905</v>
      </c>
      <c r="B1982">
        <v>1500</v>
      </c>
      <c r="C1982" t="s">
        <v>54</v>
      </c>
      <c r="D1982" t="s">
        <v>3847</v>
      </c>
      <c r="E1982">
        <v>52</v>
      </c>
      <c r="F1982" t="str">
        <f>IF(E1982&gt;=90,"90-100",IF(E1982&gt;=80,"80-90",IF(E1982&gt;=70,"70-80",IF(E1982&gt;=60,"60-70",IF(E1982&gt;=50,"50-60",IF(E1982&gt;=40,"40-50",IF(E1982&gt;=30,"30-40","20-30")))))))</f>
        <v>50-60</v>
      </c>
      <c r="G1982" t="s">
        <v>203</v>
      </c>
      <c r="H1982" t="s">
        <v>204</v>
      </c>
      <c r="I1982" t="s">
        <v>961</v>
      </c>
      <c r="J1982" t="s">
        <v>54</v>
      </c>
      <c r="K1982" t="s">
        <v>203</v>
      </c>
      <c r="L1982" t="s">
        <v>3848</v>
      </c>
      <c r="M1982" t="b">
        <v>1</v>
      </c>
      <c r="N1982" t="s">
        <v>419</v>
      </c>
      <c r="O1982" t="s">
        <v>4867</v>
      </c>
      <c r="P1982" t="s">
        <v>3849</v>
      </c>
      <c r="Q1982">
        <v>119.62</v>
      </c>
      <c r="R1982">
        <v>1.7</v>
      </c>
      <c r="S1982" t="s">
        <v>206</v>
      </c>
      <c r="T1982">
        <v>60</v>
      </c>
      <c r="U1982" t="str">
        <f>IF(T1982&gt;=100,"above 100",IF(T1982&gt;=80,"80-100",IF(T1982&gt;=60,"60-80",IF(T1982&gt;=40,"40-60",IF(T1982&gt;=20,"20-60","0-20")))))</f>
        <v>60-80</v>
      </c>
      <c r="V1982">
        <v>101.2</v>
      </c>
      <c r="W1982">
        <v>81.3</v>
      </c>
      <c r="X1982">
        <v>25.5</v>
      </c>
      <c r="Y1982">
        <v>30.6</v>
      </c>
      <c r="Z1982">
        <v>66834405</v>
      </c>
      <c r="AA1982">
        <v>55.378050999999999</v>
      </c>
      <c r="AB1982">
        <v>-3.4359730000000002</v>
      </c>
    </row>
    <row r="1983" spans="1:28" hidden="1">
      <c r="A1983">
        <v>1905</v>
      </c>
      <c r="B1983">
        <v>1500</v>
      </c>
      <c r="C1983" t="s">
        <v>308</v>
      </c>
      <c r="D1983" t="s">
        <v>3850</v>
      </c>
      <c r="E1983">
        <v>56</v>
      </c>
      <c r="G1983" t="s">
        <v>38</v>
      </c>
      <c r="H1983" t="s">
        <v>1586</v>
      </c>
      <c r="I1983" t="s">
        <v>3851</v>
      </c>
      <c r="J1983" t="s">
        <v>308</v>
      </c>
      <c r="K1983" t="s">
        <v>38</v>
      </c>
      <c r="M1983" t="b">
        <v>1</v>
      </c>
      <c r="N1983" t="s">
        <v>192</v>
      </c>
      <c r="O1983" t="s">
        <v>33</v>
      </c>
      <c r="Q1983">
        <v>117.24</v>
      </c>
      <c r="R1983">
        <v>7.5</v>
      </c>
      <c r="S1983" t="s">
        <v>44</v>
      </c>
      <c r="T1983">
        <v>88.2</v>
      </c>
      <c r="V1983">
        <v>101.8</v>
      </c>
      <c r="W1983">
        <v>78.5</v>
      </c>
      <c r="X1983">
        <v>9.6</v>
      </c>
      <c r="Y1983">
        <v>36.6</v>
      </c>
      <c r="Z1983">
        <v>328239523</v>
      </c>
      <c r="AA1983">
        <v>37.090240000000001</v>
      </c>
      <c r="AB1983">
        <v>-95.712890999999999</v>
      </c>
    </row>
    <row r="1984" spans="1:28">
      <c r="A1984">
        <v>1905</v>
      </c>
      <c r="B1984">
        <v>1500</v>
      </c>
      <c r="C1984" t="s">
        <v>45</v>
      </c>
      <c r="D1984" t="s">
        <v>3852</v>
      </c>
      <c r="E1984">
        <v>53</v>
      </c>
      <c r="F1984" t="str">
        <f>IF(E1984&gt;=90,"90-100",IF(E1984&gt;=80,"80-90",IF(E1984&gt;=70,"70-80",IF(E1984&gt;=60,"60-70",IF(E1984&gt;=50,"50-60",IF(E1984&gt;=40,"40-50",IF(E1984&gt;=30,"30-40","20-30")))))))</f>
        <v>50-60</v>
      </c>
      <c r="G1984" t="s">
        <v>38</v>
      </c>
      <c r="H1984" t="s">
        <v>2904</v>
      </c>
      <c r="I1984" t="s">
        <v>108</v>
      </c>
      <c r="J1984" t="s">
        <v>45</v>
      </c>
      <c r="K1984" t="s">
        <v>38</v>
      </c>
      <c r="L1984" t="s">
        <v>109</v>
      </c>
      <c r="M1984" t="b">
        <v>1</v>
      </c>
      <c r="N1984" t="s">
        <v>42</v>
      </c>
      <c r="O1984" t="s">
        <v>4866</v>
      </c>
      <c r="P1984" t="s">
        <v>1032</v>
      </c>
      <c r="Q1984">
        <v>117.24</v>
      </c>
      <c r="R1984">
        <v>7.5</v>
      </c>
      <c r="S1984" t="s">
        <v>44</v>
      </c>
      <c r="T1984">
        <v>88.2</v>
      </c>
      <c r="U1984" t="str">
        <f>IF(T1984&gt;=100,"above 100",IF(T1984&gt;=80,"80-100",IF(T1984&gt;=60,"60-80",IF(T1984&gt;=40,"40-60",IF(T1984&gt;=20,"20-60","0-20")))))</f>
        <v>80-100</v>
      </c>
      <c r="V1984">
        <v>101.8</v>
      </c>
      <c r="W1984">
        <v>78.5</v>
      </c>
      <c r="X1984">
        <v>9.6</v>
      </c>
      <c r="Y1984">
        <v>36.6</v>
      </c>
      <c r="Z1984">
        <v>328239523</v>
      </c>
      <c r="AA1984">
        <v>37.090240000000001</v>
      </c>
      <c r="AB1984">
        <v>-95.712890999999999</v>
      </c>
    </row>
    <row r="1985" spans="1:28" hidden="1">
      <c r="A1985">
        <v>1905</v>
      </c>
      <c r="B1985">
        <v>1500</v>
      </c>
      <c r="C1985" t="s">
        <v>36</v>
      </c>
      <c r="D1985" t="s">
        <v>3853</v>
      </c>
      <c r="E1985">
        <v>62</v>
      </c>
      <c r="G1985" t="s">
        <v>342</v>
      </c>
      <c r="H1985" t="s">
        <v>3854</v>
      </c>
      <c r="I1985" t="s">
        <v>3855</v>
      </c>
      <c r="J1985" t="s">
        <v>36</v>
      </c>
      <c r="K1985" t="s">
        <v>342</v>
      </c>
      <c r="M1985" t="b">
        <v>1</v>
      </c>
      <c r="N1985" t="s">
        <v>419</v>
      </c>
      <c r="O1985" t="s">
        <v>33</v>
      </c>
      <c r="Q1985">
        <v>108.15</v>
      </c>
      <c r="R1985">
        <v>0.8</v>
      </c>
      <c r="S1985" t="s">
        <v>532</v>
      </c>
      <c r="T1985">
        <v>63.4</v>
      </c>
      <c r="V1985">
        <v>104.9</v>
      </c>
      <c r="W1985">
        <v>82.8</v>
      </c>
      <c r="X1985">
        <v>23.1</v>
      </c>
      <c r="Y1985">
        <v>25.3</v>
      </c>
      <c r="Z1985">
        <v>9053300</v>
      </c>
      <c r="AA1985">
        <v>31.046050999999999</v>
      </c>
      <c r="AB1985">
        <v>34.851612000000003</v>
      </c>
    </row>
    <row r="1986" spans="1:28">
      <c r="A1986">
        <v>1905</v>
      </c>
      <c r="B1986">
        <v>1500</v>
      </c>
      <c r="C1986" t="s">
        <v>63</v>
      </c>
      <c r="D1986" t="s">
        <v>3856</v>
      </c>
      <c r="E1986">
        <v>40</v>
      </c>
      <c r="F1986" t="str">
        <f>IF(E1986&gt;=90,"90-100",IF(E1986&gt;=80,"80-90",IF(E1986&gt;=70,"70-80",IF(E1986&gt;=60,"60-70",IF(E1986&gt;=50,"50-60",IF(E1986&gt;=40,"40-50",IF(E1986&gt;=30,"30-40","20-30")))))))</f>
        <v>40-50</v>
      </c>
      <c r="G1986" t="s">
        <v>38</v>
      </c>
      <c r="H1986" t="s">
        <v>652</v>
      </c>
      <c r="I1986" t="s">
        <v>3857</v>
      </c>
      <c r="J1986" t="s">
        <v>63</v>
      </c>
      <c r="K1986" t="s">
        <v>38</v>
      </c>
      <c r="L1986" t="s">
        <v>3858</v>
      </c>
      <c r="M1986" t="b">
        <v>1</v>
      </c>
      <c r="N1986" t="s">
        <v>32</v>
      </c>
      <c r="O1986" t="s">
        <v>4867</v>
      </c>
      <c r="P1986" t="s">
        <v>110</v>
      </c>
      <c r="Q1986">
        <v>117.24</v>
      </c>
      <c r="R1986">
        <v>7.5</v>
      </c>
      <c r="S1986" t="s">
        <v>44</v>
      </c>
      <c r="T1986">
        <v>88.2</v>
      </c>
      <c r="U1986" t="str">
        <f>IF(T1986&gt;=100,"above 100",IF(T1986&gt;=80,"80-100",IF(T1986&gt;=60,"60-80",IF(T1986&gt;=40,"40-60",IF(T1986&gt;=20,"20-60","0-20")))))</f>
        <v>80-100</v>
      </c>
      <c r="V1986">
        <v>101.8</v>
      </c>
      <c r="W1986">
        <v>78.5</v>
      </c>
      <c r="X1986">
        <v>9.6</v>
      </c>
      <c r="Y1986">
        <v>36.6</v>
      </c>
      <c r="Z1986">
        <v>328239523</v>
      </c>
      <c r="AA1986">
        <v>37.090240000000001</v>
      </c>
      <c r="AB1986">
        <v>-95.712890999999999</v>
      </c>
    </row>
    <row r="1987" spans="1:28" hidden="1">
      <c r="A1987">
        <v>1905</v>
      </c>
      <c r="B1987">
        <v>1500</v>
      </c>
      <c r="C1987" t="s">
        <v>26</v>
      </c>
      <c r="D1987" t="s">
        <v>3859</v>
      </c>
      <c r="E1987">
        <v>64</v>
      </c>
      <c r="G1987" t="s">
        <v>395</v>
      </c>
      <c r="H1987" t="s">
        <v>395</v>
      </c>
      <c r="I1987" t="s">
        <v>3860</v>
      </c>
      <c r="J1987" t="s">
        <v>26</v>
      </c>
      <c r="K1987" t="s">
        <v>395</v>
      </c>
      <c r="M1987" t="b">
        <v>1</v>
      </c>
      <c r="N1987" t="s">
        <v>32</v>
      </c>
      <c r="O1987" t="s">
        <v>33</v>
      </c>
      <c r="Q1987">
        <v>114.41</v>
      </c>
      <c r="R1987">
        <v>0.6</v>
      </c>
      <c r="S1987" t="s">
        <v>451</v>
      </c>
      <c r="T1987">
        <v>84.8</v>
      </c>
      <c r="V1987">
        <v>100.6</v>
      </c>
      <c r="W1987">
        <v>83.1</v>
      </c>
      <c r="X1987">
        <v>13.1</v>
      </c>
      <c r="Y1987">
        <v>21</v>
      </c>
      <c r="Z1987">
        <v>5703569</v>
      </c>
      <c r="AA1987">
        <v>1.3520829999999999</v>
      </c>
      <c r="AB1987">
        <v>103.819836</v>
      </c>
    </row>
    <row r="1988" spans="1:28" hidden="1">
      <c r="A1988">
        <v>1905</v>
      </c>
      <c r="B1988">
        <v>1500</v>
      </c>
      <c r="C1988" t="s">
        <v>54</v>
      </c>
      <c r="D1988" t="s">
        <v>3861</v>
      </c>
      <c r="E1988">
        <v>73</v>
      </c>
      <c r="G1988" t="s">
        <v>263</v>
      </c>
      <c r="H1988" t="s">
        <v>274</v>
      </c>
      <c r="I1988" t="s">
        <v>231</v>
      </c>
      <c r="J1988" t="s">
        <v>54</v>
      </c>
      <c r="K1988" t="s">
        <v>263</v>
      </c>
      <c r="M1988" t="b">
        <v>1</v>
      </c>
      <c r="N1988" t="s">
        <v>853</v>
      </c>
      <c r="O1988" t="s">
        <v>33</v>
      </c>
      <c r="Q1988">
        <v>180.75</v>
      </c>
      <c r="R1988">
        <v>4.5</v>
      </c>
      <c r="S1988" t="s">
        <v>276</v>
      </c>
      <c r="T1988">
        <v>81.900000000000006</v>
      </c>
      <c r="V1988">
        <v>102.6</v>
      </c>
      <c r="W1988">
        <v>72.7</v>
      </c>
      <c r="X1988">
        <v>11.4</v>
      </c>
      <c r="Y1988">
        <v>46.2</v>
      </c>
      <c r="Z1988">
        <v>144373535</v>
      </c>
      <c r="AA1988">
        <v>61.524009999999997</v>
      </c>
      <c r="AB1988">
        <v>105.31875599999999</v>
      </c>
    </row>
    <row r="1989" spans="1:28" hidden="1">
      <c r="A1989">
        <v>1905</v>
      </c>
      <c r="B1989">
        <v>1500</v>
      </c>
      <c r="C1989" t="s">
        <v>288</v>
      </c>
      <c r="D1989" t="s">
        <v>3862</v>
      </c>
      <c r="E1989">
        <v>82</v>
      </c>
      <c r="G1989" t="s">
        <v>77</v>
      </c>
      <c r="H1989" t="s">
        <v>78</v>
      </c>
      <c r="I1989" t="s">
        <v>418</v>
      </c>
      <c r="J1989" t="s">
        <v>288</v>
      </c>
      <c r="K1989" t="s">
        <v>77</v>
      </c>
      <c r="M1989" t="b">
        <v>1</v>
      </c>
      <c r="N1989" t="s">
        <v>42</v>
      </c>
      <c r="O1989" t="s">
        <v>33</v>
      </c>
      <c r="Q1989">
        <v>180.44</v>
      </c>
      <c r="R1989">
        <v>7.7</v>
      </c>
      <c r="S1989" t="s">
        <v>81</v>
      </c>
      <c r="T1989">
        <v>28.1</v>
      </c>
      <c r="V1989">
        <v>113</v>
      </c>
      <c r="W1989">
        <v>69.400000000000006</v>
      </c>
      <c r="X1989">
        <v>11.2</v>
      </c>
      <c r="Y1989">
        <v>49.7</v>
      </c>
      <c r="Z1989">
        <v>1366417754</v>
      </c>
      <c r="AA1989">
        <v>20.593684</v>
      </c>
      <c r="AB1989">
        <v>78.962879999999998</v>
      </c>
    </row>
    <row r="1990" spans="1:28" hidden="1">
      <c r="A1990">
        <v>1905</v>
      </c>
      <c r="B1990">
        <v>1500</v>
      </c>
      <c r="C1990" t="s">
        <v>45</v>
      </c>
      <c r="D1990" t="s">
        <v>3863</v>
      </c>
      <c r="E1990">
        <v>64</v>
      </c>
      <c r="G1990" t="s">
        <v>38</v>
      </c>
      <c r="H1990" t="s">
        <v>1909</v>
      </c>
      <c r="I1990" t="s">
        <v>572</v>
      </c>
      <c r="J1990" t="s">
        <v>45</v>
      </c>
      <c r="K1990" t="s">
        <v>38</v>
      </c>
      <c r="M1990" t="b">
        <v>1</v>
      </c>
      <c r="N1990" t="s">
        <v>42</v>
      </c>
      <c r="O1990" t="s">
        <v>33</v>
      </c>
      <c r="Q1990">
        <v>117.24</v>
      </c>
      <c r="R1990">
        <v>7.5</v>
      </c>
      <c r="S1990" t="s">
        <v>44</v>
      </c>
      <c r="T1990">
        <v>88.2</v>
      </c>
      <c r="V1990">
        <v>101.8</v>
      </c>
      <c r="W1990">
        <v>78.5</v>
      </c>
      <c r="X1990">
        <v>9.6</v>
      </c>
      <c r="Y1990">
        <v>36.6</v>
      </c>
      <c r="Z1990">
        <v>328239523</v>
      </c>
      <c r="AA1990">
        <v>37.090240000000001</v>
      </c>
      <c r="AB1990">
        <v>-95.712890999999999</v>
      </c>
    </row>
    <row r="1991" spans="1:28" hidden="1">
      <c r="A1991">
        <v>1905</v>
      </c>
      <c r="B1991">
        <v>1500</v>
      </c>
      <c r="C1991" t="s">
        <v>221</v>
      </c>
      <c r="D1991" t="s">
        <v>3864</v>
      </c>
      <c r="E1991">
        <v>79</v>
      </c>
      <c r="G1991" t="s">
        <v>238</v>
      </c>
      <c r="H1991" t="s">
        <v>3865</v>
      </c>
      <c r="I1991" t="s">
        <v>3866</v>
      </c>
      <c r="J1991" t="s">
        <v>221</v>
      </c>
      <c r="K1991" t="s">
        <v>238</v>
      </c>
      <c r="M1991" t="b">
        <v>1</v>
      </c>
      <c r="N1991" t="s">
        <v>32</v>
      </c>
      <c r="O1991" t="s">
        <v>33</v>
      </c>
      <c r="Q1991">
        <v>119.8</v>
      </c>
      <c r="R1991">
        <v>1.6</v>
      </c>
      <c r="S1991" t="s">
        <v>243</v>
      </c>
      <c r="T1991">
        <v>113.1</v>
      </c>
      <c r="V1991">
        <v>100.3</v>
      </c>
      <c r="W1991">
        <v>82.7</v>
      </c>
      <c r="X1991">
        <v>23</v>
      </c>
      <c r="Y1991">
        <v>47.4</v>
      </c>
      <c r="Z1991">
        <v>25766605</v>
      </c>
      <c r="AA1991">
        <v>-25.274398000000001</v>
      </c>
      <c r="AB1991">
        <v>133.775136</v>
      </c>
    </row>
    <row r="1992" spans="1:28" hidden="1">
      <c r="A1992">
        <v>1905</v>
      </c>
      <c r="B1992">
        <v>1500</v>
      </c>
      <c r="C1992" t="s">
        <v>221</v>
      </c>
      <c r="D1992" t="s">
        <v>3867</v>
      </c>
      <c r="E1992">
        <v>72</v>
      </c>
      <c r="G1992" t="s">
        <v>38</v>
      </c>
      <c r="H1992" t="s">
        <v>3868</v>
      </c>
      <c r="I1992" t="s">
        <v>223</v>
      </c>
      <c r="J1992" t="s">
        <v>221</v>
      </c>
      <c r="K1992" t="s">
        <v>38</v>
      </c>
      <c r="M1992" t="b">
        <v>1</v>
      </c>
      <c r="N1992" t="s">
        <v>32</v>
      </c>
      <c r="O1992" t="s">
        <v>33</v>
      </c>
      <c r="Q1992">
        <v>117.24</v>
      </c>
      <c r="R1992">
        <v>7.5</v>
      </c>
      <c r="S1992" t="s">
        <v>44</v>
      </c>
      <c r="T1992">
        <v>88.2</v>
      </c>
      <c r="V1992">
        <v>101.8</v>
      </c>
      <c r="W1992">
        <v>78.5</v>
      </c>
      <c r="X1992">
        <v>9.6</v>
      </c>
      <c r="Y1992">
        <v>36.6</v>
      </c>
      <c r="Z1992">
        <v>328239523</v>
      </c>
      <c r="AA1992">
        <v>37.090240000000001</v>
      </c>
      <c r="AB1992">
        <v>-95.712890999999999</v>
      </c>
    </row>
    <row r="1993" spans="1:28" hidden="1">
      <c r="A1993">
        <v>1905</v>
      </c>
      <c r="B1993">
        <v>1500</v>
      </c>
      <c r="C1993" t="s">
        <v>54</v>
      </c>
      <c r="D1993" t="s">
        <v>3869</v>
      </c>
      <c r="E1993">
        <v>65</v>
      </c>
      <c r="G1993" t="s">
        <v>38</v>
      </c>
      <c r="H1993" t="s">
        <v>652</v>
      </c>
      <c r="I1993" t="s">
        <v>185</v>
      </c>
      <c r="J1993" t="s">
        <v>54</v>
      </c>
      <c r="K1993" t="s">
        <v>38</v>
      </c>
      <c r="M1993" t="b">
        <v>1</v>
      </c>
      <c r="N1993" t="s">
        <v>419</v>
      </c>
      <c r="O1993" t="s">
        <v>33</v>
      </c>
      <c r="Q1993">
        <v>117.24</v>
      </c>
      <c r="R1993">
        <v>7.5</v>
      </c>
      <c r="S1993" t="s">
        <v>44</v>
      </c>
      <c r="T1993">
        <v>88.2</v>
      </c>
      <c r="V1993">
        <v>101.8</v>
      </c>
      <c r="W1993">
        <v>78.5</v>
      </c>
      <c r="X1993">
        <v>9.6</v>
      </c>
      <c r="Y1993">
        <v>36.6</v>
      </c>
      <c r="Z1993">
        <v>328239523</v>
      </c>
      <c r="AA1993">
        <v>37.090240000000001</v>
      </c>
      <c r="AB1993">
        <v>-95.712890999999999</v>
      </c>
    </row>
    <row r="1994" spans="1:28" hidden="1">
      <c r="A1994">
        <v>1905</v>
      </c>
      <c r="B1994">
        <v>1500</v>
      </c>
      <c r="C1994" t="s">
        <v>26</v>
      </c>
      <c r="D1994" t="s">
        <v>3870</v>
      </c>
      <c r="E1994">
        <v>56</v>
      </c>
      <c r="G1994" t="s">
        <v>263</v>
      </c>
      <c r="H1994" t="s">
        <v>274</v>
      </c>
      <c r="I1994" t="s">
        <v>3871</v>
      </c>
      <c r="J1994" t="s">
        <v>26</v>
      </c>
      <c r="K1994" t="s">
        <v>263</v>
      </c>
      <c r="M1994" t="b">
        <v>1</v>
      </c>
      <c r="N1994" t="s">
        <v>853</v>
      </c>
      <c r="O1994" t="s">
        <v>33</v>
      </c>
      <c r="Q1994">
        <v>180.75</v>
      </c>
      <c r="R1994">
        <v>4.5</v>
      </c>
      <c r="S1994" t="s">
        <v>276</v>
      </c>
      <c r="T1994">
        <v>81.900000000000006</v>
      </c>
      <c r="V1994">
        <v>102.6</v>
      </c>
      <c r="W1994">
        <v>72.7</v>
      </c>
      <c r="X1994">
        <v>11.4</v>
      </c>
      <c r="Y1994">
        <v>46.2</v>
      </c>
      <c r="Z1994">
        <v>144373535</v>
      </c>
      <c r="AA1994">
        <v>61.524009999999997</v>
      </c>
      <c r="AB1994">
        <v>105.31875599999999</v>
      </c>
    </row>
    <row r="1995" spans="1:28" hidden="1">
      <c r="A1995">
        <v>1905</v>
      </c>
      <c r="B1995">
        <v>1500</v>
      </c>
      <c r="C1995" t="s">
        <v>221</v>
      </c>
      <c r="D1995" t="s">
        <v>3872</v>
      </c>
      <c r="E1995">
        <v>74</v>
      </c>
      <c r="G1995" t="s">
        <v>103</v>
      </c>
      <c r="H1995" t="s">
        <v>2523</v>
      </c>
      <c r="I1995" t="s">
        <v>3873</v>
      </c>
      <c r="J1995" t="s">
        <v>221</v>
      </c>
      <c r="K1995" t="s">
        <v>103</v>
      </c>
      <c r="M1995" t="b">
        <v>1</v>
      </c>
      <c r="N1995" t="s">
        <v>42</v>
      </c>
      <c r="O1995" t="s">
        <v>88</v>
      </c>
      <c r="Q1995">
        <v>125.08</v>
      </c>
      <c r="R1995">
        <v>2.9</v>
      </c>
      <c r="S1995" t="s">
        <v>106</v>
      </c>
      <c r="T1995">
        <v>50.6</v>
      </c>
      <c r="V1995">
        <v>100.2</v>
      </c>
      <c r="W1995">
        <v>77</v>
      </c>
      <c r="X1995">
        <v>9.4</v>
      </c>
      <c r="Y1995">
        <v>59.2</v>
      </c>
      <c r="Z1995">
        <v>1397715000</v>
      </c>
      <c r="AA1995">
        <v>35.861660000000001</v>
      </c>
      <c r="AB1995">
        <v>104.195397</v>
      </c>
    </row>
    <row r="1996" spans="1:28">
      <c r="A1996">
        <v>1905</v>
      </c>
      <c r="B1996">
        <v>1500</v>
      </c>
      <c r="C1996" t="s">
        <v>45</v>
      </c>
      <c r="D1996" t="s">
        <v>3874</v>
      </c>
      <c r="E1996">
        <v>39</v>
      </c>
      <c r="F1996" t="str">
        <f>IF(E1996&gt;=90,"90-100",IF(E1996&gt;=80,"80-90",IF(E1996&gt;=70,"70-80",IF(E1996&gt;=60,"60-70",IF(E1996&gt;=50,"50-60",IF(E1996&gt;=40,"40-50",IF(E1996&gt;=30,"30-40","20-30")))))))</f>
        <v>30-40</v>
      </c>
      <c r="G1996" t="s">
        <v>38</v>
      </c>
      <c r="H1996" t="s">
        <v>652</v>
      </c>
      <c r="I1996" t="s">
        <v>3875</v>
      </c>
      <c r="J1996" t="s">
        <v>45</v>
      </c>
      <c r="K1996" t="s">
        <v>38</v>
      </c>
      <c r="L1996" t="s">
        <v>3875</v>
      </c>
      <c r="M1996" t="b">
        <v>1</v>
      </c>
      <c r="N1996" t="s">
        <v>419</v>
      </c>
      <c r="O1996" t="s">
        <v>4867</v>
      </c>
      <c r="P1996" t="s">
        <v>110</v>
      </c>
      <c r="Q1996">
        <v>117.24</v>
      </c>
      <c r="R1996">
        <v>7.5</v>
      </c>
      <c r="S1996" t="s">
        <v>44</v>
      </c>
      <c r="T1996">
        <v>88.2</v>
      </c>
      <c r="U1996" t="str">
        <f>IF(T1996&gt;=100,"above 100",IF(T1996&gt;=80,"80-100",IF(T1996&gt;=60,"60-80",IF(T1996&gt;=40,"40-60",IF(T1996&gt;=20,"20-60","0-20")))))</f>
        <v>80-100</v>
      </c>
      <c r="V1996">
        <v>101.8</v>
      </c>
      <c r="W1996">
        <v>78.5</v>
      </c>
      <c r="X1996">
        <v>9.6</v>
      </c>
      <c r="Y1996">
        <v>36.6</v>
      </c>
      <c r="Z1996">
        <v>328239523</v>
      </c>
      <c r="AA1996">
        <v>37.090240000000001</v>
      </c>
      <c r="AB1996">
        <v>-95.712890999999999</v>
      </c>
    </row>
    <row r="1997" spans="1:28" hidden="1">
      <c r="A1997">
        <v>1905</v>
      </c>
      <c r="B1997">
        <v>1500</v>
      </c>
      <c r="C1997" t="s">
        <v>101</v>
      </c>
      <c r="D1997" t="s">
        <v>3876</v>
      </c>
      <c r="G1997" t="s">
        <v>103</v>
      </c>
      <c r="H1997" t="s">
        <v>489</v>
      </c>
      <c r="I1997" t="s">
        <v>3877</v>
      </c>
      <c r="J1997" t="s">
        <v>101</v>
      </c>
      <c r="K1997" t="s">
        <v>103</v>
      </c>
      <c r="M1997" t="b">
        <v>1</v>
      </c>
      <c r="N1997" t="s">
        <v>42</v>
      </c>
      <c r="O1997" t="s">
        <v>88</v>
      </c>
      <c r="Q1997">
        <v>125.08</v>
      </c>
      <c r="R1997">
        <v>2.9</v>
      </c>
      <c r="S1997" t="s">
        <v>106</v>
      </c>
      <c r="T1997">
        <v>50.6</v>
      </c>
      <c r="V1997">
        <v>100.2</v>
      </c>
      <c r="W1997">
        <v>77</v>
      </c>
      <c r="X1997">
        <v>9.4</v>
      </c>
      <c r="Y1997">
        <v>59.2</v>
      </c>
      <c r="Z1997">
        <v>1397715000</v>
      </c>
      <c r="AA1997">
        <v>35.861660000000001</v>
      </c>
      <c r="AB1997">
        <v>104.195397</v>
      </c>
    </row>
    <row r="1998" spans="1:28" hidden="1">
      <c r="A1998">
        <v>1905</v>
      </c>
      <c r="B1998">
        <v>1500</v>
      </c>
      <c r="C1998" t="s">
        <v>101</v>
      </c>
      <c r="D1998" t="s">
        <v>3878</v>
      </c>
      <c r="E1998">
        <v>40</v>
      </c>
      <c r="G1998" t="s">
        <v>103</v>
      </c>
      <c r="H1998" t="s">
        <v>143</v>
      </c>
      <c r="I1998" t="s">
        <v>913</v>
      </c>
      <c r="J1998" t="s">
        <v>101</v>
      </c>
      <c r="K1998" t="s">
        <v>103</v>
      </c>
      <c r="M1998" t="b">
        <v>1</v>
      </c>
      <c r="N1998" t="s">
        <v>419</v>
      </c>
      <c r="O1998" t="s">
        <v>33</v>
      </c>
      <c r="Q1998">
        <v>125.08</v>
      </c>
      <c r="R1998">
        <v>2.9</v>
      </c>
      <c r="S1998" t="s">
        <v>106</v>
      </c>
      <c r="T1998">
        <v>50.6</v>
      </c>
      <c r="V1998">
        <v>100.2</v>
      </c>
      <c r="W1998">
        <v>77</v>
      </c>
      <c r="X1998">
        <v>9.4</v>
      </c>
      <c r="Y1998">
        <v>59.2</v>
      </c>
      <c r="Z1998">
        <v>1397715000</v>
      </c>
      <c r="AA1998">
        <v>35.861660000000001</v>
      </c>
      <c r="AB1998">
        <v>104.195397</v>
      </c>
    </row>
    <row r="1999" spans="1:28" hidden="1">
      <c r="A1999">
        <v>1905</v>
      </c>
      <c r="B1999">
        <v>1500</v>
      </c>
      <c r="C1999" t="s">
        <v>45</v>
      </c>
      <c r="D1999" t="s">
        <v>3879</v>
      </c>
      <c r="G1999" t="s">
        <v>103</v>
      </c>
      <c r="H1999" t="s">
        <v>215</v>
      </c>
      <c r="I1999" t="s">
        <v>312</v>
      </c>
      <c r="J1999" t="s">
        <v>45</v>
      </c>
      <c r="K1999" t="s">
        <v>103</v>
      </c>
      <c r="M1999" t="b">
        <v>1</v>
      </c>
      <c r="N1999" t="s">
        <v>192</v>
      </c>
      <c r="O1999" t="s">
        <v>33</v>
      </c>
      <c r="Q1999">
        <v>125.08</v>
      </c>
      <c r="R1999">
        <v>2.9</v>
      </c>
      <c r="S1999" t="s">
        <v>106</v>
      </c>
      <c r="T1999">
        <v>50.6</v>
      </c>
      <c r="V1999">
        <v>100.2</v>
      </c>
      <c r="W1999">
        <v>77</v>
      </c>
      <c r="X1999">
        <v>9.4</v>
      </c>
      <c r="Y1999">
        <v>59.2</v>
      </c>
      <c r="Z1999">
        <v>1397715000</v>
      </c>
      <c r="AA1999">
        <v>35.861660000000001</v>
      </c>
      <c r="AB1999">
        <v>104.195397</v>
      </c>
    </row>
    <row r="2000" spans="1:28" hidden="1">
      <c r="A2000">
        <v>1905</v>
      </c>
      <c r="B2000">
        <v>1500</v>
      </c>
      <c r="C2000" t="s">
        <v>217</v>
      </c>
      <c r="D2000" t="s">
        <v>3880</v>
      </c>
      <c r="E2000">
        <v>79</v>
      </c>
      <c r="G2000" t="s">
        <v>429</v>
      </c>
      <c r="H2000" t="s">
        <v>430</v>
      </c>
      <c r="I2000" t="s">
        <v>450</v>
      </c>
      <c r="J2000" t="s">
        <v>217</v>
      </c>
      <c r="K2000" t="s">
        <v>429</v>
      </c>
      <c r="M2000" t="b">
        <v>1</v>
      </c>
      <c r="N2000" t="s">
        <v>32</v>
      </c>
      <c r="O2000" t="s">
        <v>33</v>
      </c>
      <c r="Q2000">
        <v>113.27</v>
      </c>
      <c r="R2000">
        <v>0.7</v>
      </c>
      <c r="S2000" t="s">
        <v>431</v>
      </c>
      <c r="T2000">
        <v>49.3</v>
      </c>
      <c r="V2000">
        <v>99.8</v>
      </c>
      <c r="W2000">
        <v>76.900000000000006</v>
      </c>
      <c r="X2000">
        <v>14.9</v>
      </c>
      <c r="Y2000">
        <v>29.5</v>
      </c>
      <c r="Z2000">
        <v>69625582</v>
      </c>
      <c r="AA2000">
        <v>15.870032</v>
      </c>
      <c r="AB2000">
        <v>100.992541</v>
      </c>
    </row>
    <row r="2001" spans="1:28">
      <c r="A2001">
        <v>1905</v>
      </c>
      <c r="B2001">
        <v>1500</v>
      </c>
      <c r="C2001" t="s">
        <v>288</v>
      </c>
      <c r="D2001" t="s">
        <v>3881</v>
      </c>
      <c r="E2001">
        <v>50</v>
      </c>
      <c r="F2001" t="str">
        <f>IF(E2001&gt;=90,"90-100",IF(E2001&gt;=80,"80-90",IF(E2001&gt;=70,"70-80",IF(E2001&gt;=60,"60-70",IF(E2001&gt;=50,"50-60",IF(E2001&gt;=40,"40-50",IF(E2001&gt;=30,"30-40","20-30")))))))</f>
        <v>50-60</v>
      </c>
      <c r="G2001" t="s">
        <v>38</v>
      </c>
      <c r="H2001" t="s">
        <v>90</v>
      </c>
      <c r="I2001" t="s">
        <v>3882</v>
      </c>
      <c r="J2001" t="s">
        <v>288</v>
      </c>
      <c r="K2001" t="s">
        <v>38</v>
      </c>
      <c r="L2001" t="s">
        <v>3883</v>
      </c>
      <c r="M2001" t="b">
        <v>1</v>
      </c>
      <c r="N2001" t="s">
        <v>42</v>
      </c>
      <c r="O2001" t="s">
        <v>4867</v>
      </c>
      <c r="P2001" t="s">
        <v>43</v>
      </c>
      <c r="Q2001">
        <v>117.24</v>
      </c>
      <c r="R2001">
        <v>7.5</v>
      </c>
      <c r="S2001" t="s">
        <v>44</v>
      </c>
      <c r="T2001">
        <v>88.2</v>
      </c>
      <c r="U2001" t="str">
        <f>IF(T2001&gt;=100,"above 100",IF(T2001&gt;=80,"80-100",IF(T2001&gt;=60,"60-80",IF(T2001&gt;=40,"40-60",IF(T2001&gt;=20,"20-60","0-20")))))</f>
        <v>80-100</v>
      </c>
      <c r="V2001">
        <v>101.8</v>
      </c>
      <c r="W2001">
        <v>78.5</v>
      </c>
      <c r="X2001">
        <v>9.6</v>
      </c>
      <c r="Y2001">
        <v>36.6</v>
      </c>
      <c r="Z2001">
        <v>328239523</v>
      </c>
      <c r="AA2001">
        <v>37.090240000000001</v>
      </c>
      <c r="AB2001">
        <v>-95.712890999999999</v>
      </c>
    </row>
    <row r="2002" spans="1:28" hidden="1">
      <c r="A2002">
        <v>1905</v>
      </c>
      <c r="B2002">
        <v>1500</v>
      </c>
      <c r="C2002" t="s">
        <v>26</v>
      </c>
      <c r="D2002" t="s">
        <v>3884</v>
      </c>
      <c r="E2002">
        <v>63</v>
      </c>
      <c r="G2002" t="s">
        <v>103</v>
      </c>
      <c r="H2002" t="s">
        <v>837</v>
      </c>
      <c r="I2002" t="s">
        <v>3885</v>
      </c>
      <c r="J2002" t="s">
        <v>26</v>
      </c>
      <c r="K2002" t="s">
        <v>103</v>
      </c>
      <c r="M2002" t="b">
        <v>1</v>
      </c>
      <c r="N2002" t="s">
        <v>42</v>
      </c>
      <c r="O2002" t="s">
        <v>33</v>
      </c>
      <c r="Q2002">
        <v>125.08</v>
      </c>
      <c r="R2002">
        <v>2.9</v>
      </c>
      <c r="S2002" t="s">
        <v>106</v>
      </c>
      <c r="T2002">
        <v>50.6</v>
      </c>
      <c r="V2002">
        <v>100.2</v>
      </c>
      <c r="W2002">
        <v>77</v>
      </c>
      <c r="X2002">
        <v>9.4</v>
      </c>
      <c r="Y2002">
        <v>59.2</v>
      </c>
      <c r="Z2002">
        <v>1397715000</v>
      </c>
      <c r="AA2002">
        <v>35.861660000000001</v>
      </c>
      <c r="AB2002">
        <v>104.195397</v>
      </c>
    </row>
    <row r="2003" spans="1:28" hidden="1">
      <c r="A2003">
        <v>1905</v>
      </c>
      <c r="B2003">
        <v>1500</v>
      </c>
      <c r="C2003" t="s">
        <v>68</v>
      </c>
      <c r="D2003" t="s">
        <v>3886</v>
      </c>
      <c r="E2003">
        <v>67</v>
      </c>
      <c r="G2003" t="s">
        <v>238</v>
      </c>
      <c r="H2003" t="s">
        <v>492</v>
      </c>
      <c r="I2003" t="s">
        <v>68</v>
      </c>
      <c r="J2003" t="s">
        <v>68</v>
      </c>
      <c r="K2003" t="s">
        <v>238</v>
      </c>
      <c r="M2003" t="b">
        <v>1</v>
      </c>
      <c r="N2003" t="s">
        <v>42</v>
      </c>
      <c r="O2003" t="s">
        <v>33</v>
      </c>
      <c r="Q2003">
        <v>119.8</v>
      </c>
      <c r="R2003">
        <v>1.6</v>
      </c>
      <c r="S2003" t="s">
        <v>243</v>
      </c>
      <c r="T2003">
        <v>113.1</v>
      </c>
      <c r="V2003">
        <v>100.3</v>
      </c>
      <c r="W2003">
        <v>82.7</v>
      </c>
      <c r="X2003">
        <v>23</v>
      </c>
      <c r="Y2003">
        <v>47.4</v>
      </c>
      <c r="Z2003">
        <v>25766605</v>
      </c>
      <c r="AA2003">
        <v>-25.274398000000001</v>
      </c>
      <c r="AB2003">
        <v>133.775136</v>
      </c>
    </row>
    <row r="2004" spans="1:28" hidden="1">
      <c r="A2004">
        <v>1905</v>
      </c>
      <c r="B2004">
        <v>1500</v>
      </c>
      <c r="C2004" t="s">
        <v>217</v>
      </c>
      <c r="D2004" t="s">
        <v>3887</v>
      </c>
      <c r="E2004">
        <v>79</v>
      </c>
      <c r="G2004" t="s">
        <v>3888</v>
      </c>
      <c r="I2004" t="s">
        <v>3889</v>
      </c>
      <c r="J2004" t="s">
        <v>217</v>
      </c>
      <c r="K2004" t="s">
        <v>95</v>
      </c>
      <c r="M2004" t="b">
        <v>0</v>
      </c>
      <c r="N2004" t="s">
        <v>32</v>
      </c>
      <c r="O2004" t="s">
        <v>88</v>
      </c>
      <c r="S2004" t="s">
        <v>3890</v>
      </c>
      <c r="V2004">
        <v>106.4</v>
      </c>
      <c r="Z2004">
        <v>77142</v>
      </c>
      <c r="AA2004">
        <v>42.506284999999998</v>
      </c>
      <c r="AB2004">
        <v>1.521801</v>
      </c>
    </row>
    <row r="2005" spans="1:28" hidden="1">
      <c r="A2005">
        <v>1905</v>
      </c>
      <c r="B2005">
        <v>1500</v>
      </c>
      <c r="C2005" t="s">
        <v>36</v>
      </c>
      <c r="D2005" t="s">
        <v>3891</v>
      </c>
      <c r="E2005">
        <v>63</v>
      </c>
      <c r="G2005" t="s">
        <v>1573</v>
      </c>
      <c r="H2005" t="s">
        <v>2883</v>
      </c>
      <c r="I2005" t="s">
        <v>36</v>
      </c>
      <c r="J2005" t="s">
        <v>36</v>
      </c>
      <c r="K2005" t="s">
        <v>1573</v>
      </c>
      <c r="M2005" t="b">
        <v>1</v>
      </c>
      <c r="N2005" t="s">
        <v>42</v>
      </c>
      <c r="O2005" t="s">
        <v>33</v>
      </c>
      <c r="Q2005">
        <v>163.52000000000001</v>
      </c>
      <c r="R2005">
        <v>2.8</v>
      </c>
      <c r="S2005" t="s">
        <v>1575</v>
      </c>
      <c r="T2005">
        <v>28.5</v>
      </c>
      <c r="V2005">
        <v>110.6</v>
      </c>
      <c r="W2005">
        <v>75.3</v>
      </c>
      <c r="X2005">
        <v>19.100000000000001</v>
      </c>
      <c r="Y2005">
        <v>37.6</v>
      </c>
      <c r="Z2005">
        <v>96462106</v>
      </c>
      <c r="AA2005">
        <v>14.058324000000001</v>
      </c>
      <c r="AB2005">
        <v>108.277199</v>
      </c>
    </row>
    <row r="2006" spans="1:28" hidden="1">
      <c r="A2006">
        <v>1905</v>
      </c>
      <c r="B2006">
        <v>1500</v>
      </c>
      <c r="C2006" t="s">
        <v>68</v>
      </c>
      <c r="D2006" t="s">
        <v>3892</v>
      </c>
      <c r="E2006">
        <v>75</v>
      </c>
      <c r="G2006" t="s">
        <v>38</v>
      </c>
      <c r="H2006" t="s">
        <v>480</v>
      </c>
      <c r="I2006" t="s">
        <v>68</v>
      </c>
      <c r="J2006" t="s">
        <v>68</v>
      </c>
      <c r="K2006" t="s">
        <v>38</v>
      </c>
      <c r="M2006" t="b">
        <v>1</v>
      </c>
      <c r="N2006" t="s">
        <v>419</v>
      </c>
      <c r="O2006" t="s">
        <v>33</v>
      </c>
      <c r="Q2006">
        <v>117.24</v>
      </c>
      <c r="R2006">
        <v>7.5</v>
      </c>
      <c r="S2006" t="s">
        <v>44</v>
      </c>
      <c r="T2006">
        <v>88.2</v>
      </c>
      <c r="V2006">
        <v>101.8</v>
      </c>
      <c r="W2006">
        <v>78.5</v>
      </c>
      <c r="X2006">
        <v>9.6</v>
      </c>
      <c r="Y2006">
        <v>36.6</v>
      </c>
      <c r="Z2006">
        <v>328239523</v>
      </c>
      <c r="AA2006">
        <v>37.090240000000001</v>
      </c>
      <c r="AB2006">
        <v>-95.712890999999999</v>
      </c>
    </row>
    <row r="2007" spans="1:28" hidden="1">
      <c r="A2007">
        <v>1905</v>
      </c>
      <c r="B2007">
        <v>1500</v>
      </c>
      <c r="C2007" t="s">
        <v>179</v>
      </c>
      <c r="D2007" t="s">
        <v>3893</v>
      </c>
      <c r="E2007">
        <v>52</v>
      </c>
      <c r="G2007" t="s">
        <v>397</v>
      </c>
      <c r="H2007" t="s">
        <v>398</v>
      </c>
      <c r="I2007" t="s">
        <v>3704</v>
      </c>
      <c r="J2007" t="s">
        <v>179</v>
      </c>
      <c r="K2007" t="s">
        <v>397</v>
      </c>
      <c r="M2007" t="b">
        <v>1</v>
      </c>
      <c r="N2007" t="s">
        <v>32</v>
      </c>
      <c r="O2007" t="s">
        <v>33</v>
      </c>
      <c r="Q2007">
        <v>110.51</v>
      </c>
      <c r="R2007">
        <v>1.8</v>
      </c>
      <c r="S2007" t="s">
        <v>401</v>
      </c>
      <c r="T2007">
        <v>67</v>
      </c>
      <c r="V2007">
        <v>126.6</v>
      </c>
      <c r="W2007">
        <v>82.5</v>
      </c>
      <c r="X2007">
        <v>27.9</v>
      </c>
      <c r="Y2007">
        <v>49.1</v>
      </c>
      <c r="Z2007">
        <v>10285453</v>
      </c>
      <c r="AA2007">
        <v>60.128160999999999</v>
      </c>
      <c r="AB2007">
        <v>18.643501000000001</v>
      </c>
    </row>
    <row r="2008" spans="1:28" hidden="1">
      <c r="A2008">
        <v>1905</v>
      </c>
      <c r="B2008">
        <v>1500</v>
      </c>
      <c r="C2008" t="s">
        <v>288</v>
      </c>
      <c r="D2008" t="s">
        <v>3894</v>
      </c>
      <c r="E2008">
        <v>54</v>
      </c>
      <c r="G2008" t="s">
        <v>103</v>
      </c>
      <c r="H2008" t="s">
        <v>521</v>
      </c>
      <c r="I2008" t="s">
        <v>418</v>
      </c>
      <c r="J2008" t="s">
        <v>288</v>
      </c>
      <c r="K2008" t="s">
        <v>103</v>
      </c>
      <c r="M2008" t="b">
        <v>1</v>
      </c>
      <c r="N2008" t="s">
        <v>32</v>
      </c>
      <c r="O2008" t="s">
        <v>33</v>
      </c>
      <c r="Q2008">
        <v>125.08</v>
      </c>
      <c r="R2008">
        <v>2.9</v>
      </c>
      <c r="S2008" t="s">
        <v>106</v>
      </c>
      <c r="T2008">
        <v>50.6</v>
      </c>
      <c r="V2008">
        <v>100.2</v>
      </c>
      <c r="W2008">
        <v>77</v>
      </c>
      <c r="X2008">
        <v>9.4</v>
      </c>
      <c r="Y2008">
        <v>59.2</v>
      </c>
      <c r="Z2008">
        <v>1397715000</v>
      </c>
      <c r="AA2008">
        <v>35.861660000000001</v>
      </c>
      <c r="AB2008">
        <v>104.195397</v>
      </c>
    </row>
    <row r="2009" spans="1:28" hidden="1">
      <c r="A2009">
        <v>1905</v>
      </c>
      <c r="B2009">
        <v>1500</v>
      </c>
      <c r="C2009" t="s">
        <v>288</v>
      </c>
      <c r="D2009" t="s">
        <v>3895</v>
      </c>
      <c r="E2009">
        <v>61</v>
      </c>
      <c r="G2009" t="s">
        <v>103</v>
      </c>
      <c r="H2009" t="s">
        <v>176</v>
      </c>
      <c r="I2009" t="s">
        <v>440</v>
      </c>
      <c r="J2009" t="s">
        <v>288</v>
      </c>
      <c r="K2009" t="s">
        <v>103</v>
      </c>
      <c r="M2009" t="b">
        <v>1</v>
      </c>
      <c r="N2009" t="s">
        <v>32</v>
      </c>
      <c r="O2009" t="s">
        <v>33</v>
      </c>
      <c r="Q2009">
        <v>125.08</v>
      </c>
      <c r="R2009">
        <v>2.9</v>
      </c>
      <c r="S2009" t="s">
        <v>106</v>
      </c>
      <c r="T2009">
        <v>50.6</v>
      </c>
      <c r="V2009">
        <v>100.2</v>
      </c>
      <c r="W2009">
        <v>77</v>
      </c>
      <c r="X2009">
        <v>9.4</v>
      </c>
      <c r="Y2009">
        <v>59.2</v>
      </c>
      <c r="Z2009">
        <v>1397715000</v>
      </c>
      <c r="AA2009">
        <v>35.861660000000001</v>
      </c>
      <c r="AB2009">
        <v>104.195397</v>
      </c>
    </row>
    <row r="2010" spans="1:28" hidden="1">
      <c r="A2010">
        <v>1905</v>
      </c>
      <c r="B2010">
        <v>1500</v>
      </c>
      <c r="C2010" t="s">
        <v>250</v>
      </c>
      <c r="D2010" t="s">
        <v>3896</v>
      </c>
      <c r="E2010">
        <v>71</v>
      </c>
      <c r="G2010" t="s">
        <v>38</v>
      </c>
      <c r="H2010" t="s">
        <v>3676</v>
      </c>
      <c r="I2010" t="s">
        <v>1018</v>
      </c>
      <c r="J2010" t="s">
        <v>250</v>
      </c>
      <c r="K2010" t="s">
        <v>38</v>
      </c>
      <c r="M2010" t="b">
        <v>1</v>
      </c>
      <c r="N2010" t="s">
        <v>32</v>
      </c>
      <c r="O2010" t="s">
        <v>33</v>
      </c>
      <c r="Q2010">
        <v>117.24</v>
      </c>
      <c r="R2010">
        <v>7.5</v>
      </c>
      <c r="S2010" t="s">
        <v>44</v>
      </c>
      <c r="T2010">
        <v>88.2</v>
      </c>
      <c r="V2010">
        <v>101.8</v>
      </c>
      <c r="W2010">
        <v>78.5</v>
      </c>
      <c r="X2010">
        <v>9.6</v>
      </c>
      <c r="Y2010">
        <v>36.6</v>
      </c>
      <c r="Z2010">
        <v>328239523</v>
      </c>
      <c r="AA2010">
        <v>37.090240000000001</v>
      </c>
      <c r="AB2010">
        <v>-95.712890999999999</v>
      </c>
    </row>
    <row r="2011" spans="1:28" hidden="1">
      <c r="A2011">
        <v>1905</v>
      </c>
      <c r="B2011">
        <v>1500</v>
      </c>
      <c r="C2011" t="s">
        <v>221</v>
      </c>
      <c r="D2011" t="s">
        <v>3897</v>
      </c>
      <c r="E2011">
        <v>87</v>
      </c>
      <c r="G2011" t="s">
        <v>172</v>
      </c>
      <c r="H2011" t="s">
        <v>172</v>
      </c>
      <c r="I2011" t="s">
        <v>223</v>
      </c>
      <c r="J2011" t="s">
        <v>221</v>
      </c>
      <c r="K2011" t="s">
        <v>172</v>
      </c>
      <c r="M2011" t="b">
        <v>1</v>
      </c>
      <c r="N2011" t="s">
        <v>42</v>
      </c>
      <c r="O2011" t="s">
        <v>33</v>
      </c>
    </row>
    <row r="2012" spans="1:28" hidden="1">
      <c r="A2012">
        <v>1905</v>
      </c>
      <c r="B2012">
        <v>1500</v>
      </c>
      <c r="C2012" t="s">
        <v>45</v>
      </c>
      <c r="D2012" t="s">
        <v>3898</v>
      </c>
      <c r="E2012">
        <v>47</v>
      </c>
      <c r="G2012" t="s">
        <v>103</v>
      </c>
      <c r="H2012" t="s">
        <v>176</v>
      </c>
      <c r="I2012" t="s">
        <v>572</v>
      </c>
      <c r="J2012" t="s">
        <v>45</v>
      </c>
      <c r="K2012" t="s">
        <v>103</v>
      </c>
      <c r="M2012" t="b">
        <v>1</v>
      </c>
      <c r="N2012" t="s">
        <v>419</v>
      </c>
      <c r="O2012" t="s">
        <v>33</v>
      </c>
      <c r="Q2012">
        <v>125.08</v>
      </c>
      <c r="R2012">
        <v>2.9</v>
      </c>
      <c r="S2012" t="s">
        <v>106</v>
      </c>
      <c r="T2012">
        <v>50.6</v>
      </c>
      <c r="V2012">
        <v>100.2</v>
      </c>
      <c r="W2012">
        <v>77</v>
      </c>
      <c r="X2012">
        <v>9.4</v>
      </c>
      <c r="Y2012">
        <v>59.2</v>
      </c>
      <c r="Z2012">
        <v>1397715000</v>
      </c>
      <c r="AA2012">
        <v>35.861660000000001</v>
      </c>
      <c r="AB2012">
        <v>104.195397</v>
      </c>
    </row>
    <row r="2013" spans="1:28" hidden="1">
      <c r="A2013">
        <v>1905</v>
      </c>
      <c r="B2013">
        <v>1500</v>
      </c>
      <c r="C2013" t="s">
        <v>63</v>
      </c>
      <c r="D2013" t="s">
        <v>3899</v>
      </c>
      <c r="G2013" t="s">
        <v>103</v>
      </c>
      <c r="H2013" t="s">
        <v>215</v>
      </c>
      <c r="I2013" t="s">
        <v>245</v>
      </c>
      <c r="J2013" t="s">
        <v>63</v>
      </c>
      <c r="K2013" t="s">
        <v>103</v>
      </c>
      <c r="M2013" t="b">
        <v>1</v>
      </c>
      <c r="N2013" t="s">
        <v>419</v>
      </c>
      <c r="O2013" t="s">
        <v>33</v>
      </c>
      <c r="Q2013">
        <v>125.08</v>
      </c>
      <c r="R2013">
        <v>2.9</v>
      </c>
      <c r="S2013" t="s">
        <v>106</v>
      </c>
      <c r="T2013">
        <v>50.6</v>
      </c>
      <c r="V2013">
        <v>100.2</v>
      </c>
      <c r="W2013">
        <v>77</v>
      </c>
      <c r="X2013">
        <v>9.4</v>
      </c>
      <c r="Y2013">
        <v>59.2</v>
      </c>
      <c r="Z2013">
        <v>1397715000</v>
      </c>
      <c r="AA2013">
        <v>35.861660000000001</v>
      </c>
      <c r="AB2013">
        <v>104.195397</v>
      </c>
    </row>
    <row r="2014" spans="1:28" hidden="1">
      <c r="A2014">
        <v>1905</v>
      </c>
      <c r="B2014">
        <v>1500</v>
      </c>
      <c r="C2014" t="s">
        <v>45</v>
      </c>
      <c r="D2014" t="s">
        <v>3900</v>
      </c>
      <c r="E2014">
        <v>50</v>
      </c>
      <c r="G2014" t="s">
        <v>103</v>
      </c>
      <c r="H2014" t="s">
        <v>1831</v>
      </c>
      <c r="I2014" t="s">
        <v>897</v>
      </c>
      <c r="J2014" t="s">
        <v>45</v>
      </c>
      <c r="K2014" t="s">
        <v>103</v>
      </c>
      <c r="M2014" t="b">
        <v>1</v>
      </c>
      <c r="N2014" t="s">
        <v>42</v>
      </c>
      <c r="O2014" t="s">
        <v>33</v>
      </c>
      <c r="Q2014">
        <v>125.08</v>
      </c>
      <c r="R2014">
        <v>2.9</v>
      </c>
      <c r="S2014" t="s">
        <v>106</v>
      </c>
      <c r="T2014">
        <v>50.6</v>
      </c>
      <c r="V2014">
        <v>100.2</v>
      </c>
      <c r="W2014">
        <v>77</v>
      </c>
      <c r="X2014">
        <v>9.4</v>
      </c>
      <c r="Y2014">
        <v>59.2</v>
      </c>
      <c r="Z2014">
        <v>1397715000</v>
      </c>
      <c r="AA2014">
        <v>35.861660000000001</v>
      </c>
      <c r="AB2014">
        <v>104.195397</v>
      </c>
    </row>
    <row r="2015" spans="1:28" hidden="1">
      <c r="A2015">
        <v>1905</v>
      </c>
      <c r="B2015">
        <v>1500</v>
      </c>
      <c r="C2015" t="s">
        <v>101</v>
      </c>
      <c r="D2015" t="s">
        <v>3901</v>
      </c>
      <c r="E2015">
        <v>62</v>
      </c>
      <c r="G2015" t="s">
        <v>103</v>
      </c>
      <c r="H2015" t="s">
        <v>3702</v>
      </c>
      <c r="I2015" t="s">
        <v>3902</v>
      </c>
      <c r="J2015" t="s">
        <v>101</v>
      </c>
      <c r="K2015" t="s">
        <v>103</v>
      </c>
      <c r="M2015" t="b">
        <v>1</v>
      </c>
      <c r="N2015" t="s">
        <v>42</v>
      </c>
      <c r="O2015" t="s">
        <v>33</v>
      </c>
      <c r="Q2015">
        <v>125.08</v>
      </c>
      <c r="R2015">
        <v>2.9</v>
      </c>
      <c r="S2015" t="s">
        <v>106</v>
      </c>
      <c r="T2015">
        <v>50.6</v>
      </c>
      <c r="V2015">
        <v>100.2</v>
      </c>
      <c r="W2015">
        <v>77</v>
      </c>
      <c r="X2015">
        <v>9.4</v>
      </c>
      <c r="Y2015">
        <v>59.2</v>
      </c>
      <c r="Z2015">
        <v>1397715000</v>
      </c>
      <c r="AA2015">
        <v>35.861660000000001</v>
      </c>
      <c r="AB2015">
        <v>104.195397</v>
      </c>
    </row>
    <row r="2016" spans="1:28" hidden="1">
      <c r="A2016">
        <v>1905</v>
      </c>
      <c r="B2016">
        <v>1500</v>
      </c>
      <c r="C2016" t="s">
        <v>308</v>
      </c>
      <c r="D2016" t="s">
        <v>3903</v>
      </c>
      <c r="E2016">
        <v>61</v>
      </c>
      <c r="G2016" t="s">
        <v>103</v>
      </c>
      <c r="H2016" t="s">
        <v>143</v>
      </c>
      <c r="I2016" t="s">
        <v>2155</v>
      </c>
      <c r="J2016" t="s">
        <v>308</v>
      </c>
      <c r="K2016" t="s">
        <v>103</v>
      </c>
      <c r="M2016" t="b">
        <v>1</v>
      </c>
      <c r="N2016" t="s">
        <v>853</v>
      </c>
      <c r="O2016" t="s">
        <v>33</v>
      </c>
      <c r="Q2016">
        <v>125.08</v>
      </c>
      <c r="R2016">
        <v>2.9</v>
      </c>
      <c r="S2016" t="s">
        <v>106</v>
      </c>
      <c r="T2016">
        <v>50.6</v>
      </c>
      <c r="V2016">
        <v>100.2</v>
      </c>
      <c r="W2016">
        <v>77</v>
      </c>
      <c r="X2016">
        <v>9.4</v>
      </c>
      <c r="Y2016">
        <v>59.2</v>
      </c>
      <c r="Z2016">
        <v>1397715000</v>
      </c>
      <c r="AA2016">
        <v>35.861660000000001</v>
      </c>
      <c r="AB2016">
        <v>104.195397</v>
      </c>
    </row>
    <row r="2017" spans="1:28" hidden="1">
      <c r="A2017">
        <v>1905</v>
      </c>
      <c r="B2017">
        <v>1500</v>
      </c>
      <c r="C2017" t="s">
        <v>63</v>
      </c>
      <c r="D2017" t="s">
        <v>3904</v>
      </c>
      <c r="G2017" t="s">
        <v>103</v>
      </c>
      <c r="H2017" t="s">
        <v>215</v>
      </c>
      <c r="I2017" t="s">
        <v>245</v>
      </c>
      <c r="J2017" t="s">
        <v>63</v>
      </c>
      <c r="K2017" t="s">
        <v>103</v>
      </c>
      <c r="M2017" t="b">
        <v>1</v>
      </c>
      <c r="N2017" t="s">
        <v>419</v>
      </c>
      <c r="O2017" t="s">
        <v>33</v>
      </c>
      <c r="Q2017">
        <v>125.08</v>
      </c>
      <c r="R2017">
        <v>2.9</v>
      </c>
      <c r="S2017" t="s">
        <v>106</v>
      </c>
      <c r="T2017">
        <v>50.6</v>
      </c>
      <c r="V2017">
        <v>100.2</v>
      </c>
      <c r="W2017">
        <v>77</v>
      </c>
      <c r="X2017">
        <v>9.4</v>
      </c>
      <c r="Y2017">
        <v>59.2</v>
      </c>
      <c r="Z2017">
        <v>1397715000</v>
      </c>
      <c r="AA2017">
        <v>35.861660000000001</v>
      </c>
      <c r="AB2017">
        <v>104.195397</v>
      </c>
    </row>
    <row r="2018" spans="1:28" hidden="1">
      <c r="A2018">
        <v>1905</v>
      </c>
      <c r="B2018">
        <v>1500</v>
      </c>
      <c r="C2018" t="s">
        <v>308</v>
      </c>
      <c r="D2018" t="s">
        <v>3905</v>
      </c>
      <c r="E2018">
        <v>43</v>
      </c>
      <c r="G2018" t="s">
        <v>103</v>
      </c>
      <c r="H2018" t="s">
        <v>143</v>
      </c>
      <c r="I2018" t="s">
        <v>2155</v>
      </c>
      <c r="J2018" t="s">
        <v>308</v>
      </c>
      <c r="K2018" t="s">
        <v>103</v>
      </c>
      <c r="M2018" t="b">
        <v>1</v>
      </c>
      <c r="N2018" t="s">
        <v>853</v>
      </c>
      <c r="O2018" t="s">
        <v>33</v>
      </c>
      <c r="Q2018">
        <v>125.08</v>
      </c>
      <c r="R2018">
        <v>2.9</v>
      </c>
      <c r="S2018" t="s">
        <v>106</v>
      </c>
      <c r="T2018">
        <v>50.6</v>
      </c>
      <c r="V2018">
        <v>100.2</v>
      </c>
      <c r="W2018">
        <v>77</v>
      </c>
      <c r="X2018">
        <v>9.4</v>
      </c>
      <c r="Y2018">
        <v>59.2</v>
      </c>
      <c r="Z2018">
        <v>1397715000</v>
      </c>
      <c r="AA2018">
        <v>35.861660000000001</v>
      </c>
      <c r="AB2018">
        <v>104.195397</v>
      </c>
    </row>
    <row r="2019" spans="1:28" hidden="1">
      <c r="A2019">
        <v>1905</v>
      </c>
      <c r="B2019">
        <v>1500</v>
      </c>
      <c r="C2019" t="s">
        <v>250</v>
      </c>
      <c r="D2019" t="s">
        <v>3906</v>
      </c>
      <c r="G2019" t="s">
        <v>103</v>
      </c>
      <c r="H2019" t="s">
        <v>104</v>
      </c>
      <c r="I2019" t="s">
        <v>3907</v>
      </c>
      <c r="J2019" t="s">
        <v>250</v>
      </c>
      <c r="K2019" t="s">
        <v>103</v>
      </c>
      <c r="M2019" t="b">
        <v>1</v>
      </c>
      <c r="N2019" t="s">
        <v>212</v>
      </c>
      <c r="O2019" t="s">
        <v>88</v>
      </c>
      <c r="Q2019">
        <v>125.08</v>
      </c>
      <c r="R2019">
        <v>2.9</v>
      </c>
      <c r="S2019" t="s">
        <v>106</v>
      </c>
      <c r="T2019">
        <v>50.6</v>
      </c>
      <c r="V2019">
        <v>100.2</v>
      </c>
      <c r="W2019">
        <v>77</v>
      </c>
      <c r="X2019">
        <v>9.4</v>
      </c>
      <c r="Y2019">
        <v>59.2</v>
      </c>
      <c r="Z2019">
        <v>1397715000</v>
      </c>
      <c r="AA2019">
        <v>35.861660000000001</v>
      </c>
      <c r="AB2019">
        <v>104.195397</v>
      </c>
    </row>
    <row r="2020" spans="1:28" hidden="1">
      <c r="A2020">
        <v>1905</v>
      </c>
      <c r="B2020">
        <v>1500</v>
      </c>
      <c r="C2020" t="s">
        <v>26</v>
      </c>
      <c r="D2020" t="s">
        <v>3908</v>
      </c>
      <c r="E2020">
        <v>66</v>
      </c>
      <c r="G2020" t="s">
        <v>103</v>
      </c>
      <c r="H2020" t="s">
        <v>176</v>
      </c>
      <c r="I2020" t="s">
        <v>2335</v>
      </c>
      <c r="J2020" t="s">
        <v>26</v>
      </c>
      <c r="K2020" t="s">
        <v>103</v>
      </c>
      <c r="M2020" t="b">
        <v>1</v>
      </c>
      <c r="N2020" t="s">
        <v>42</v>
      </c>
      <c r="O2020" t="s">
        <v>33</v>
      </c>
      <c r="Q2020">
        <v>125.08</v>
      </c>
      <c r="R2020">
        <v>2.9</v>
      </c>
      <c r="S2020" t="s">
        <v>106</v>
      </c>
      <c r="T2020">
        <v>50.6</v>
      </c>
      <c r="V2020">
        <v>100.2</v>
      </c>
      <c r="W2020">
        <v>77</v>
      </c>
      <c r="X2020">
        <v>9.4</v>
      </c>
      <c r="Y2020">
        <v>59.2</v>
      </c>
      <c r="Z2020">
        <v>1397715000</v>
      </c>
      <c r="AA2020">
        <v>35.861660000000001</v>
      </c>
      <c r="AB2020">
        <v>104.195397</v>
      </c>
    </row>
    <row r="2021" spans="1:28" hidden="1">
      <c r="A2021">
        <v>2020</v>
      </c>
      <c r="B2021">
        <v>1400</v>
      </c>
      <c r="C2021" t="s">
        <v>75</v>
      </c>
      <c r="D2021" t="s">
        <v>3909</v>
      </c>
      <c r="E2021">
        <v>83</v>
      </c>
      <c r="G2021" t="s">
        <v>1634</v>
      </c>
      <c r="H2021" t="s">
        <v>3102</v>
      </c>
      <c r="I2021" t="s">
        <v>75</v>
      </c>
      <c r="J2021" t="s">
        <v>75</v>
      </c>
      <c r="K2021" t="s">
        <v>1634</v>
      </c>
      <c r="M2021" t="b">
        <v>0</v>
      </c>
      <c r="N2021" t="s">
        <v>42</v>
      </c>
      <c r="O2021" t="s">
        <v>33</v>
      </c>
      <c r="Q2021">
        <v>112.33</v>
      </c>
      <c r="R2021">
        <v>1</v>
      </c>
      <c r="S2021" t="s">
        <v>1637</v>
      </c>
      <c r="T2021">
        <v>88.2</v>
      </c>
      <c r="V2021">
        <v>100.2</v>
      </c>
      <c r="W2021">
        <v>81.7</v>
      </c>
      <c r="X2021">
        <v>20.8</v>
      </c>
      <c r="Y2021">
        <v>36.6</v>
      </c>
      <c r="Z2021">
        <v>5520314</v>
      </c>
      <c r="AA2021">
        <v>61.924109999999999</v>
      </c>
      <c r="AB2021">
        <v>25.748151</v>
      </c>
    </row>
    <row r="2022" spans="1:28" hidden="1">
      <c r="A2022">
        <v>2020</v>
      </c>
      <c r="B2022">
        <v>1400</v>
      </c>
      <c r="C2022" t="s">
        <v>54</v>
      </c>
      <c r="D2022" t="s">
        <v>3910</v>
      </c>
      <c r="E2022">
        <v>80</v>
      </c>
      <c r="G2022" t="s">
        <v>95</v>
      </c>
      <c r="H2022" t="s">
        <v>1527</v>
      </c>
      <c r="I2022" t="s">
        <v>231</v>
      </c>
      <c r="J2022" t="s">
        <v>54</v>
      </c>
      <c r="K2022" t="s">
        <v>95</v>
      </c>
      <c r="M2022" t="b">
        <v>1</v>
      </c>
      <c r="N2022" t="s">
        <v>32</v>
      </c>
      <c r="O2022" t="s">
        <v>33</v>
      </c>
      <c r="Q2022">
        <v>110.96</v>
      </c>
      <c r="R2022">
        <v>0.7</v>
      </c>
      <c r="S2022" t="s">
        <v>98</v>
      </c>
      <c r="T2022">
        <v>88.9</v>
      </c>
      <c r="V2022">
        <v>102.7</v>
      </c>
      <c r="W2022">
        <v>83.3</v>
      </c>
      <c r="X2022">
        <v>14.2</v>
      </c>
      <c r="Y2022">
        <v>47</v>
      </c>
      <c r="Z2022">
        <v>47076781</v>
      </c>
      <c r="AA2022">
        <v>40.463667000000001</v>
      </c>
      <c r="AB2022">
        <v>-3.7492200000000002</v>
      </c>
    </row>
    <row r="2023" spans="1:28" hidden="1">
      <c r="A2023">
        <v>2020</v>
      </c>
      <c r="B2023">
        <v>1400</v>
      </c>
      <c r="C2023" t="s">
        <v>26</v>
      </c>
      <c r="D2023" t="s">
        <v>3911</v>
      </c>
      <c r="E2023">
        <v>52</v>
      </c>
      <c r="G2023" t="s">
        <v>238</v>
      </c>
      <c r="H2023" t="s">
        <v>534</v>
      </c>
      <c r="I2023" t="s">
        <v>150</v>
      </c>
      <c r="J2023" t="s">
        <v>26</v>
      </c>
      <c r="K2023" t="s">
        <v>238</v>
      </c>
      <c r="M2023" t="b">
        <v>1</v>
      </c>
      <c r="N2023" t="s">
        <v>42</v>
      </c>
      <c r="O2023" t="s">
        <v>33</v>
      </c>
      <c r="Q2023">
        <v>119.8</v>
      </c>
      <c r="R2023">
        <v>1.6</v>
      </c>
      <c r="S2023" t="s">
        <v>243</v>
      </c>
      <c r="T2023">
        <v>113.1</v>
      </c>
      <c r="V2023">
        <v>100.3</v>
      </c>
      <c r="W2023">
        <v>82.7</v>
      </c>
      <c r="X2023">
        <v>23</v>
      </c>
      <c r="Y2023">
        <v>47.4</v>
      </c>
      <c r="Z2023">
        <v>25766605</v>
      </c>
      <c r="AA2023">
        <v>-25.274398000000001</v>
      </c>
      <c r="AB2023">
        <v>133.775136</v>
      </c>
    </row>
    <row r="2024" spans="1:28" hidden="1">
      <c r="A2024">
        <v>2020</v>
      </c>
      <c r="B2024">
        <v>1400</v>
      </c>
      <c r="C2024" t="s">
        <v>45</v>
      </c>
      <c r="D2024" t="s">
        <v>3912</v>
      </c>
      <c r="E2024">
        <v>40</v>
      </c>
      <c r="G2024" t="s">
        <v>395</v>
      </c>
      <c r="H2024" t="s">
        <v>395</v>
      </c>
      <c r="I2024" t="s">
        <v>3913</v>
      </c>
      <c r="J2024" t="s">
        <v>45</v>
      </c>
      <c r="K2024" t="s">
        <v>77</v>
      </c>
      <c r="M2024" t="b">
        <v>1</v>
      </c>
      <c r="N2024" t="s">
        <v>32</v>
      </c>
      <c r="O2024" t="s">
        <v>33</v>
      </c>
      <c r="Q2024">
        <v>114.41</v>
      </c>
      <c r="R2024">
        <v>0.6</v>
      </c>
      <c r="S2024" t="s">
        <v>451</v>
      </c>
      <c r="T2024">
        <v>84.8</v>
      </c>
      <c r="V2024">
        <v>100.6</v>
      </c>
      <c r="W2024">
        <v>83.1</v>
      </c>
      <c r="X2024">
        <v>13.1</v>
      </c>
      <c r="Y2024">
        <v>21</v>
      </c>
      <c r="Z2024">
        <v>5703569</v>
      </c>
      <c r="AA2024">
        <v>1.3520829999999999</v>
      </c>
      <c r="AB2024">
        <v>103.819836</v>
      </c>
    </row>
    <row r="2025" spans="1:28" hidden="1">
      <c r="A2025">
        <v>2020</v>
      </c>
      <c r="B2025">
        <v>1400</v>
      </c>
      <c r="C2025" t="s">
        <v>288</v>
      </c>
      <c r="D2025" t="s">
        <v>3914</v>
      </c>
      <c r="E2025">
        <v>75</v>
      </c>
      <c r="G2025" t="s">
        <v>77</v>
      </c>
      <c r="H2025" t="s">
        <v>78</v>
      </c>
      <c r="I2025" t="s">
        <v>418</v>
      </c>
      <c r="J2025" t="s">
        <v>288</v>
      </c>
      <c r="K2025" t="s">
        <v>77</v>
      </c>
      <c r="M2025" t="b">
        <v>1</v>
      </c>
      <c r="N2025" t="s">
        <v>42</v>
      </c>
      <c r="O2025" t="s">
        <v>33</v>
      </c>
      <c r="Q2025">
        <v>180.44</v>
      </c>
      <c r="R2025">
        <v>7.7</v>
      </c>
      <c r="S2025" t="s">
        <v>81</v>
      </c>
      <c r="T2025">
        <v>28.1</v>
      </c>
      <c r="V2025">
        <v>113</v>
      </c>
      <c r="W2025">
        <v>69.400000000000006</v>
      </c>
      <c r="X2025">
        <v>11.2</v>
      </c>
      <c r="Y2025">
        <v>49.7</v>
      </c>
      <c r="Z2025">
        <v>1366417754</v>
      </c>
      <c r="AA2025">
        <v>20.593684</v>
      </c>
      <c r="AB2025">
        <v>78.962879999999998</v>
      </c>
    </row>
    <row r="2026" spans="1:28" hidden="1">
      <c r="A2026">
        <v>2020</v>
      </c>
      <c r="B2026">
        <v>1400</v>
      </c>
      <c r="C2026" t="s">
        <v>75</v>
      </c>
      <c r="D2026" t="s">
        <v>3915</v>
      </c>
      <c r="E2026">
        <v>79</v>
      </c>
      <c r="G2026" t="s">
        <v>203</v>
      </c>
      <c r="H2026" t="s">
        <v>3916</v>
      </c>
      <c r="I2026" t="s">
        <v>3917</v>
      </c>
      <c r="J2026" t="s">
        <v>75</v>
      </c>
      <c r="K2026" t="s">
        <v>203</v>
      </c>
      <c r="M2026" t="b">
        <v>1</v>
      </c>
      <c r="N2026" t="s">
        <v>42</v>
      </c>
      <c r="O2026" t="s">
        <v>33</v>
      </c>
      <c r="Q2026">
        <v>119.62</v>
      </c>
      <c r="R2026">
        <v>1.7</v>
      </c>
      <c r="S2026" t="s">
        <v>206</v>
      </c>
      <c r="T2026">
        <v>60</v>
      </c>
      <c r="V2026">
        <v>101.2</v>
      </c>
      <c r="W2026">
        <v>81.3</v>
      </c>
      <c r="X2026">
        <v>25.5</v>
      </c>
      <c r="Y2026">
        <v>30.6</v>
      </c>
      <c r="Z2026">
        <v>66834405</v>
      </c>
      <c r="AA2026">
        <v>55.378050999999999</v>
      </c>
      <c r="AB2026">
        <v>-3.4359730000000002</v>
      </c>
    </row>
    <row r="2027" spans="1:28" hidden="1">
      <c r="A2027">
        <v>2020</v>
      </c>
      <c r="B2027">
        <v>1400</v>
      </c>
      <c r="C2027" t="s">
        <v>250</v>
      </c>
      <c r="D2027" t="s">
        <v>3918</v>
      </c>
      <c r="E2027">
        <v>71</v>
      </c>
      <c r="G2027" t="s">
        <v>263</v>
      </c>
      <c r="H2027" t="s">
        <v>3919</v>
      </c>
      <c r="I2027" t="s">
        <v>325</v>
      </c>
      <c r="J2027" t="s">
        <v>250</v>
      </c>
      <c r="K2027" t="s">
        <v>263</v>
      </c>
      <c r="M2027" t="b">
        <v>1</v>
      </c>
      <c r="N2027" t="s">
        <v>853</v>
      </c>
      <c r="O2027" t="s">
        <v>33</v>
      </c>
      <c r="Q2027">
        <v>180.75</v>
      </c>
      <c r="R2027">
        <v>4.5</v>
      </c>
      <c r="S2027" t="s">
        <v>276</v>
      </c>
      <c r="T2027">
        <v>81.900000000000006</v>
      </c>
      <c r="V2027">
        <v>102.6</v>
      </c>
      <c r="W2027">
        <v>72.7</v>
      </c>
      <c r="X2027">
        <v>11.4</v>
      </c>
      <c r="Y2027">
        <v>46.2</v>
      </c>
      <c r="Z2027">
        <v>144373535</v>
      </c>
      <c r="AA2027">
        <v>61.524009999999997</v>
      </c>
      <c r="AB2027">
        <v>105.31875599999999</v>
      </c>
    </row>
    <row r="2028" spans="1:28" hidden="1">
      <c r="A2028">
        <v>2020</v>
      </c>
      <c r="B2028">
        <v>1400</v>
      </c>
      <c r="C2028" t="s">
        <v>101</v>
      </c>
      <c r="D2028" t="s">
        <v>3920</v>
      </c>
      <c r="E2028">
        <v>53</v>
      </c>
      <c r="G2028" t="s">
        <v>77</v>
      </c>
      <c r="H2028" t="s">
        <v>248</v>
      </c>
      <c r="I2028" t="s">
        <v>1260</v>
      </c>
      <c r="J2028" t="s">
        <v>101</v>
      </c>
      <c r="K2028" t="s">
        <v>77</v>
      </c>
      <c r="M2028" t="b">
        <v>0</v>
      </c>
      <c r="N2028" t="s">
        <v>42</v>
      </c>
      <c r="O2028" t="s">
        <v>33</v>
      </c>
      <c r="Q2028">
        <v>180.44</v>
      </c>
      <c r="R2028">
        <v>7.7</v>
      </c>
      <c r="S2028" t="s">
        <v>81</v>
      </c>
      <c r="T2028">
        <v>28.1</v>
      </c>
      <c r="V2028">
        <v>113</v>
      </c>
      <c r="W2028">
        <v>69.400000000000006</v>
      </c>
      <c r="X2028">
        <v>11.2</v>
      </c>
      <c r="Y2028">
        <v>49.7</v>
      </c>
      <c r="Z2028">
        <v>1366417754</v>
      </c>
      <c r="AA2028">
        <v>20.593684</v>
      </c>
      <c r="AB2028">
        <v>78.962879999999998</v>
      </c>
    </row>
    <row r="2029" spans="1:28" hidden="1">
      <c r="A2029">
        <v>2020</v>
      </c>
      <c r="B2029">
        <v>1400</v>
      </c>
      <c r="C2029" t="s">
        <v>236</v>
      </c>
      <c r="D2029" t="s">
        <v>3921</v>
      </c>
      <c r="E2029">
        <v>52</v>
      </c>
      <c r="G2029" t="s">
        <v>103</v>
      </c>
      <c r="H2029" t="s">
        <v>633</v>
      </c>
      <c r="I2029" t="s">
        <v>3922</v>
      </c>
      <c r="J2029" t="s">
        <v>236</v>
      </c>
      <c r="K2029" t="s">
        <v>103</v>
      </c>
      <c r="M2029" t="b">
        <v>1</v>
      </c>
      <c r="N2029" t="s">
        <v>192</v>
      </c>
      <c r="O2029" t="s">
        <v>33</v>
      </c>
      <c r="Q2029">
        <v>125.08</v>
      </c>
      <c r="R2029">
        <v>2.9</v>
      </c>
      <c r="S2029" t="s">
        <v>106</v>
      </c>
      <c r="T2029">
        <v>50.6</v>
      </c>
      <c r="V2029">
        <v>100.2</v>
      </c>
      <c r="W2029">
        <v>77</v>
      </c>
      <c r="X2029">
        <v>9.4</v>
      </c>
      <c r="Y2029">
        <v>59.2</v>
      </c>
      <c r="Z2029">
        <v>1397715000</v>
      </c>
      <c r="AA2029">
        <v>35.861660000000001</v>
      </c>
      <c r="AB2029">
        <v>104.195397</v>
      </c>
    </row>
    <row r="2030" spans="1:28" hidden="1">
      <c r="A2030">
        <v>2020</v>
      </c>
      <c r="B2030">
        <v>1400</v>
      </c>
      <c r="C2030" t="s">
        <v>45</v>
      </c>
      <c r="D2030" t="s">
        <v>3923</v>
      </c>
      <c r="E2030">
        <v>64</v>
      </c>
      <c r="G2030" t="s">
        <v>38</v>
      </c>
      <c r="H2030" t="s">
        <v>2213</v>
      </c>
      <c r="I2030" t="s">
        <v>3924</v>
      </c>
      <c r="J2030" t="s">
        <v>45</v>
      </c>
      <c r="K2030" t="s">
        <v>38</v>
      </c>
      <c r="M2030" t="b">
        <v>1</v>
      </c>
      <c r="N2030" t="s">
        <v>42</v>
      </c>
      <c r="O2030" t="s">
        <v>33</v>
      </c>
      <c r="Q2030">
        <v>117.24</v>
      </c>
      <c r="R2030">
        <v>7.5</v>
      </c>
      <c r="S2030" t="s">
        <v>44</v>
      </c>
      <c r="T2030">
        <v>88.2</v>
      </c>
      <c r="V2030">
        <v>101.8</v>
      </c>
      <c r="W2030">
        <v>78.5</v>
      </c>
      <c r="X2030">
        <v>9.6</v>
      </c>
      <c r="Y2030">
        <v>36.6</v>
      </c>
      <c r="Z2030">
        <v>328239523</v>
      </c>
      <c r="AA2030">
        <v>37.090240000000001</v>
      </c>
      <c r="AB2030">
        <v>-95.712890999999999</v>
      </c>
    </row>
    <row r="2031" spans="1:28" hidden="1">
      <c r="A2031">
        <v>2020</v>
      </c>
      <c r="B2031">
        <v>1400</v>
      </c>
      <c r="C2031" t="s">
        <v>45</v>
      </c>
      <c r="D2031" t="s">
        <v>3925</v>
      </c>
      <c r="E2031">
        <v>55</v>
      </c>
      <c r="G2031" t="s">
        <v>103</v>
      </c>
      <c r="H2031" t="s">
        <v>1248</v>
      </c>
      <c r="I2031" t="s">
        <v>3926</v>
      </c>
      <c r="J2031" t="s">
        <v>45</v>
      </c>
      <c r="K2031" t="s">
        <v>103</v>
      </c>
      <c r="M2031" t="b">
        <v>1</v>
      </c>
      <c r="N2031" t="s">
        <v>419</v>
      </c>
      <c r="O2031" t="s">
        <v>33</v>
      </c>
      <c r="Q2031">
        <v>125.08</v>
      </c>
      <c r="R2031">
        <v>2.9</v>
      </c>
      <c r="S2031" t="s">
        <v>106</v>
      </c>
      <c r="T2031">
        <v>50.6</v>
      </c>
      <c r="V2031">
        <v>100.2</v>
      </c>
      <c r="W2031">
        <v>77</v>
      </c>
      <c r="X2031">
        <v>9.4</v>
      </c>
      <c r="Y2031">
        <v>59.2</v>
      </c>
      <c r="Z2031">
        <v>1397715000</v>
      </c>
      <c r="AA2031">
        <v>35.861660000000001</v>
      </c>
      <c r="AB2031">
        <v>104.195397</v>
      </c>
    </row>
    <row r="2032" spans="1:28" hidden="1">
      <c r="A2032">
        <v>2020</v>
      </c>
      <c r="B2032">
        <v>1400</v>
      </c>
      <c r="C2032" t="s">
        <v>221</v>
      </c>
      <c r="D2032" t="s">
        <v>3927</v>
      </c>
      <c r="E2032">
        <v>74</v>
      </c>
      <c r="G2032" t="s">
        <v>395</v>
      </c>
      <c r="H2032" t="s">
        <v>395</v>
      </c>
      <c r="I2032" t="s">
        <v>223</v>
      </c>
      <c r="J2032" t="s">
        <v>221</v>
      </c>
      <c r="K2032" t="s">
        <v>395</v>
      </c>
      <c r="M2032" t="b">
        <v>1</v>
      </c>
      <c r="N2032" t="s">
        <v>32</v>
      </c>
      <c r="O2032" t="s">
        <v>33</v>
      </c>
      <c r="Q2032">
        <v>114.41</v>
      </c>
      <c r="R2032">
        <v>0.6</v>
      </c>
      <c r="S2032" t="s">
        <v>451</v>
      </c>
      <c r="T2032">
        <v>84.8</v>
      </c>
      <c r="V2032">
        <v>100.6</v>
      </c>
      <c r="W2032">
        <v>83.1</v>
      </c>
      <c r="X2032">
        <v>13.1</v>
      </c>
      <c r="Y2032">
        <v>21</v>
      </c>
      <c r="Z2032">
        <v>5703569</v>
      </c>
      <c r="AA2032">
        <v>1.3520829999999999</v>
      </c>
      <c r="AB2032">
        <v>103.819836</v>
      </c>
    </row>
    <row r="2033" spans="1:28" hidden="1">
      <c r="A2033">
        <v>2020</v>
      </c>
      <c r="B2033">
        <v>1400</v>
      </c>
      <c r="C2033" t="s">
        <v>54</v>
      </c>
      <c r="D2033" t="s">
        <v>3928</v>
      </c>
      <c r="E2033">
        <v>83</v>
      </c>
      <c r="G2033" t="s">
        <v>384</v>
      </c>
      <c r="H2033" t="s">
        <v>562</v>
      </c>
      <c r="I2033" t="s">
        <v>383</v>
      </c>
      <c r="J2033" t="s">
        <v>54</v>
      </c>
      <c r="K2033" t="s">
        <v>384</v>
      </c>
      <c r="M2033" t="b">
        <v>1</v>
      </c>
      <c r="N2033" t="s">
        <v>32</v>
      </c>
      <c r="O2033" t="s">
        <v>33</v>
      </c>
      <c r="Q2033">
        <v>167.4</v>
      </c>
      <c r="R2033">
        <v>3.7</v>
      </c>
      <c r="S2033" t="s">
        <v>563</v>
      </c>
      <c r="T2033">
        <v>51.3</v>
      </c>
      <c r="V2033">
        <v>115.4</v>
      </c>
      <c r="W2033">
        <v>75.7</v>
      </c>
      <c r="X2033">
        <v>14.2</v>
      </c>
      <c r="Y2033">
        <v>65.099999999999994</v>
      </c>
      <c r="Z2033">
        <v>212559417</v>
      </c>
      <c r="AA2033">
        <v>-14.235004</v>
      </c>
      <c r="AB2033">
        <v>-51.925280000000001</v>
      </c>
    </row>
    <row r="2034" spans="1:28" hidden="1">
      <c r="A2034">
        <v>2020</v>
      </c>
      <c r="B2034">
        <v>1400</v>
      </c>
      <c r="C2034" t="s">
        <v>236</v>
      </c>
      <c r="D2034" t="s">
        <v>3929</v>
      </c>
      <c r="E2034">
        <v>65</v>
      </c>
      <c r="G2034" t="s">
        <v>238</v>
      </c>
      <c r="H2034" t="s">
        <v>239</v>
      </c>
      <c r="I2034" t="s">
        <v>240</v>
      </c>
      <c r="J2034" t="s">
        <v>236</v>
      </c>
      <c r="K2034" t="s">
        <v>238</v>
      </c>
      <c r="M2034" t="b">
        <v>1</v>
      </c>
      <c r="N2034" t="s">
        <v>192</v>
      </c>
      <c r="O2034" t="s">
        <v>33</v>
      </c>
      <c r="Q2034">
        <v>119.8</v>
      </c>
      <c r="R2034">
        <v>1.6</v>
      </c>
      <c r="S2034" t="s">
        <v>243</v>
      </c>
      <c r="T2034">
        <v>113.1</v>
      </c>
      <c r="V2034">
        <v>100.3</v>
      </c>
      <c r="W2034">
        <v>82.7</v>
      </c>
      <c r="X2034">
        <v>23</v>
      </c>
      <c r="Y2034">
        <v>47.4</v>
      </c>
      <c r="Z2034">
        <v>25766605</v>
      </c>
      <c r="AA2034">
        <v>-25.274398000000001</v>
      </c>
      <c r="AB2034">
        <v>133.775136</v>
      </c>
    </row>
    <row r="2035" spans="1:28" hidden="1">
      <c r="A2035">
        <v>2020</v>
      </c>
      <c r="B2035">
        <v>1400</v>
      </c>
      <c r="C2035" t="s">
        <v>217</v>
      </c>
      <c r="D2035" t="s">
        <v>3930</v>
      </c>
      <c r="E2035">
        <v>97</v>
      </c>
      <c r="G2035" t="s">
        <v>38</v>
      </c>
      <c r="H2035" t="s">
        <v>65</v>
      </c>
      <c r="I2035" t="s">
        <v>287</v>
      </c>
      <c r="J2035" t="s">
        <v>217</v>
      </c>
      <c r="K2035" t="s">
        <v>38</v>
      </c>
      <c r="M2035" t="b">
        <v>1</v>
      </c>
      <c r="N2035" t="s">
        <v>42</v>
      </c>
      <c r="O2035" t="s">
        <v>33</v>
      </c>
      <c r="P2035" t="s">
        <v>3931</v>
      </c>
      <c r="Q2035">
        <v>117.24</v>
      </c>
      <c r="R2035">
        <v>7.5</v>
      </c>
      <c r="S2035" t="s">
        <v>44</v>
      </c>
      <c r="T2035">
        <v>88.2</v>
      </c>
      <c r="V2035">
        <v>101.8</v>
      </c>
      <c r="W2035">
        <v>78.5</v>
      </c>
      <c r="X2035">
        <v>9.6</v>
      </c>
      <c r="Y2035">
        <v>36.6</v>
      </c>
      <c r="Z2035">
        <v>328239523</v>
      </c>
      <c r="AA2035">
        <v>37.090240000000001</v>
      </c>
      <c r="AB2035">
        <v>-95.712890999999999</v>
      </c>
    </row>
    <row r="2036" spans="1:28">
      <c r="A2036">
        <v>2020</v>
      </c>
      <c r="B2036">
        <v>1400</v>
      </c>
      <c r="C2036" t="s">
        <v>54</v>
      </c>
      <c r="D2036" t="s">
        <v>3932</v>
      </c>
      <c r="E2036">
        <v>65</v>
      </c>
      <c r="F2036" t="str">
        <f>IF(E2036&gt;=90,"90-100",IF(E2036&gt;=80,"80-90",IF(E2036&gt;=70,"70-80",IF(E2036&gt;=60,"60-70",IF(E2036&gt;=50,"50-60",IF(E2036&gt;=40,"40-50",IF(E2036&gt;=30,"30-40","20-30")))))))</f>
        <v>60-70</v>
      </c>
      <c r="G2036" t="s">
        <v>38</v>
      </c>
      <c r="H2036" t="s">
        <v>257</v>
      </c>
      <c r="I2036" t="s">
        <v>231</v>
      </c>
      <c r="J2036" t="s">
        <v>54</v>
      </c>
      <c r="K2036" t="s">
        <v>38</v>
      </c>
      <c r="L2036" t="s">
        <v>3933</v>
      </c>
      <c r="M2036" t="b">
        <v>1</v>
      </c>
      <c r="N2036" t="s">
        <v>32</v>
      </c>
      <c r="O2036" t="s">
        <v>4867</v>
      </c>
      <c r="P2036" t="s">
        <v>3934</v>
      </c>
      <c r="Q2036">
        <v>117.24</v>
      </c>
      <c r="R2036">
        <v>7.5</v>
      </c>
      <c r="S2036" t="s">
        <v>44</v>
      </c>
      <c r="T2036">
        <v>88.2</v>
      </c>
      <c r="U2036" t="str">
        <f>IF(T2036&gt;=100,"above 100",IF(T2036&gt;=80,"80-100",IF(T2036&gt;=60,"60-80",IF(T2036&gt;=40,"40-60",IF(T2036&gt;=20,"20-60","0-20")))))</f>
        <v>80-100</v>
      </c>
      <c r="V2036">
        <v>101.8</v>
      </c>
      <c r="W2036">
        <v>78.5</v>
      </c>
      <c r="X2036">
        <v>9.6</v>
      </c>
      <c r="Y2036">
        <v>36.6</v>
      </c>
      <c r="Z2036">
        <v>328239523</v>
      </c>
      <c r="AA2036">
        <v>37.090240000000001</v>
      </c>
      <c r="AB2036">
        <v>-95.712890999999999</v>
      </c>
    </row>
    <row r="2037" spans="1:28" hidden="1">
      <c r="A2037">
        <v>2020</v>
      </c>
      <c r="B2037">
        <v>1400</v>
      </c>
      <c r="C2037" t="s">
        <v>26</v>
      </c>
      <c r="D2037" t="s">
        <v>3935</v>
      </c>
      <c r="E2037">
        <v>75</v>
      </c>
      <c r="G2037" t="s">
        <v>156</v>
      </c>
      <c r="H2037" t="s">
        <v>211</v>
      </c>
      <c r="I2037" t="s">
        <v>3936</v>
      </c>
      <c r="J2037" t="s">
        <v>26</v>
      </c>
      <c r="K2037" t="s">
        <v>189</v>
      </c>
      <c r="M2037" t="b">
        <v>1</v>
      </c>
      <c r="N2037" t="s">
        <v>42</v>
      </c>
      <c r="O2037" t="s">
        <v>33</v>
      </c>
      <c r="Q2037">
        <v>99.55</v>
      </c>
      <c r="R2037">
        <v>0.4</v>
      </c>
      <c r="S2037" t="s">
        <v>159</v>
      </c>
      <c r="T2037">
        <v>59.6</v>
      </c>
      <c r="V2037">
        <v>105.2</v>
      </c>
      <c r="W2037">
        <v>83.6</v>
      </c>
      <c r="X2037">
        <v>10.1</v>
      </c>
      <c r="Y2037">
        <v>28.8</v>
      </c>
      <c r="Z2037">
        <v>8574832</v>
      </c>
      <c r="AA2037">
        <v>46.818187999999999</v>
      </c>
      <c r="AB2037">
        <v>8.2275120000000008</v>
      </c>
    </row>
    <row r="2038" spans="1:28" hidden="1">
      <c r="A2038">
        <v>2020</v>
      </c>
      <c r="B2038">
        <v>1400</v>
      </c>
      <c r="C2038" t="s">
        <v>45</v>
      </c>
      <c r="D2038" t="s">
        <v>3937</v>
      </c>
      <c r="E2038">
        <v>44</v>
      </c>
      <c r="G2038" t="s">
        <v>38</v>
      </c>
      <c r="H2038" t="s">
        <v>652</v>
      </c>
      <c r="I2038" t="s">
        <v>3938</v>
      </c>
      <c r="J2038" t="s">
        <v>45</v>
      </c>
      <c r="K2038" t="s">
        <v>397</v>
      </c>
      <c r="M2038" t="b">
        <v>1</v>
      </c>
      <c r="N2038" t="s">
        <v>42</v>
      </c>
      <c r="O2038" t="s">
        <v>33</v>
      </c>
      <c r="Q2038">
        <v>117.24</v>
      </c>
      <c r="R2038">
        <v>7.5</v>
      </c>
      <c r="S2038" t="s">
        <v>44</v>
      </c>
      <c r="T2038">
        <v>88.2</v>
      </c>
      <c r="V2038">
        <v>101.8</v>
      </c>
      <c r="W2038">
        <v>78.5</v>
      </c>
      <c r="X2038">
        <v>9.6</v>
      </c>
      <c r="Y2038">
        <v>36.6</v>
      </c>
      <c r="Z2038">
        <v>328239523</v>
      </c>
      <c r="AA2038">
        <v>37.090240000000001</v>
      </c>
      <c r="AB2038">
        <v>-95.712890999999999</v>
      </c>
    </row>
    <row r="2039" spans="1:28" hidden="1">
      <c r="A2039">
        <v>2020</v>
      </c>
      <c r="B2039">
        <v>1400</v>
      </c>
      <c r="C2039" t="s">
        <v>75</v>
      </c>
      <c r="D2039" t="s">
        <v>3939</v>
      </c>
      <c r="E2039">
        <v>55</v>
      </c>
      <c r="G2039" t="s">
        <v>726</v>
      </c>
      <c r="H2039" t="s">
        <v>727</v>
      </c>
      <c r="I2039" t="s">
        <v>75</v>
      </c>
      <c r="J2039" t="s">
        <v>75</v>
      </c>
      <c r="K2039" t="s">
        <v>726</v>
      </c>
      <c r="M2039" t="b">
        <v>0</v>
      </c>
      <c r="N2039" t="s">
        <v>42</v>
      </c>
      <c r="O2039" t="s">
        <v>33</v>
      </c>
      <c r="Q2039">
        <v>129.61000000000001</v>
      </c>
      <c r="R2039">
        <v>2.5</v>
      </c>
      <c r="S2039" t="s">
        <v>728</v>
      </c>
      <c r="T2039">
        <v>35.5</v>
      </c>
      <c r="V2039">
        <v>107.5</v>
      </c>
      <c r="W2039">
        <v>71.099999999999994</v>
      </c>
      <c r="X2039">
        <v>14</v>
      </c>
      <c r="Y2039">
        <v>43.1</v>
      </c>
      <c r="Z2039">
        <v>108116615</v>
      </c>
      <c r="AA2039">
        <v>12.879721</v>
      </c>
      <c r="AB2039">
        <v>121.774017</v>
      </c>
    </row>
    <row r="2040" spans="1:28" hidden="1">
      <c r="A2040">
        <v>2020</v>
      </c>
      <c r="B2040">
        <v>1400</v>
      </c>
      <c r="C2040" t="s">
        <v>101</v>
      </c>
      <c r="D2040" t="s">
        <v>3940</v>
      </c>
      <c r="E2040">
        <v>53</v>
      </c>
      <c r="G2040" t="s">
        <v>103</v>
      </c>
      <c r="H2040" t="s">
        <v>489</v>
      </c>
      <c r="I2040" t="s">
        <v>3941</v>
      </c>
      <c r="J2040" t="s">
        <v>101</v>
      </c>
      <c r="K2040" t="s">
        <v>103</v>
      </c>
      <c r="M2040" t="b">
        <v>1</v>
      </c>
      <c r="N2040" t="s">
        <v>32</v>
      </c>
      <c r="O2040" t="s">
        <v>33</v>
      </c>
      <c r="Q2040">
        <v>125.08</v>
      </c>
      <c r="R2040">
        <v>2.9</v>
      </c>
      <c r="S2040" t="s">
        <v>106</v>
      </c>
      <c r="T2040">
        <v>50.6</v>
      </c>
      <c r="V2040">
        <v>100.2</v>
      </c>
      <c r="W2040">
        <v>77</v>
      </c>
      <c r="X2040">
        <v>9.4</v>
      </c>
      <c r="Y2040">
        <v>59.2</v>
      </c>
      <c r="Z2040">
        <v>1397715000</v>
      </c>
      <c r="AA2040">
        <v>35.861660000000001</v>
      </c>
      <c r="AB2040">
        <v>104.195397</v>
      </c>
    </row>
    <row r="2041" spans="1:28" hidden="1">
      <c r="A2041">
        <v>2020</v>
      </c>
      <c r="B2041">
        <v>1400</v>
      </c>
      <c r="C2041" t="s">
        <v>217</v>
      </c>
      <c r="D2041" t="s">
        <v>3942</v>
      </c>
      <c r="E2041">
        <v>64</v>
      </c>
      <c r="G2041" t="s">
        <v>77</v>
      </c>
      <c r="H2041" t="s">
        <v>3943</v>
      </c>
      <c r="I2041" t="s">
        <v>3944</v>
      </c>
      <c r="J2041" t="s">
        <v>217</v>
      </c>
      <c r="K2041" t="s">
        <v>77</v>
      </c>
      <c r="M2041" t="b">
        <v>1</v>
      </c>
      <c r="N2041" t="s">
        <v>42</v>
      </c>
      <c r="O2041" t="s">
        <v>33</v>
      </c>
      <c r="Q2041">
        <v>180.44</v>
      </c>
      <c r="R2041">
        <v>7.7</v>
      </c>
      <c r="S2041" t="s">
        <v>81</v>
      </c>
      <c r="T2041">
        <v>28.1</v>
      </c>
      <c r="V2041">
        <v>113</v>
      </c>
      <c r="W2041">
        <v>69.400000000000006</v>
      </c>
      <c r="X2041">
        <v>11.2</v>
      </c>
      <c r="Y2041">
        <v>49.7</v>
      </c>
      <c r="Z2041">
        <v>1366417754</v>
      </c>
      <c r="AA2041">
        <v>20.593684</v>
      </c>
      <c r="AB2041">
        <v>78.962879999999998</v>
      </c>
    </row>
    <row r="2042" spans="1:28" hidden="1">
      <c r="A2042">
        <v>2020</v>
      </c>
      <c r="B2042">
        <v>1400</v>
      </c>
      <c r="C2042" t="s">
        <v>308</v>
      </c>
      <c r="D2042" t="s">
        <v>3945</v>
      </c>
      <c r="E2042">
        <v>80</v>
      </c>
      <c r="G2042" t="s">
        <v>156</v>
      </c>
      <c r="H2042" t="s">
        <v>1251</v>
      </c>
      <c r="I2042" t="s">
        <v>3946</v>
      </c>
      <c r="J2042" t="s">
        <v>308</v>
      </c>
      <c r="K2042" t="s">
        <v>833</v>
      </c>
      <c r="M2042" t="b">
        <v>1</v>
      </c>
      <c r="N2042" t="s">
        <v>42</v>
      </c>
      <c r="O2042" t="s">
        <v>33</v>
      </c>
      <c r="Q2042">
        <v>99.55</v>
      </c>
      <c r="R2042">
        <v>0.4</v>
      </c>
      <c r="S2042" t="s">
        <v>159</v>
      </c>
      <c r="T2042">
        <v>59.6</v>
      </c>
      <c r="V2042">
        <v>105.2</v>
      </c>
      <c r="W2042">
        <v>83.6</v>
      </c>
      <c r="X2042">
        <v>10.1</v>
      </c>
      <c r="Y2042">
        <v>28.8</v>
      </c>
      <c r="Z2042">
        <v>8574832</v>
      </c>
      <c r="AA2042">
        <v>46.818187999999999</v>
      </c>
      <c r="AB2042">
        <v>8.2275120000000008</v>
      </c>
    </row>
    <row r="2043" spans="1:28" hidden="1">
      <c r="A2043">
        <v>2020</v>
      </c>
      <c r="B2043">
        <v>1400</v>
      </c>
      <c r="C2043" t="s">
        <v>469</v>
      </c>
      <c r="D2043" t="s">
        <v>3947</v>
      </c>
      <c r="E2043">
        <v>44</v>
      </c>
      <c r="G2043" t="s">
        <v>28</v>
      </c>
      <c r="H2043" t="s">
        <v>29</v>
      </c>
      <c r="I2043" t="s">
        <v>876</v>
      </c>
      <c r="J2043" t="s">
        <v>469</v>
      </c>
      <c r="K2043" t="s">
        <v>2367</v>
      </c>
      <c r="M2043" t="b">
        <v>0</v>
      </c>
      <c r="N2043" t="s">
        <v>419</v>
      </c>
      <c r="O2043" t="s">
        <v>33</v>
      </c>
      <c r="Q2043">
        <v>110.05</v>
      </c>
      <c r="R2043">
        <v>1.1000000000000001</v>
      </c>
      <c r="S2043" t="s">
        <v>35</v>
      </c>
      <c r="T2043">
        <v>65.599999999999994</v>
      </c>
      <c r="V2043">
        <v>102.5</v>
      </c>
      <c r="W2043">
        <v>82.5</v>
      </c>
      <c r="X2043">
        <v>24.2</v>
      </c>
      <c r="Y2043">
        <v>60.7</v>
      </c>
      <c r="Z2043">
        <v>67059887</v>
      </c>
      <c r="AA2043">
        <v>46.227637999999999</v>
      </c>
      <c r="AB2043">
        <v>2.213749</v>
      </c>
    </row>
    <row r="2044" spans="1:28" hidden="1">
      <c r="A2044">
        <v>2020</v>
      </c>
      <c r="B2044">
        <v>1400</v>
      </c>
      <c r="C2044" t="s">
        <v>54</v>
      </c>
      <c r="D2044" t="s">
        <v>3948</v>
      </c>
      <c r="E2044">
        <v>79</v>
      </c>
      <c r="G2044" t="s">
        <v>70</v>
      </c>
      <c r="H2044" t="s">
        <v>71</v>
      </c>
      <c r="I2044" t="s">
        <v>3204</v>
      </c>
      <c r="J2044" t="s">
        <v>54</v>
      </c>
      <c r="K2044" t="s">
        <v>70</v>
      </c>
      <c r="M2044" t="b">
        <v>1</v>
      </c>
      <c r="N2044" t="s">
        <v>32</v>
      </c>
      <c r="O2044" t="s">
        <v>33</v>
      </c>
      <c r="Q2044">
        <v>141.54</v>
      </c>
      <c r="R2044">
        <v>3.6</v>
      </c>
      <c r="S2044" t="s">
        <v>74</v>
      </c>
      <c r="T2044">
        <v>40.200000000000003</v>
      </c>
      <c r="V2044">
        <v>105.8</v>
      </c>
      <c r="W2044">
        <v>75</v>
      </c>
      <c r="X2044">
        <v>13.1</v>
      </c>
      <c r="Y2044">
        <v>55.1</v>
      </c>
      <c r="Z2044">
        <v>126014024</v>
      </c>
      <c r="AA2044">
        <v>23.634501</v>
      </c>
      <c r="AB2044">
        <v>-102.552784</v>
      </c>
    </row>
    <row r="2045" spans="1:28" hidden="1">
      <c r="A2045">
        <v>2020</v>
      </c>
      <c r="B2045">
        <v>1400</v>
      </c>
      <c r="C2045" t="s">
        <v>36</v>
      </c>
      <c r="D2045" t="s">
        <v>3949</v>
      </c>
      <c r="E2045">
        <v>45</v>
      </c>
      <c r="G2045" t="s">
        <v>103</v>
      </c>
      <c r="H2045" t="s">
        <v>489</v>
      </c>
      <c r="I2045" t="s">
        <v>1778</v>
      </c>
      <c r="J2045" t="s">
        <v>36</v>
      </c>
      <c r="K2045" t="s">
        <v>103</v>
      </c>
      <c r="M2045" t="b">
        <v>1</v>
      </c>
      <c r="N2045" t="s">
        <v>42</v>
      </c>
      <c r="O2045" t="s">
        <v>33</v>
      </c>
      <c r="Q2045">
        <v>125.08</v>
      </c>
      <c r="R2045">
        <v>2.9</v>
      </c>
      <c r="S2045" t="s">
        <v>106</v>
      </c>
      <c r="T2045">
        <v>50.6</v>
      </c>
      <c r="V2045">
        <v>100.2</v>
      </c>
      <c r="W2045">
        <v>77</v>
      </c>
      <c r="X2045">
        <v>9.4</v>
      </c>
      <c r="Y2045">
        <v>59.2</v>
      </c>
      <c r="Z2045">
        <v>1397715000</v>
      </c>
      <c r="AA2045">
        <v>35.861660000000001</v>
      </c>
      <c r="AB2045">
        <v>104.195397</v>
      </c>
    </row>
    <row r="2046" spans="1:28" hidden="1">
      <c r="A2046">
        <v>2020</v>
      </c>
      <c r="B2046">
        <v>1400</v>
      </c>
      <c r="C2046" t="s">
        <v>26</v>
      </c>
      <c r="D2046" t="s">
        <v>3950</v>
      </c>
      <c r="E2046">
        <v>65</v>
      </c>
      <c r="G2046" t="s">
        <v>203</v>
      </c>
      <c r="H2046" t="s">
        <v>204</v>
      </c>
      <c r="I2046" t="s">
        <v>1260</v>
      </c>
      <c r="J2046" t="s">
        <v>26</v>
      </c>
      <c r="K2046" t="s">
        <v>148</v>
      </c>
      <c r="M2046" t="b">
        <v>0</v>
      </c>
      <c r="N2046" t="s">
        <v>419</v>
      </c>
      <c r="O2046" t="s">
        <v>33</v>
      </c>
      <c r="Q2046">
        <v>119.62</v>
      </c>
      <c r="R2046">
        <v>1.7</v>
      </c>
      <c r="S2046" t="s">
        <v>206</v>
      </c>
      <c r="T2046">
        <v>60</v>
      </c>
      <c r="V2046">
        <v>101.2</v>
      </c>
      <c r="W2046">
        <v>81.3</v>
      </c>
      <c r="X2046">
        <v>25.5</v>
      </c>
      <c r="Y2046">
        <v>30.6</v>
      </c>
      <c r="Z2046">
        <v>66834405</v>
      </c>
      <c r="AA2046">
        <v>55.378050999999999</v>
      </c>
      <c r="AB2046">
        <v>-3.4359730000000002</v>
      </c>
    </row>
    <row r="2047" spans="1:28" hidden="1">
      <c r="A2047">
        <v>2020</v>
      </c>
      <c r="B2047">
        <v>1400</v>
      </c>
      <c r="C2047" t="s">
        <v>26</v>
      </c>
      <c r="D2047" t="s">
        <v>3951</v>
      </c>
      <c r="E2047">
        <v>81</v>
      </c>
      <c r="G2047" t="s">
        <v>38</v>
      </c>
      <c r="H2047" t="s">
        <v>3952</v>
      </c>
      <c r="I2047" t="s">
        <v>200</v>
      </c>
      <c r="J2047" t="s">
        <v>26</v>
      </c>
      <c r="K2047" t="s">
        <v>38</v>
      </c>
      <c r="M2047" t="b">
        <v>0</v>
      </c>
      <c r="N2047" t="s">
        <v>419</v>
      </c>
      <c r="O2047" t="s">
        <v>33</v>
      </c>
      <c r="Q2047">
        <v>117.24</v>
      </c>
      <c r="R2047">
        <v>7.5</v>
      </c>
      <c r="S2047" t="s">
        <v>44</v>
      </c>
      <c r="T2047">
        <v>88.2</v>
      </c>
      <c r="V2047">
        <v>101.8</v>
      </c>
      <c r="W2047">
        <v>78.5</v>
      </c>
      <c r="X2047">
        <v>9.6</v>
      </c>
      <c r="Y2047">
        <v>36.6</v>
      </c>
      <c r="Z2047">
        <v>328239523</v>
      </c>
      <c r="AA2047">
        <v>37.090240000000001</v>
      </c>
      <c r="AB2047">
        <v>-95.712890999999999</v>
      </c>
    </row>
    <row r="2048" spans="1:28">
      <c r="A2048">
        <v>2020</v>
      </c>
      <c r="B2048">
        <v>1400</v>
      </c>
      <c r="C2048" t="s">
        <v>45</v>
      </c>
      <c r="D2048" t="s">
        <v>3953</v>
      </c>
      <c r="E2048">
        <v>40</v>
      </c>
      <c r="F2048" t="str">
        <f>IF(E2048&gt;=90,"90-100",IF(E2048&gt;=80,"80-90",IF(E2048&gt;=70,"70-80",IF(E2048&gt;=60,"60-70",IF(E2048&gt;=50,"50-60",IF(E2048&gt;=40,"40-50",IF(E2048&gt;=30,"30-40","20-30")))))))</f>
        <v>40-50</v>
      </c>
      <c r="G2048" t="s">
        <v>38</v>
      </c>
      <c r="H2048" t="s">
        <v>39</v>
      </c>
      <c r="I2048" t="s">
        <v>3954</v>
      </c>
      <c r="J2048" t="s">
        <v>45</v>
      </c>
      <c r="K2048" t="s">
        <v>38</v>
      </c>
      <c r="L2048" t="s">
        <v>3955</v>
      </c>
      <c r="M2048" t="b">
        <v>1</v>
      </c>
      <c r="N2048" t="s">
        <v>42</v>
      </c>
      <c r="O2048" t="s">
        <v>4867</v>
      </c>
      <c r="P2048" t="s">
        <v>43</v>
      </c>
      <c r="Q2048">
        <v>117.24</v>
      </c>
      <c r="R2048">
        <v>7.5</v>
      </c>
      <c r="S2048" t="s">
        <v>44</v>
      </c>
      <c r="T2048">
        <v>88.2</v>
      </c>
      <c r="U2048" t="str">
        <f>IF(T2048&gt;=100,"above 100",IF(T2048&gt;=80,"80-100",IF(T2048&gt;=60,"60-80",IF(T2048&gt;=40,"40-60",IF(T2048&gt;=20,"20-60","0-20")))))</f>
        <v>80-100</v>
      </c>
      <c r="V2048">
        <v>101.8</v>
      </c>
      <c r="W2048">
        <v>78.5</v>
      </c>
      <c r="X2048">
        <v>9.6</v>
      </c>
      <c r="Y2048">
        <v>36.6</v>
      </c>
      <c r="Z2048">
        <v>328239523</v>
      </c>
      <c r="AA2048">
        <v>37.090240000000001</v>
      </c>
      <c r="AB2048">
        <v>-95.712890999999999</v>
      </c>
    </row>
    <row r="2049" spans="1:28" hidden="1">
      <c r="A2049">
        <v>2020</v>
      </c>
      <c r="B2049">
        <v>1400</v>
      </c>
      <c r="C2049" t="s">
        <v>217</v>
      </c>
      <c r="D2049" t="s">
        <v>3956</v>
      </c>
      <c r="E2049">
        <v>58</v>
      </c>
      <c r="G2049" t="s">
        <v>103</v>
      </c>
      <c r="H2049" t="s">
        <v>3957</v>
      </c>
      <c r="I2049" t="s">
        <v>287</v>
      </c>
      <c r="J2049" t="s">
        <v>217</v>
      </c>
      <c r="K2049" t="s">
        <v>103</v>
      </c>
      <c r="M2049" t="b">
        <v>1</v>
      </c>
      <c r="N2049" t="s">
        <v>32</v>
      </c>
      <c r="O2049" t="s">
        <v>33</v>
      </c>
      <c r="Q2049">
        <v>125.08</v>
      </c>
      <c r="R2049">
        <v>2.9</v>
      </c>
      <c r="S2049" t="s">
        <v>106</v>
      </c>
      <c r="T2049">
        <v>50.6</v>
      </c>
      <c r="V2049">
        <v>100.2</v>
      </c>
      <c r="W2049">
        <v>77</v>
      </c>
      <c r="X2049">
        <v>9.4</v>
      </c>
      <c r="Y2049">
        <v>59.2</v>
      </c>
      <c r="Z2049">
        <v>1397715000</v>
      </c>
      <c r="AA2049">
        <v>35.861660000000001</v>
      </c>
      <c r="AB2049">
        <v>104.195397</v>
      </c>
    </row>
    <row r="2050" spans="1:28" hidden="1">
      <c r="A2050">
        <v>2020</v>
      </c>
      <c r="B2050">
        <v>1400</v>
      </c>
      <c r="C2050" t="s">
        <v>217</v>
      </c>
      <c r="D2050" t="s">
        <v>3958</v>
      </c>
      <c r="E2050">
        <v>74</v>
      </c>
      <c r="G2050" t="s">
        <v>77</v>
      </c>
      <c r="H2050" t="s">
        <v>78</v>
      </c>
      <c r="I2050" t="s">
        <v>3959</v>
      </c>
      <c r="J2050" t="s">
        <v>217</v>
      </c>
      <c r="K2050" t="s">
        <v>77</v>
      </c>
      <c r="M2050" t="b">
        <v>1</v>
      </c>
      <c r="N2050" t="s">
        <v>32</v>
      </c>
      <c r="O2050" t="s">
        <v>33</v>
      </c>
      <c r="Q2050">
        <v>180.44</v>
      </c>
      <c r="R2050">
        <v>7.7</v>
      </c>
      <c r="S2050" t="s">
        <v>81</v>
      </c>
      <c r="T2050">
        <v>28.1</v>
      </c>
      <c r="V2050">
        <v>113</v>
      </c>
      <c r="W2050">
        <v>69.400000000000006</v>
      </c>
      <c r="X2050">
        <v>11.2</v>
      </c>
      <c r="Y2050">
        <v>49.7</v>
      </c>
      <c r="Z2050">
        <v>1366417754</v>
      </c>
      <c r="AA2050">
        <v>20.593684</v>
      </c>
      <c r="AB2050">
        <v>78.962879999999998</v>
      </c>
    </row>
    <row r="2051" spans="1:28" hidden="1">
      <c r="A2051">
        <v>2020</v>
      </c>
      <c r="B2051">
        <v>1400</v>
      </c>
      <c r="C2051" t="s">
        <v>288</v>
      </c>
      <c r="D2051" t="s">
        <v>3960</v>
      </c>
      <c r="E2051">
        <v>68</v>
      </c>
      <c r="G2051" t="s">
        <v>103</v>
      </c>
      <c r="H2051" t="s">
        <v>521</v>
      </c>
      <c r="I2051" t="s">
        <v>418</v>
      </c>
      <c r="J2051" t="s">
        <v>288</v>
      </c>
      <c r="K2051" t="s">
        <v>103</v>
      </c>
      <c r="M2051" t="b">
        <v>1</v>
      </c>
      <c r="N2051" t="s">
        <v>42</v>
      </c>
      <c r="O2051" t="s">
        <v>33</v>
      </c>
      <c r="Q2051">
        <v>125.08</v>
      </c>
      <c r="R2051">
        <v>2.9</v>
      </c>
      <c r="S2051" t="s">
        <v>106</v>
      </c>
      <c r="T2051">
        <v>50.6</v>
      </c>
      <c r="V2051">
        <v>100.2</v>
      </c>
      <c r="W2051">
        <v>77</v>
      </c>
      <c r="X2051">
        <v>9.4</v>
      </c>
      <c r="Y2051">
        <v>59.2</v>
      </c>
      <c r="Z2051">
        <v>1397715000</v>
      </c>
      <c r="AA2051">
        <v>35.861660000000001</v>
      </c>
      <c r="AB2051">
        <v>104.195397</v>
      </c>
    </row>
    <row r="2052" spans="1:28">
      <c r="A2052">
        <v>2020</v>
      </c>
      <c r="B2052">
        <v>1400</v>
      </c>
      <c r="C2052" t="s">
        <v>63</v>
      </c>
      <c r="D2052" t="s">
        <v>3961</v>
      </c>
      <c r="E2052">
        <v>56</v>
      </c>
      <c r="F2052" t="s">
        <v>4846</v>
      </c>
      <c r="G2052" t="s">
        <v>611</v>
      </c>
      <c r="H2052" t="s">
        <v>612</v>
      </c>
      <c r="I2052" t="s">
        <v>245</v>
      </c>
      <c r="J2052" t="s">
        <v>63</v>
      </c>
      <c r="K2052" t="s">
        <v>611</v>
      </c>
      <c r="L2052" t="s">
        <v>3962</v>
      </c>
      <c r="M2052" t="b">
        <v>1</v>
      </c>
      <c r="N2052" t="s">
        <v>42</v>
      </c>
      <c r="O2052" t="s">
        <v>33</v>
      </c>
      <c r="Q2052">
        <v>115.16</v>
      </c>
      <c r="R2052">
        <v>0.4</v>
      </c>
      <c r="S2052" t="s">
        <v>615</v>
      </c>
      <c r="T2052">
        <v>94.3</v>
      </c>
      <c r="U2052" t="str">
        <f>IF(T2052&gt;=100,"above 100",IF(T2052&gt;=80,"80-100",IF(T2052&gt;=60,"60-80",IF(T2052&gt;=40,"40-60",IF(T2052&gt;=20,"20-60","0-20")))))</f>
        <v>80-100</v>
      </c>
      <c r="V2052">
        <v>98.1</v>
      </c>
      <c r="W2052">
        <v>82.6</v>
      </c>
      <c r="X2052">
        <v>15.6</v>
      </c>
      <c r="Y2052">
        <v>33.200000000000003</v>
      </c>
      <c r="Z2052">
        <v>51709098</v>
      </c>
      <c r="AA2052">
        <v>35.907756999999997</v>
      </c>
      <c r="AB2052">
        <v>127.76692199999999</v>
      </c>
    </row>
    <row r="2053" spans="1:28" hidden="1">
      <c r="A2053">
        <v>2020</v>
      </c>
      <c r="B2053">
        <v>1400</v>
      </c>
      <c r="C2053" t="s">
        <v>221</v>
      </c>
      <c r="D2053" t="s">
        <v>3963</v>
      </c>
      <c r="E2053">
        <v>59</v>
      </c>
      <c r="G2053" t="s">
        <v>395</v>
      </c>
      <c r="H2053" t="s">
        <v>395</v>
      </c>
      <c r="I2053" t="s">
        <v>3788</v>
      </c>
      <c r="J2053" t="s">
        <v>221</v>
      </c>
      <c r="K2053" t="s">
        <v>395</v>
      </c>
      <c r="M2053" t="b">
        <v>1</v>
      </c>
      <c r="N2053" t="s">
        <v>32</v>
      </c>
      <c r="O2053" t="s">
        <v>33</v>
      </c>
      <c r="Q2053">
        <v>114.41</v>
      </c>
      <c r="R2053">
        <v>0.6</v>
      </c>
      <c r="S2053" t="s">
        <v>451</v>
      </c>
      <c r="T2053">
        <v>84.8</v>
      </c>
      <c r="V2053">
        <v>100.6</v>
      </c>
      <c r="W2053">
        <v>83.1</v>
      </c>
      <c r="X2053">
        <v>13.1</v>
      </c>
      <c r="Y2053">
        <v>21</v>
      </c>
      <c r="Z2053">
        <v>5703569</v>
      </c>
      <c r="AA2053">
        <v>1.3520829999999999</v>
      </c>
      <c r="AB2053">
        <v>103.819836</v>
      </c>
    </row>
    <row r="2054" spans="1:28" hidden="1">
      <c r="A2054">
        <v>2020</v>
      </c>
      <c r="B2054">
        <v>1400</v>
      </c>
      <c r="C2054" t="s">
        <v>217</v>
      </c>
      <c r="D2054" t="s">
        <v>3964</v>
      </c>
      <c r="E2054">
        <v>51</v>
      </c>
      <c r="G2054" t="s">
        <v>263</v>
      </c>
      <c r="H2054" t="s">
        <v>274</v>
      </c>
      <c r="I2054" t="s">
        <v>2394</v>
      </c>
      <c r="J2054" t="s">
        <v>217</v>
      </c>
      <c r="K2054" t="s">
        <v>263</v>
      </c>
      <c r="M2054" t="b">
        <v>1</v>
      </c>
      <c r="N2054" t="s">
        <v>32</v>
      </c>
      <c r="O2054" t="s">
        <v>33</v>
      </c>
      <c r="Q2054">
        <v>180.75</v>
      </c>
      <c r="R2054">
        <v>4.5</v>
      </c>
      <c r="S2054" t="s">
        <v>276</v>
      </c>
      <c r="T2054">
        <v>81.900000000000006</v>
      </c>
      <c r="V2054">
        <v>102.6</v>
      </c>
      <c r="W2054">
        <v>72.7</v>
      </c>
      <c r="X2054">
        <v>11.4</v>
      </c>
      <c r="Y2054">
        <v>46.2</v>
      </c>
      <c r="Z2054">
        <v>144373535</v>
      </c>
      <c r="AA2054">
        <v>61.524009999999997</v>
      </c>
      <c r="AB2054">
        <v>105.31875599999999</v>
      </c>
    </row>
    <row r="2055" spans="1:28" hidden="1">
      <c r="A2055">
        <v>2020</v>
      </c>
      <c r="B2055">
        <v>1400</v>
      </c>
      <c r="C2055" t="s">
        <v>54</v>
      </c>
      <c r="D2055" t="s">
        <v>3965</v>
      </c>
      <c r="E2055">
        <v>76</v>
      </c>
      <c r="G2055" t="s">
        <v>77</v>
      </c>
      <c r="H2055" t="s">
        <v>78</v>
      </c>
      <c r="I2055" t="s">
        <v>1466</v>
      </c>
      <c r="J2055" t="s">
        <v>54</v>
      </c>
      <c r="K2055" t="s">
        <v>77</v>
      </c>
      <c r="M2055" t="b">
        <v>0</v>
      </c>
      <c r="N2055" t="s">
        <v>42</v>
      </c>
      <c r="O2055" t="s">
        <v>33</v>
      </c>
      <c r="Q2055">
        <v>180.44</v>
      </c>
      <c r="R2055">
        <v>7.7</v>
      </c>
      <c r="S2055" t="s">
        <v>81</v>
      </c>
      <c r="T2055">
        <v>28.1</v>
      </c>
      <c r="V2055">
        <v>113</v>
      </c>
      <c r="W2055">
        <v>69.400000000000006</v>
      </c>
      <c r="X2055">
        <v>11.2</v>
      </c>
      <c r="Y2055">
        <v>49.7</v>
      </c>
      <c r="Z2055">
        <v>1366417754</v>
      </c>
      <c r="AA2055">
        <v>20.593684</v>
      </c>
      <c r="AB2055">
        <v>78.962879999999998</v>
      </c>
    </row>
    <row r="2056" spans="1:28" hidden="1">
      <c r="A2056">
        <v>2020</v>
      </c>
      <c r="B2056">
        <v>1400</v>
      </c>
      <c r="C2056" t="s">
        <v>54</v>
      </c>
      <c r="D2056" t="s">
        <v>3966</v>
      </c>
      <c r="E2056">
        <v>42</v>
      </c>
      <c r="G2056" t="s">
        <v>156</v>
      </c>
      <c r="I2056" t="s">
        <v>75</v>
      </c>
      <c r="J2056" t="s">
        <v>54</v>
      </c>
      <c r="K2056" t="s">
        <v>1108</v>
      </c>
      <c r="M2056" t="b">
        <v>0</v>
      </c>
      <c r="N2056" t="s">
        <v>419</v>
      </c>
      <c r="O2056" t="s">
        <v>33</v>
      </c>
      <c r="Q2056">
        <v>99.55</v>
      </c>
      <c r="R2056">
        <v>0.4</v>
      </c>
      <c r="S2056" t="s">
        <v>159</v>
      </c>
      <c r="T2056">
        <v>59.6</v>
      </c>
      <c r="V2056">
        <v>105.2</v>
      </c>
      <c r="W2056">
        <v>83.6</v>
      </c>
      <c r="X2056">
        <v>10.1</v>
      </c>
      <c r="Y2056">
        <v>28.8</v>
      </c>
      <c r="Z2056">
        <v>8574832</v>
      </c>
      <c r="AA2056">
        <v>46.818187999999999</v>
      </c>
      <c r="AB2056">
        <v>8.2275120000000008</v>
      </c>
    </row>
    <row r="2057" spans="1:28" hidden="1">
      <c r="A2057">
        <v>2020</v>
      </c>
      <c r="B2057">
        <v>1400</v>
      </c>
      <c r="C2057" t="s">
        <v>221</v>
      </c>
      <c r="D2057" t="s">
        <v>3967</v>
      </c>
      <c r="E2057">
        <v>77</v>
      </c>
      <c r="G2057" t="s">
        <v>395</v>
      </c>
      <c r="H2057" t="s">
        <v>395</v>
      </c>
      <c r="I2057" t="s">
        <v>223</v>
      </c>
      <c r="J2057" t="s">
        <v>221</v>
      </c>
      <c r="K2057" t="s">
        <v>395</v>
      </c>
      <c r="M2057" t="b">
        <v>0</v>
      </c>
      <c r="N2057" t="s">
        <v>212</v>
      </c>
      <c r="O2057" t="s">
        <v>33</v>
      </c>
      <c r="Q2057">
        <v>114.41</v>
      </c>
      <c r="R2057">
        <v>0.6</v>
      </c>
      <c r="S2057" t="s">
        <v>451</v>
      </c>
      <c r="T2057">
        <v>84.8</v>
      </c>
      <c r="V2057">
        <v>100.6</v>
      </c>
      <c r="W2057">
        <v>83.1</v>
      </c>
      <c r="X2057">
        <v>13.1</v>
      </c>
      <c r="Y2057">
        <v>21</v>
      </c>
      <c r="Z2057">
        <v>5703569</v>
      </c>
      <c r="AA2057">
        <v>1.3520829999999999</v>
      </c>
      <c r="AB2057">
        <v>103.819836</v>
      </c>
    </row>
    <row r="2058" spans="1:28" hidden="1">
      <c r="A2058">
        <v>2020</v>
      </c>
      <c r="B2058">
        <v>1400</v>
      </c>
      <c r="C2058" t="s">
        <v>221</v>
      </c>
      <c r="D2058" t="s">
        <v>3968</v>
      </c>
      <c r="E2058">
        <v>65</v>
      </c>
      <c r="G2058" t="s">
        <v>395</v>
      </c>
      <c r="H2058" t="s">
        <v>395</v>
      </c>
      <c r="I2058" t="s">
        <v>223</v>
      </c>
      <c r="J2058" t="s">
        <v>221</v>
      </c>
      <c r="K2058" t="s">
        <v>395</v>
      </c>
      <c r="M2058" t="b">
        <v>0</v>
      </c>
      <c r="N2058" t="s">
        <v>212</v>
      </c>
      <c r="O2058" t="s">
        <v>33</v>
      </c>
      <c r="Q2058">
        <v>114.41</v>
      </c>
      <c r="R2058">
        <v>0.6</v>
      </c>
      <c r="S2058" t="s">
        <v>451</v>
      </c>
      <c r="T2058">
        <v>84.8</v>
      </c>
      <c r="V2058">
        <v>100.6</v>
      </c>
      <c r="W2058">
        <v>83.1</v>
      </c>
      <c r="X2058">
        <v>13.1</v>
      </c>
      <c r="Y2058">
        <v>21</v>
      </c>
      <c r="Z2058">
        <v>5703569</v>
      </c>
      <c r="AA2058">
        <v>1.3520829999999999</v>
      </c>
      <c r="AB2058">
        <v>103.819836</v>
      </c>
    </row>
    <row r="2059" spans="1:28" hidden="1">
      <c r="A2059">
        <v>2020</v>
      </c>
      <c r="B2059">
        <v>1400</v>
      </c>
      <c r="C2059" t="s">
        <v>221</v>
      </c>
      <c r="D2059" t="s">
        <v>3969</v>
      </c>
      <c r="E2059">
        <v>70</v>
      </c>
      <c r="G2059" t="s">
        <v>395</v>
      </c>
      <c r="H2059" t="s">
        <v>395</v>
      </c>
      <c r="I2059" t="s">
        <v>223</v>
      </c>
      <c r="J2059" t="s">
        <v>221</v>
      </c>
      <c r="K2059" t="s">
        <v>395</v>
      </c>
      <c r="M2059" t="b">
        <v>0</v>
      </c>
      <c r="N2059" t="s">
        <v>212</v>
      </c>
      <c r="O2059" t="s">
        <v>33</v>
      </c>
      <c r="Q2059">
        <v>114.41</v>
      </c>
      <c r="R2059">
        <v>0.6</v>
      </c>
      <c r="S2059" t="s">
        <v>451</v>
      </c>
      <c r="T2059">
        <v>84.8</v>
      </c>
      <c r="V2059">
        <v>100.6</v>
      </c>
      <c r="W2059">
        <v>83.1</v>
      </c>
      <c r="X2059">
        <v>13.1</v>
      </c>
      <c r="Y2059">
        <v>21</v>
      </c>
      <c r="Z2059">
        <v>5703569</v>
      </c>
      <c r="AA2059">
        <v>1.3520829999999999</v>
      </c>
      <c r="AB2059">
        <v>103.819836</v>
      </c>
    </row>
    <row r="2060" spans="1:28" hidden="1">
      <c r="A2060">
        <v>2020</v>
      </c>
      <c r="B2060">
        <v>1400</v>
      </c>
      <c r="C2060" t="s">
        <v>221</v>
      </c>
      <c r="D2060" t="s">
        <v>3970</v>
      </c>
      <c r="E2060">
        <v>76</v>
      </c>
      <c r="G2060" t="s">
        <v>395</v>
      </c>
      <c r="H2060" t="s">
        <v>395</v>
      </c>
      <c r="I2060" t="s">
        <v>223</v>
      </c>
      <c r="J2060" t="s">
        <v>221</v>
      </c>
      <c r="K2060" t="s">
        <v>395</v>
      </c>
      <c r="M2060" t="b">
        <v>0</v>
      </c>
      <c r="N2060" t="s">
        <v>212</v>
      </c>
      <c r="O2060" t="s">
        <v>33</v>
      </c>
      <c r="Q2060">
        <v>114.41</v>
      </c>
      <c r="R2060">
        <v>0.6</v>
      </c>
      <c r="S2060" t="s">
        <v>451</v>
      </c>
      <c r="T2060">
        <v>84.8</v>
      </c>
      <c r="V2060">
        <v>100.6</v>
      </c>
      <c r="W2060">
        <v>83.1</v>
      </c>
      <c r="X2060">
        <v>13.1</v>
      </c>
      <c r="Y2060">
        <v>21</v>
      </c>
      <c r="Z2060">
        <v>5703569</v>
      </c>
      <c r="AA2060">
        <v>1.3520829999999999</v>
      </c>
      <c r="AB2060">
        <v>103.819836</v>
      </c>
    </row>
    <row r="2061" spans="1:28" hidden="1">
      <c r="A2061">
        <v>2020</v>
      </c>
      <c r="B2061">
        <v>1400</v>
      </c>
      <c r="C2061" t="s">
        <v>75</v>
      </c>
      <c r="D2061" t="s">
        <v>3971</v>
      </c>
      <c r="E2061">
        <v>71</v>
      </c>
      <c r="G2061" t="s">
        <v>395</v>
      </c>
      <c r="H2061" t="s">
        <v>395</v>
      </c>
      <c r="I2061" t="s">
        <v>75</v>
      </c>
      <c r="J2061" t="s">
        <v>75</v>
      </c>
      <c r="K2061" t="s">
        <v>395</v>
      </c>
      <c r="M2061" t="b">
        <v>0</v>
      </c>
      <c r="N2061" t="s">
        <v>192</v>
      </c>
      <c r="O2061" t="s">
        <v>33</v>
      </c>
      <c r="Q2061">
        <v>114.41</v>
      </c>
      <c r="R2061">
        <v>0.6</v>
      </c>
      <c r="S2061" t="s">
        <v>451</v>
      </c>
      <c r="T2061">
        <v>84.8</v>
      </c>
      <c r="V2061">
        <v>100.6</v>
      </c>
      <c r="W2061">
        <v>83.1</v>
      </c>
      <c r="X2061">
        <v>13.1</v>
      </c>
      <c r="Y2061">
        <v>21</v>
      </c>
      <c r="Z2061">
        <v>5703569</v>
      </c>
      <c r="AA2061">
        <v>1.3520829999999999</v>
      </c>
      <c r="AB2061">
        <v>103.819836</v>
      </c>
    </row>
    <row r="2062" spans="1:28" hidden="1">
      <c r="A2062">
        <v>2020</v>
      </c>
      <c r="B2062">
        <v>1400</v>
      </c>
      <c r="C2062" t="s">
        <v>75</v>
      </c>
      <c r="D2062" t="s">
        <v>3972</v>
      </c>
      <c r="E2062">
        <v>67</v>
      </c>
      <c r="G2062" t="s">
        <v>395</v>
      </c>
      <c r="H2062" t="s">
        <v>395</v>
      </c>
      <c r="I2062" t="s">
        <v>75</v>
      </c>
      <c r="J2062" t="s">
        <v>75</v>
      </c>
      <c r="K2062" t="s">
        <v>395</v>
      </c>
      <c r="M2062" t="b">
        <v>0</v>
      </c>
      <c r="N2062" t="s">
        <v>32</v>
      </c>
      <c r="O2062" t="s">
        <v>33</v>
      </c>
      <c r="Q2062">
        <v>114.41</v>
      </c>
      <c r="R2062">
        <v>0.6</v>
      </c>
      <c r="S2062" t="s">
        <v>451</v>
      </c>
      <c r="T2062">
        <v>84.8</v>
      </c>
      <c r="V2062">
        <v>100.6</v>
      </c>
      <c r="W2062">
        <v>83.1</v>
      </c>
      <c r="X2062">
        <v>13.1</v>
      </c>
      <c r="Y2062">
        <v>21</v>
      </c>
      <c r="Z2062">
        <v>5703569</v>
      </c>
      <c r="AA2062">
        <v>1.3520829999999999</v>
      </c>
      <c r="AB2062">
        <v>103.819836</v>
      </c>
    </row>
    <row r="2063" spans="1:28" hidden="1">
      <c r="A2063">
        <v>2020</v>
      </c>
      <c r="B2063">
        <v>1400</v>
      </c>
      <c r="C2063" t="s">
        <v>221</v>
      </c>
      <c r="D2063" t="s">
        <v>3973</v>
      </c>
      <c r="E2063">
        <v>69</v>
      </c>
      <c r="G2063" t="s">
        <v>172</v>
      </c>
      <c r="H2063" t="s">
        <v>172</v>
      </c>
      <c r="I2063" t="s">
        <v>223</v>
      </c>
      <c r="J2063" t="s">
        <v>221</v>
      </c>
      <c r="K2063" t="s">
        <v>172</v>
      </c>
      <c r="M2063" t="b">
        <v>0</v>
      </c>
      <c r="N2063" t="s">
        <v>32</v>
      </c>
      <c r="O2063" t="s">
        <v>33</v>
      </c>
    </row>
    <row r="2064" spans="1:28">
      <c r="A2064">
        <v>2020</v>
      </c>
      <c r="B2064">
        <v>1400</v>
      </c>
      <c r="C2064" t="s">
        <v>75</v>
      </c>
      <c r="D2064" t="s">
        <v>3974</v>
      </c>
      <c r="E2064">
        <v>60</v>
      </c>
      <c r="F2064" t="s">
        <v>4848</v>
      </c>
      <c r="G2064" t="s">
        <v>611</v>
      </c>
      <c r="H2064" t="s">
        <v>612</v>
      </c>
      <c r="I2064" t="s">
        <v>75</v>
      </c>
      <c r="J2064" t="s">
        <v>75</v>
      </c>
      <c r="K2064" t="s">
        <v>611</v>
      </c>
      <c r="L2064" t="s">
        <v>3975</v>
      </c>
      <c r="M2064" t="b">
        <v>0</v>
      </c>
      <c r="N2064" t="s">
        <v>32</v>
      </c>
      <c r="O2064" t="s">
        <v>33</v>
      </c>
      <c r="Q2064">
        <v>115.16</v>
      </c>
      <c r="R2064">
        <v>0.4</v>
      </c>
      <c r="S2064" t="s">
        <v>615</v>
      </c>
      <c r="T2064">
        <v>94.3</v>
      </c>
      <c r="U2064" t="str">
        <f>IF(T2064&gt;=100,"above 100",IF(T2064&gt;=80,"80-100",IF(T2064&gt;=60,"60-80",IF(T2064&gt;=40,"40-60",IF(T2064&gt;=20,"20-60","0-20")))))</f>
        <v>80-100</v>
      </c>
      <c r="V2064">
        <v>98.1</v>
      </c>
      <c r="W2064">
        <v>82.6</v>
      </c>
      <c r="X2064">
        <v>15.6</v>
      </c>
      <c r="Y2064">
        <v>33.200000000000003</v>
      </c>
      <c r="Z2064">
        <v>51709098</v>
      </c>
      <c r="AA2064">
        <v>35.907756999999997</v>
      </c>
      <c r="AB2064">
        <v>127.76692199999999</v>
      </c>
    </row>
    <row r="2065" spans="1:28" hidden="1">
      <c r="A2065">
        <v>2020</v>
      </c>
      <c r="B2065">
        <v>1400</v>
      </c>
      <c r="C2065" t="s">
        <v>54</v>
      </c>
      <c r="D2065" t="s">
        <v>3976</v>
      </c>
      <c r="E2065">
        <v>72</v>
      </c>
      <c r="G2065" t="s">
        <v>127</v>
      </c>
      <c r="H2065" t="s">
        <v>3977</v>
      </c>
      <c r="I2065" t="s">
        <v>3417</v>
      </c>
      <c r="J2065" t="s">
        <v>54</v>
      </c>
      <c r="K2065" t="s">
        <v>127</v>
      </c>
      <c r="M2065" t="b">
        <v>1</v>
      </c>
      <c r="N2065" t="s">
        <v>42</v>
      </c>
      <c r="O2065" t="s">
        <v>33</v>
      </c>
      <c r="Q2065">
        <v>116.76</v>
      </c>
      <c r="R2065">
        <v>1.9</v>
      </c>
      <c r="S2065" t="s">
        <v>132</v>
      </c>
      <c r="T2065">
        <v>68.900000000000006</v>
      </c>
      <c r="V2065">
        <v>100.9</v>
      </c>
      <c r="W2065">
        <v>81.900000000000006</v>
      </c>
      <c r="X2065">
        <v>12.8</v>
      </c>
      <c r="Y2065">
        <v>24.5</v>
      </c>
      <c r="Z2065">
        <v>36991981</v>
      </c>
      <c r="AA2065">
        <v>56.130366000000002</v>
      </c>
      <c r="AB2065">
        <v>-106.346771</v>
      </c>
    </row>
    <row r="2066" spans="1:28" hidden="1">
      <c r="A2066">
        <v>2020</v>
      </c>
      <c r="B2066">
        <v>1400</v>
      </c>
      <c r="C2066" t="s">
        <v>308</v>
      </c>
      <c r="D2066" t="s">
        <v>3978</v>
      </c>
      <c r="E2066">
        <v>69</v>
      </c>
      <c r="G2066" t="s">
        <v>339</v>
      </c>
      <c r="H2066" t="s">
        <v>340</v>
      </c>
      <c r="I2066" t="s">
        <v>3946</v>
      </c>
      <c r="J2066" t="s">
        <v>308</v>
      </c>
      <c r="K2066" t="s">
        <v>164</v>
      </c>
      <c r="M2066" t="b">
        <v>0</v>
      </c>
      <c r="N2066" t="s">
        <v>42</v>
      </c>
      <c r="O2066" t="s">
        <v>33</v>
      </c>
      <c r="S2066" t="s">
        <v>343</v>
      </c>
      <c r="Z2066">
        <v>38964</v>
      </c>
      <c r="AA2066">
        <v>43.738417599999998</v>
      </c>
      <c r="AB2066">
        <v>7.4246157999999998</v>
      </c>
    </row>
    <row r="2067" spans="1:28" hidden="1">
      <c r="A2067">
        <v>2020</v>
      </c>
      <c r="B2067">
        <v>1400</v>
      </c>
      <c r="C2067" t="s">
        <v>26</v>
      </c>
      <c r="D2067" t="s">
        <v>3979</v>
      </c>
      <c r="E2067">
        <v>97</v>
      </c>
      <c r="G2067" t="s">
        <v>203</v>
      </c>
      <c r="H2067" t="s">
        <v>204</v>
      </c>
      <c r="I2067" t="s">
        <v>3980</v>
      </c>
      <c r="J2067" t="s">
        <v>26</v>
      </c>
      <c r="K2067" t="s">
        <v>203</v>
      </c>
      <c r="M2067" t="b">
        <v>1</v>
      </c>
      <c r="N2067" t="s">
        <v>32</v>
      </c>
      <c r="O2067" t="s">
        <v>33</v>
      </c>
      <c r="Q2067">
        <v>119.62</v>
      </c>
      <c r="R2067">
        <v>1.7</v>
      </c>
      <c r="S2067" t="s">
        <v>206</v>
      </c>
      <c r="T2067">
        <v>60</v>
      </c>
      <c r="V2067">
        <v>101.2</v>
      </c>
      <c r="W2067">
        <v>81.3</v>
      </c>
      <c r="X2067">
        <v>25.5</v>
      </c>
      <c r="Y2067">
        <v>30.6</v>
      </c>
      <c r="Z2067">
        <v>66834405</v>
      </c>
      <c r="AA2067">
        <v>55.378050999999999</v>
      </c>
      <c r="AB2067">
        <v>-3.4359730000000002</v>
      </c>
    </row>
    <row r="2068" spans="1:28" hidden="1">
      <c r="A2068">
        <v>2020</v>
      </c>
      <c r="B2068">
        <v>1400</v>
      </c>
      <c r="C2068" t="s">
        <v>236</v>
      </c>
      <c r="D2068" t="s">
        <v>3981</v>
      </c>
      <c r="G2068" t="s">
        <v>103</v>
      </c>
      <c r="H2068" t="s">
        <v>3982</v>
      </c>
      <c r="I2068" t="s">
        <v>240</v>
      </c>
      <c r="J2068" t="s">
        <v>236</v>
      </c>
      <c r="K2068" t="s">
        <v>103</v>
      </c>
      <c r="M2068" t="b">
        <v>0</v>
      </c>
      <c r="N2068" t="s">
        <v>42</v>
      </c>
      <c r="O2068" t="s">
        <v>88</v>
      </c>
      <c r="Q2068">
        <v>125.08</v>
      </c>
      <c r="R2068">
        <v>2.9</v>
      </c>
      <c r="S2068" t="s">
        <v>106</v>
      </c>
      <c r="T2068">
        <v>50.6</v>
      </c>
      <c r="V2068">
        <v>100.2</v>
      </c>
      <c r="W2068">
        <v>77</v>
      </c>
      <c r="X2068">
        <v>9.4</v>
      </c>
      <c r="Y2068">
        <v>59.2</v>
      </c>
      <c r="Z2068">
        <v>1397715000</v>
      </c>
      <c r="AA2068">
        <v>35.861660000000001</v>
      </c>
      <c r="AB2068">
        <v>104.195397</v>
      </c>
    </row>
    <row r="2069" spans="1:28" hidden="1">
      <c r="A2069">
        <v>2020</v>
      </c>
      <c r="B2069">
        <v>1400</v>
      </c>
      <c r="C2069" t="s">
        <v>36</v>
      </c>
      <c r="D2069" t="s">
        <v>3983</v>
      </c>
      <c r="E2069">
        <v>48</v>
      </c>
      <c r="G2069" t="s">
        <v>103</v>
      </c>
      <c r="H2069" t="s">
        <v>143</v>
      </c>
      <c r="I2069" t="s">
        <v>1778</v>
      </c>
      <c r="J2069" t="s">
        <v>36</v>
      </c>
      <c r="K2069" t="s">
        <v>103</v>
      </c>
      <c r="M2069" t="b">
        <v>1</v>
      </c>
      <c r="N2069" t="s">
        <v>42</v>
      </c>
      <c r="O2069" t="s">
        <v>33</v>
      </c>
      <c r="Q2069">
        <v>125.08</v>
      </c>
      <c r="R2069">
        <v>2.9</v>
      </c>
      <c r="S2069" t="s">
        <v>106</v>
      </c>
      <c r="T2069">
        <v>50.6</v>
      </c>
      <c r="V2069">
        <v>100.2</v>
      </c>
      <c r="W2069">
        <v>77</v>
      </c>
      <c r="X2069">
        <v>9.4</v>
      </c>
      <c r="Y2069">
        <v>59.2</v>
      </c>
      <c r="Z2069">
        <v>1397715000</v>
      </c>
      <c r="AA2069">
        <v>35.861660000000001</v>
      </c>
      <c r="AB2069">
        <v>104.195397</v>
      </c>
    </row>
    <row r="2070" spans="1:28" hidden="1">
      <c r="A2070">
        <v>2020</v>
      </c>
      <c r="B2070">
        <v>1400</v>
      </c>
      <c r="C2070" t="s">
        <v>217</v>
      </c>
      <c r="D2070" t="s">
        <v>3984</v>
      </c>
      <c r="E2070">
        <v>52</v>
      </c>
      <c r="G2070" t="s">
        <v>397</v>
      </c>
      <c r="H2070" t="s">
        <v>3985</v>
      </c>
      <c r="I2070" t="s">
        <v>3986</v>
      </c>
      <c r="J2070" t="s">
        <v>217</v>
      </c>
      <c r="K2070" t="s">
        <v>397</v>
      </c>
      <c r="M2070" t="b">
        <v>0</v>
      </c>
      <c r="N2070" t="s">
        <v>419</v>
      </c>
      <c r="O2070" t="s">
        <v>88</v>
      </c>
      <c r="Q2070">
        <v>110.51</v>
      </c>
      <c r="R2070">
        <v>1.8</v>
      </c>
      <c r="S2070" t="s">
        <v>401</v>
      </c>
      <c r="T2070">
        <v>67</v>
      </c>
      <c r="V2070">
        <v>126.6</v>
      </c>
      <c r="W2070">
        <v>82.5</v>
      </c>
      <c r="X2070">
        <v>27.9</v>
      </c>
      <c r="Y2070">
        <v>49.1</v>
      </c>
      <c r="Z2070">
        <v>10285453</v>
      </c>
      <c r="AA2070">
        <v>60.128160999999999</v>
      </c>
      <c r="AB2070">
        <v>18.643501000000001</v>
      </c>
    </row>
    <row r="2071" spans="1:28" hidden="1">
      <c r="A2071">
        <v>2020</v>
      </c>
      <c r="B2071">
        <v>1400</v>
      </c>
      <c r="C2071" t="s">
        <v>288</v>
      </c>
      <c r="D2071" t="s">
        <v>3987</v>
      </c>
      <c r="E2071">
        <v>53</v>
      </c>
      <c r="G2071" t="s">
        <v>103</v>
      </c>
      <c r="H2071" t="s">
        <v>215</v>
      </c>
      <c r="I2071" t="s">
        <v>971</v>
      </c>
      <c r="J2071" t="s">
        <v>288</v>
      </c>
      <c r="K2071" t="s">
        <v>103</v>
      </c>
      <c r="M2071" t="b">
        <v>1</v>
      </c>
      <c r="N2071" t="s">
        <v>42</v>
      </c>
      <c r="O2071" t="s">
        <v>33</v>
      </c>
      <c r="Q2071">
        <v>125.08</v>
      </c>
      <c r="R2071">
        <v>2.9</v>
      </c>
      <c r="S2071" t="s">
        <v>106</v>
      </c>
      <c r="T2071">
        <v>50.6</v>
      </c>
      <c r="V2071">
        <v>100.2</v>
      </c>
      <c r="W2071">
        <v>77</v>
      </c>
      <c r="X2071">
        <v>9.4</v>
      </c>
      <c r="Y2071">
        <v>59.2</v>
      </c>
      <c r="Z2071">
        <v>1397715000</v>
      </c>
      <c r="AA2071">
        <v>35.861660000000001</v>
      </c>
      <c r="AB2071">
        <v>104.195397</v>
      </c>
    </row>
    <row r="2072" spans="1:28" hidden="1">
      <c r="A2072">
        <v>2020</v>
      </c>
      <c r="B2072">
        <v>1400</v>
      </c>
      <c r="C2072" t="s">
        <v>45</v>
      </c>
      <c r="D2072" t="s">
        <v>3988</v>
      </c>
      <c r="E2072">
        <v>69</v>
      </c>
      <c r="G2072" t="s">
        <v>810</v>
      </c>
      <c r="H2072" t="s">
        <v>811</v>
      </c>
      <c r="I2072" t="s">
        <v>217</v>
      </c>
      <c r="J2072" t="s">
        <v>45</v>
      </c>
      <c r="K2072" t="s">
        <v>810</v>
      </c>
      <c r="M2072" t="b">
        <v>1</v>
      </c>
      <c r="N2072" t="s">
        <v>42</v>
      </c>
      <c r="O2072" t="s">
        <v>33</v>
      </c>
    </row>
    <row r="2073" spans="1:28" hidden="1">
      <c r="A2073">
        <v>2020</v>
      </c>
      <c r="B2073">
        <v>1400</v>
      </c>
      <c r="C2073" t="s">
        <v>217</v>
      </c>
      <c r="D2073" t="s">
        <v>3989</v>
      </c>
      <c r="E2073">
        <v>60</v>
      </c>
      <c r="G2073" t="s">
        <v>172</v>
      </c>
      <c r="H2073" t="s">
        <v>172</v>
      </c>
      <c r="I2073" t="s">
        <v>1913</v>
      </c>
      <c r="J2073" t="s">
        <v>217</v>
      </c>
      <c r="K2073" t="s">
        <v>384</v>
      </c>
      <c r="M2073" t="b">
        <v>1</v>
      </c>
      <c r="N2073" t="s">
        <v>42</v>
      </c>
      <c r="O2073" t="s">
        <v>33</v>
      </c>
    </row>
    <row r="2074" spans="1:28" hidden="1">
      <c r="A2074">
        <v>2020</v>
      </c>
      <c r="B2074">
        <v>1400</v>
      </c>
      <c r="C2074" t="s">
        <v>236</v>
      </c>
      <c r="D2074" t="s">
        <v>3990</v>
      </c>
      <c r="E2074">
        <v>70</v>
      </c>
      <c r="G2074" t="s">
        <v>263</v>
      </c>
      <c r="H2074" t="s">
        <v>274</v>
      </c>
      <c r="I2074" t="s">
        <v>231</v>
      </c>
      <c r="J2074" t="s">
        <v>236</v>
      </c>
      <c r="K2074" t="s">
        <v>263</v>
      </c>
      <c r="M2074" t="b">
        <v>1</v>
      </c>
      <c r="N2074" t="s">
        <v>419</v>
      </c>
      <c r="O2074" t="s">
        <v>33</v>
      </c>
      <c r="Q2074">
        <v>180.75</v>
      </c>
      <c r="R2074">
        <v>4.5</v>
      </c>
      <c r="S2074" t="s">
        <v>276</v>
      </c>
      <c r="T2074">
        <v>81.900000000000006</v>
      </c>
      <c r="V2074">
        <v>102.6</v>
      </c>
      <c r="W2074">
        <v>72.7</v>
      </c>
      <c r="X2074">
        <v>11.4</v>
      </c>
      <c r="Y2074">
        <v>46.2</v>
      </c>
      <c r="Z2074">
        <v>144373535</v>
      </c>
      <c r="AA2074">
        <v>61.524009999999997</v>
      </c>
      <c r="AB2074">
        <v>105.31875599999999</v>
      </c>
    </row>
    <row r="2075" spans="1:28" hidden="1">
      <c r="A2075">
        <v>2020</v>
      </c>
      <c r="B2075">
        <v>1400</v>
      </c>
      <c r="C2075" t="s">
        <v>101</v>
      </c>
      <c r="D2075" t="s">
        <v>3991</v>
      </c>
      <c r="E2075">
        <v>79</v>
      </c>
      <c r="G2075" t="s">
        <v>127</v>
      </c>
      <c r="H2075" t="s">
        <v>643</v>
      </c>
      <c r="I2075" t="s">
        <v>755</v>
      </c>
      <c r="J2075" t="s">
        <v>101</v>
      </c>
      <c r="K2075" t="s">
        <v>127</v>
      </c>
      <c r="M2075" t="b">
        <v>0</v>
      </c>
      <c r="N2075" t="s">
        <v>42</v>
      </c>
      <c r="O2075" t="s">
        <v>33</v>
      </c>
      <c r="Q2075">
        <v>116.76</v>
      </c>
      <c r="R2075">
        <v>1.9</v>
      </c>
      <c r="S2075" t="s">
        <v>132</v>
      </c>
      <c r="T2075">
        <v>68.900000000000006</v>
      </c>
      <c r="V2075">
        <v>100.9</v>
      </c>
      <c r="W2075">
        <v>81.900000000000006</v>
      </c>
      <c r="X2075">
        <v>12.8</v>
      </c>
      <c r="Y2075">
        <v>24.5</v>
      </c>
      <c r="Z2075">
        <v>36991981</v>
      </c>
      <c r="AA2075">
        <v>56.130366000000002</v>
      </c>
      <c r="AB2075">
        <v>-106.346771</v>
      </c>
    </row>
    <row r="2076" spans="1:28" hidden="1">
      <c r="A2076">
        <v>2020</v>
      </c>
      <c r="B2076">
        <v>1400</v>
      </c>
      <c r="C2076" t="s">
        <v>75</v>
      </c>
      <c r="D2076" t="s">
        <v>3992</v>
      </c>
      <c r="E2076">
        <v>90</v>
      </c>
      <c r="G2076" t="s">
        <v>384</v>
      </c>
      <c r="H2076" t="s">
        <v>3993</v>
      </c>
      <c r="I2076" t="s">
        <v>522</v>
      </c>
      <c r="J2076" t="s">
        <v>75</v>
      </c>
      <c r="K2076" t="s">
        <v>384</v>
      </c>
      <c r="M2076" t="b">
        <v>1</v>
      </c>
      <c r="N2076" t="s">
        <v>212</v>
      </c>
      <c r="O2076" t="s">
        <v>88</v>
      </c>
      <c r="P2076" t="s">
        <v>125</v>
      </c>
      <c r="Q2076">
        <v>167.4</v>
      </c>
      <c r="R2076">
        <v>3.7</v>
      </c>
      <c r="S2076" t="s">
        <v>563</v>
      </c>
      <c r="T2076">
        <v>51.3</v>
      </c>
      <c r="V2076">
        <v>115.4</v>
      </c>
      <c r="W2076">
        <v>75.7</v>
      </c>
      <c r="X2076">
        <v>14.2</v>
      </c>
      <c r="Y2076">
        <v>65.099999999999994</v>
      </c>
      <c r="Z2076">
        <v>212559417</v>
      </c>
      <c r="AA2076">
        <v>-14.235004</v>
      </c>
      <c r="AB2076">
        <v>-51.925280000000001</v>
      </c>
    </row>
    <row r="2077" spans="1:28" hidden="1">
      <c r="A2077">
        <v>2020</v>
      </c>
      <c r="B2077">
        <v>1400</v>
      </c>
      <c r="C2077" t="s">
        <v>63</v>
      </c>
      <c r="D2077" t="s">
        <v>3994</v>
      </c>
      <c r="E2077">
        <v>69</v>
      </c>
      <c r="G2077" t="s">
        <v>38</v>
      </c>
      <c r="H2077" t="s">
        <v>548</v>
      </c>
      <c r="I2077" t="s">
        <v>3995</v>
      </c>
      <c r="J2077" t="s">
        <v>63</v>
      </c>
      <c r="K2077" t="s">
        <v>38</v>
      </c>
      <c r="M2077" t="b">
        <v>0</v>
      </c>
      <c r="N2077" t="s">
        <v>419</v>
      </c>
      <c r="O2077" t="s">
        <v>33</v>
      </c>
      <c r="Q2077">
        <v>117.24</v>
      </c>
      <c r="R2077">
        <v>7.5</v>
      </c>
      <c r="S2077" t="s">
        <v>44</v>
      </c>
      <c r="T2077">
        <v>88.2</v>
      </c>
      <c r="V2077">
        <v>101.8</v>
      </c>
      <c r="W2077">
        <v>78.5</v>
      </c>
      <c r="X2077">
        <v>9.6</v>
      </c>
      <c r="Y2077">
        <v>36.6</v>
      </c>
      <c r="Z2077">
        <v>328239523</v>
      </c>
      <c r="AA2077">
        <v>37.090240000000001</v>
      </c>
      <c r="AB2077">
        <v>-95.712890999999999</v>
      </c>
    </row>
    <row r="2078" spans="1:28" hidden="1">
      <c r="A2078">
        <v>2020</v>
      </c>
      <c r="B2078">
        <v>1400</v>
      </c>
      <c r="C2078" t="s">
        <v>45</v>
      </c>
      <c r="D2078" t="s">
        <v>3996</v>
      </c>
      <c r="E2078">
        <v>82</v>
      </c>
      <c r="G2078" t="s">
        <v>103</v>
      </c>
      <c r="H2078" t="s">
        <v>633</v>
      </c>
      <c r="I2078" t="s">
        <v>3997</v>
      </c>
      <c r="J2078" t="s">
        <v>45</v>
      </c>
      <c r="K2078" t="s">
        <v>103</v>
      </c>
      <c r="M2078" t="b">
        <v>1</v>
      </c>
      <c r="N2078" t="s">
        <v>42</v>
      </c>
      <c r="O2078" t="s">
        <v>33</v>
      </c>
      <c r="Q2078">
        <v>125.08</v>
      </c>
      <c r="R2078">
        <v>2.9</v>
      </c>
      <c r="S2078" t="s">
        <v>106</v>
      </c>
      <c r="T2078">
        <v>50.6</v>
      </c>
      <c r="V2078">
        <v>100.2</v>
      </c>
      <c r="W2078">
        <v>77</v>
      </c>
      <c r="X2078">
        <v>9.4</v>
      </c>
      <c r="Y2078">
        <v>59.2</v>
      </c>
      <c r="Z2078">
        <v>1397715000</v>
      </c>
      <c r="AA2078">
        <v>35.861660000000001</v>
      </c>
      <c r="AB2078">
        <v>104.195397</v>
      </c>
    </row>
    <row r="2079" spans="1:28" hidden="1">
      <c r="A2079">
        <v>2020</v>
      </c>
      <c r="B2079">
        <v>1400</v>
      </c>
      <c r="C2079" t="s">
        <v>217</v>
      </c>
      <c r="D2079" t="s">
        <v>3998</v>
      </c>
      <c r="E2079">
        <v>82</v>
      </c>
      <c r="G2079" t="s">
        <v>203</v>
      </c>
      <c r="H2079" t="s">
        <v>3999</v>
      </c>
      <c r="I2079" t="s">
        <v>217</v>
      </c>
      <c r="J2079" t="s">
        <v>217</v>
      </c>
      <c r="K2079" t="s">
        <v>203</v>
      </c>
      <c r="M2079" t="b">
        <v>1</v>
      </c>
      <c r="N2079" t="s">
        <v>42</v>
      </c>
      <c r="O2079" t="s">
        <v>33</v>
      </c>
      <c r="Q2079">
        <v>119.62</v>
      </c>
      <c r="R2079">
        <v>1.7</v>
      </c>
      <c r="S2079" t="s">
        <v>206</v>
      </c>
      <c r="T2079">
        <v>60</v>
      </c>
      <c r="V2079">
        <v>101.2</v>
      </c>
      <c r="W2079">
        <v>81.3</v>
      </c>
      <c r="X2079">
        <v>25.5</v>
      </c>
      <c r="Y2079">
        <v>30.6</v>
      </c>
      <c r="Z2079">
        <v>66834405</v>
      </c>
      <c r="AA2079">
        <v>55.378050999999999</v>
      </c>
      <c r="AB2079">
        <v>-3.4359730000000002</v>
      </c>
    </row>
    <row r="2080" spans="1:28" hidden="1">
      <c r="A2080">
        <v>2020</v>
      </c>
      <c r="B2080">
        <v>1400</v>
      </c>
      <c r="C2080" t="s">
        <v>217</v>
      </c>
      <c r="D2080" t="s">
        <v>4000</v>
      </c>
      <c r="E2080">
        <v>66</v>
      </c>
      <c r="G2080" t="s">
        <v>77</v>
      </c>
      <c r="H2080" t="s">
        <v>4001</v>
      </c>
      <c r="I2080" t="s">
        <v>287</v>
      </c>
      <c r="J2080" t="s">
        <v>217</v>
      </c>
      <c r="K2080" t="s">
        <v>77</v>
      </c>
      <c r="M2080" t="b">
        <v>0</v>
      </c>
      <c r="N2080" t="s">
        <v>42</v>
      </c>
      <c r="O2080" t="s">
        <v>33</v>
      </c>
      <c r="Q2080">
        <v>180.44</v>
      </c>
      <c r="R2080">
        <v>7.7</v>
      </c>
      <c r="S2080" t="s">
        <v>81</v>
      </c>
      <c r="T2080">
        <v>28.1</v>
      </c>
      <c r="V2080">
        <v>113</v>
      </c>
      <c r="W2080">
        <v>69.400000000000006</v>
      </c>
      <c r="X2080">
        <v>11.2</v>
      </c>
      <c r="Y2080">
        <v>49.7</v>
      </c>
      <c r="Z2080">
        <v>1366417754</v>
      </c>
      <c r="AA2080">
        <v>20.593684</v>
      </c>
      <c r="AB2080">
        <v>78.962879999999998</v>
      </c>
    </row>
    <row r="2081" spans="1:28" hidden="1">
      <c r="A2081">
        <v>2020</v>
      </c>
      <c r="B2081">
        <v>1400</v>
      </c>
      <c r="C2081" t="s">
        <v>221</v>
      </c>
      <c r="D2081" t="s">
        <v>4002</v>
      </c>
      <c r="E2081">
        <v>68</v>
      </c>
      <c r="G2081" t="s">
        <v>103</v>
      </c>
      <c r="H2081" t="s">
        <v>176</v>
      </c>
      <c r="I2081" t="s">
        <v>223</v>
      </c>
      <c r="J2081" t="s">
        <v>221</v>
      </c>
      <c r="K2081" t="s">
        <v>103</v>
      </c>
      <c r="M2081" t="b">
        <v>1</v>
      </c>
      <c r="N2081" t="s">
        <v>42</v>
      </c>
      <c r="O2081" t="s">
        <v>33</v>
      </c>
      <c r="Q2081">
        <v>125.08</v>
      </c>
      <c r="R2081">
        <v>2.9</v>
      </c>
      <c r="S2081" t="s">
        <v>106</v>
      </c>
      <c r="T2081">
        <v>50.6</v>
      </c>
      <c r="V2081">
        <v>100.2</v>
      </c>
      <c r="W2081">
        <v>77</v>
      </c>
      <c r="X2081">
        <v>9.4</v>
      </c>
      <c r="Y2081">
        <v>59.2</v>
      </c>
      <c r="Z2081">
        <v>1397715000</v>
      </c>
      <c r="AA2081">
        <v>35.861660000000001</v>
      </c>
      <c r="AB2081">
        <v>104.195397</v>
      </c>
    </row>
    <row r="2082" spans="1:28" hidden="1">
      <c r="A2082">
        <v>2020</v>
      </c>
      <c r="B2082">
        <v>1400</v>
      </c>
      <c r="C2082" t="s">
        <v>288</v>
      </c>
      <c r="D2082" t="s">
        <v>4003</v>
      </c>
      <c r="E2082">
        <v>55</v>
      </c>
      <c r="G2082" t="s">
        <v>103</v>
      </c>
      <c r="H2082" t="s">
        <v>3267</v>
      </c>
      <c r="I2082" t="s">
        <v>4004</v>
      </c>
      <c r="J2082" t="s">
        <v>288</v>
      </c>
      <c r="K2082" t="s">
        <v>103</v>
      </c>
      <c r="M2082" t="b">
        <v>1</v>
      </c>
      <c r="N2082" t="s">
        <v>32</v>
      </c>
      <c r="O2082" t="s">
        <v>33</v>
      </c>
      <c r="Q2082">
        <v>125.08</v>
      </c>
      <c r="R2082">
        <v>2.9</v>
      </c>
      <c r="S2082" t="s">
        <v>106</v>
      </c>
      <c r="T2082">
        <v>50.6</v>
      </c>
      <c r="V2082">
        <v>100.2</v>
      </c>
      <c r="W2082">
        <v>77</v>
      </c>
      <c r="X2082">
        <v>9.4</v>
      </c>
      <c r="Y2082">
        <v>59.2</v>
      </c>
      <c r="Z2082">
        <v>1397715000</v>
      </c>
      <c r="AA2082">
        <v>35.861660000000001</v>
      </c>
      <c r="AB2082">
        <v>104.195397</v>
      </c>
    </row>
    <row r="2083" spans="1:28" hidden="1">
      <c r="A2083">
        <v>2020</v>
      </c>
      <c r="B2083">
        <v>1400</v>
      </c>
      <c r="C2083" t="s">
        <v>221</v>
      </c>
      <c r="D2083" t="s">
        <v>4005</v>
      </c>
      <c r="E2083">
        <v>82</v>
      </c>
      <c r="G2083" t="s">
        <v>198</v>
      </c>
      <c r="H2083" t="s">
        <v>199</v>
      </c>
      <c r="I2083" t="s">
        <v>223</v>
      </c>
      <c r="J2083" t="s">
        <v>221</v>
      </c>
      <c r="K2083" t="s">
        <v>198</v>
      </c>
      <c r="M2083" t="b">
        <v>0</v>
      </c>
      <c r="N2083" t="s">
        <v>32</v>
      </c>
      <c r="O2083" t="s">
        <v>88</v>
      </c>
      <c r="Q2083">
        <v>105.48</v>
      </c>
      <c r="R2083">
        <v>0.5</v>
      </c>
      <c r="S2083" t="s">
        <v>201</v>
      </c>
      <c r="T2083">
        <v>63.2</v>
      </c>
      <c r="V2083">
        <v>98.8</v>
      </c>
      <c r="W2083">
        <v>84.2</v>
      </c>
      <c r="X2083">
        <v>11.9</v>
      </c>
      <c r="Y2083">
        <v>46.7</v>
      </c>
      <c r="Z2083">
        <v>126226568</v>
      </c>
      <c r="AA2083">
        <v>36.204824000000002</v>
      </c>
      <c r="AB2083">
        <v>138.25292400000001</v>
      </c>
    </row>
    <row r="2084" spans="1:28" hidden="1">
      <c r="A2084">
        <v>2020</v>
      </c>
      <c r="B2084">
        <v>1400</v>
      </c>
      <c r="C2084" t="s">
        <v>45</v>
      </c>
      <c r="D2084" t="s">
        <v>4006</v>
      </c>
      <c r="E2084">
        <v>57</v>
      </c>
      <c r="G2084" t="s">
        <v>342</v>
      </c>
      <c r="H2084" t="s">
        <v>1093</v>
      </c>
      <c r="I2084" t="s">
        <v>572</v>
      </c>
      <c r="J2084" t="s">
        <v>45</v>
      </c>
      <c r="K2084" t="s">
        <v>342</v>
      </c>
      <c r="M2084" t="b">
        <v>1</v>
      </c>
      <c r="N2084" t="s">
        <v>419</v>
      </c>
      <c r="O2084" t="s">
        <v>33</v>
      </c>
      <c r="Q2084">
        <v>108.15</v>
      </c>
      <c r="R2084">
        <v>0.8</v>
      </c>
      <c r="S2084" t="s">
        <v>532</v>
      </c>
      <c r="T2084">
        <v>63.4</v>
      </c>
      <c r="V2084">
        <v>104.9</v>
      </c>
      <c r="W2084">
        <v>82.8</v>
      </c>
      <c r="X2084">
        <v>23.1</v>
      </c>
      <c r="Y2084">
        <v>25.3</v>
      </c>
      <c r="Z2084">
        <v>9053300</v>
      </c>
      <c r="AA2084">
        <v>31.046050999999999</v>
      </c>
      <c r="AB2084">
        <v>34.851612000000003</v>
      </c>
    </row>
    <row r="2085" spans="1:28" hidden="1">
      <c r="A2085">
        <v>2020</v>
      </c>
      <c r="B2085">
        <v>1400</v>
      </c>
      <c r="C2085" t="s">
        <v>288</v>
      </c>
      <c r="D2085" t="s">
        <v>4007</v>
      </c>
      <c r="G2085" t="s">
        <v>198</v>
      </c>
      <c r="H2085" t="s">
        <v>4008</v>
      </c>
      <c r="I2085" t="s">
        <v>4009</v>
      </c>
      <c r="J2085" t="s">
        <v>288</v>
      </c>
      <c r="K2085" t="s">
        <v>198</v>
      </c>
      <c r="M2085" t="b">
        <v>0</v>
      </c>
      <c r="N2085" t="s">
        <v>42</v>
      </c>
      <c r="O2085" t="s">
        <v>88</v>
      </c>
      <c r="Q2085">
        <v>105.48</v>
      </c>
      <c r="R2085">
        <v>0.5</v>
      </c>
      <c r="S2085" t="s">
        <v>201</v>
      </c>
      <c r="T2085">
        <v>63.2</v>
      </c>
      <c r="V2085">
        <v>98.8</v>
      </c>
      <c r="W2085">
        <v>84.2</v>
      </c>
      <c r="X2085">
        <v>11.9</v>
      </c>
      <c r="Y2085">
        <v>46.7</v>
      </c>
      <c r="Z2085">
        <v>126226568</v>
      </c>
      <c r="AA2085">
        <v>36.204824000000002</v>
      </c>
      <c r="AB2085">
        <v>138.25292400000001</v>
      </c>
    </row>
    <row r="2086" spans="1:28" hidden="1">
      <c r="A2086">
        <v>2020</v>
      </c>
      <c r="B2086">
        <v>1400</v>
      </c>
      <c r="C2086" t="s">
        <v>236</v>
      </c>
      <c r="D2086" t="s">
        <v>4010</v>
      </c>
      <c r="E2086">
        <v>59</v>
      </c>
      <c r="G2086" t="s">
        <v>1160</v>
      </c>
      <c r="H2086" t="s">
        <v>3021</v>
      </c>
      <c r="I2086" t="s">
        <v>362</v>
      </c>
      <c r="J2086" t="s">
        <v>236</v>
      </c>
      <c r="K2086" t="s">
        <v>1160</v>
      </c>
      <c r="M2086" t="b">
        <v>1</v>
      </c>
      <c r="N2086" t="s">
        <v>32</v>
      </c>
      <c r="O2086" t="s">
        <v>33</v>
      </c>
      <c r="Q2086">
        <v>281.66000000000003</v>
      </c>
      <c r="R2086">
        <v>7.9</v>
      </c>
      <c r="S2086" t="s">
        <v>1163</v>
      </c>
      <c r="T2086">
        <v>82.7</v>
      </c>
      <c r="V2086">
        <v>99</v>
      </c>
      <c r="W2086">
        <v>71.599999999999994</v>
      </c>
      <c r="X2086">
        <v>20.100000000000001</v>
      </c>
      <c r="Y2086">
        <v>45.2</v>
      </c>
      <c r="Z2086">
        <v>44385155</v>
      </c>
      <c r="AA2086">
        <v>48.379432999999999</v>
      </c>
      <c r="AB2086">
        <v>31.165579999999999</v>
      </c>
    </row>
    <row r="2087" spans="1:28" hidden="1">
      <c r="A2087">
        <v>2020</v>
      </c>
      <c r="B2087">
        <v>1400</v>
      </c>
      <c r="C2087" t="s">
        <v>54</v>
      </c>
      <c r="D2087" t="s">
        <v>4011</v>
      </c>
      <c r="E2087">
        <v>49</v>
      </c>
      <c r="G2087" t="s">
        <v>429</v>
      </c>
      <c r="H2087" t="s">
        <v>430</v>
      </c>
      <c r="I2087" t="s">
        <v>4012</v>
      </c>
      <c r="J2087" t="s">
        <v>54</v>
      </c>
      <c r="K2087" t="s">
        <v>429</v>
      </c>
      <c r="M2087" t="b">
        <v>0</v>
      </c>
      <c r="N2087" t="s">
        <v>42</v>
      </c>
      <c r="O2087" t="s">
        <v>33</v>
      </c>
      <c r="Q2087">
        <v>113.27</v>
      </c>
      <c r="R2087">
        <v>0.7</v>
      </c>
      <c r="S2087" t="s">
        <v>431</v>
      </c>
      <c r="T2087">
        <v>49.3</v>
      </c>
      <c r="V2087">
        <v>99.8</v>
      </c>
      <c r="W2087">
        <v>76.900000000000006</v>
      </c>
      <c r="X2087">
        <v>14.9</v>
      </c>
      <c r="Y2087">
        <v>29.5</v>
      </c>
      <c r="Z2087">
        <v>69625582</v>
      </c>
      <c r="AA2087">
        <v>15.870032</v>
      </c>
      <c r="AB2087">
        <v>100.992541</v>
      </c>
    </row>
    <row r="2088" spans="1:28" hidden="1">
      <c r="A2088">
        <v>2020</v>
      </c>
      <c r="B2088">
        <v>1400</v>
      </c>
      <c r="C2088" t="s">
        <v>54</v>
      </c>
      <c r="D2088" t="s">
        <v>4013</v>
      </c>
      <c r="E2088">
        <v>57</v>
      </c>
      <c r="G2088" t="s">
        <v>238</v>
      </c>
      <c r="H2088" t="s">
        <v>492</v>
      </c>
      <c r="I2088" t="s">
        <v>231</v>
      </c>
      <c r="J2088" t="s">
        <v>54</v>
      </c>
      <c r="K2088" t="s">
        <v>238</v>
      </c>
      <c r="M2088" t="b">
        <v>0</v>
      </c>
      <c r="N2088" t="s">
        <v>42</v>
      </c>
      <c r="O2088" t="s">
        <v>88</v>
      </c>
      <c r="Q2088">
        <v>119.8</v>
      </c>
      <c r="R2088">
        <v>1.6</v>
      </c>
      <c r="S2088" t="s">
        <v>243</v>
      </c>
      <c r="T2088">
        <v>113.1</v>
      </c>
      <c r="V2088">
        <v>100.3</v>
      </c>
      <c r="W2088">
        <v>82.7</v>
      </c>
      <c r="X2088">
        <v>23</v>
      </c>
      <c r="Y2088">
        <v>47.4</v>
      </c>
      <c r="Z2088">
        <v>25766605</v>
      </c>
      <c r="AA2088">
        <v>-25.274398000000001</v>
      </c>
      <c r="AB2088">
        <v>133.775136</v>
      </c>
    </row>
    <row r="2089" spans="1:28" hidden="1">
      <c r="A2089">
        <v>2020</v>
      </c>
      <c r="B2089">
        <v>1400</v>
      </c>
      <c r="C2089" t="s">
        <v>217</v>
      </c>
      <c r="D2089" t="s">
        <v>4014</v>
      </c>
      <c r="E2089">
        <v>58</v>
      </c>
      <c r="G2089" t="s">
        <v>103</v>
      </c>
      <c r="H2089" t="s">
        <v>2663</v>
      </c>
      <c r="I2089" t="s">
        <v>217</v>
      </c>
      <c r="J2089" t="s">
        <v>217</v>
      </c>
      <c r="K2089" t="s">
        <v>103</v>
      </c>
      <c r="M2089" t="b">
        <v>1</v>
      </c>
      <c r="N2089" t="s">
        <v>192</v>
      </c>
      <c r="O2089" t="s">
        <v>33</v>
      </c>
      <c r="Q2089">
        <v>125.08</v>
      </c>
      <c r="R2089">
        <v>2.9</v>
      </c>
      <c r="S2089" t="s">
        <v>106</v>
      </c>
      <c r="T2089">
        <v>50.6</v>
      </c>
      <c r="V2089">
        <v>100.2</v>
      </c>
      <c r="W2089">
        <v>77</v>
      </c>
      <c r="X2089">
        <v>9.4</v>
      </c>
      <c r="Y2089">
        <v>59.2</v>
      </c>
      <c r="Z2089">
        <v>1397715000</v>
      </c>
      <c r="AA2089">
        <v>35.861660000000001</v>
      </c>
      <c r="AB2089">
        <v>104.195397</v>
      </c>
    </row>
    <row r="2090" spans="1:28" hidden="1">
      <c r="A2090">
        <v>2020</v>
      </c>
      <c r="B2090">
        <v>1400</v>
      </c>
      <c r="C2090" t="s">
        <v>221</v>
      </c>
      <c r="D2090" t="s">
        <v>4015</v>
      </c>
      <c r="E2090">
        <v>60</v>
      </c>
      <c r="G2090" t="s">
        <v>103</v>
      </c>
      <c r="H2090" t="s">
        <v>143</v>
      </c>
      <c r="I2090" t="s">
        <v>223</v>
      </c>
      <c r="J2090" t="s">
        <v>221</v>
      </c>
      <c r="K2090" t="s">
        <v>103</v>
      </c>
      <c r="M2090" t="b">
        <v>1</v>
      </c>
      <c r="N2090" t="s">
        <v>212</v>
      </c>
      <c r="O2090" t="s">
        <v>33</v>
      </c>
      <c r="Q2090">
        <v>125.08</v>
      </c>
      <c r="R2090">
        <v>2.9</v>
      </c>
      <c r="S2090" t="s">
        <v>106</v>
      </c>
      <c r="T2090">
        <v>50.6</v>
      </c>
      <c r="V2090">
        <v>100.2</v>
      </c>
      <c r="W2090">
        <v>77</v>
      </c>
      <c r="X2090">
        <v>9.4</v>
      </c>
      <c r="Y2090">
        <v>59.2</v>
      </c>
      <c r="Z2090">
        <v>1397715000</v>
      </c>
      <c r="AA2090">
        <v>35.861660000000001</v>
      </c>
      <c r="AB2090">
        <v>104.195397</v>
      </c>
    </row>
    <row r="2091" spans="1:28">
      <c r="A2091">
        <v>2020</v>
      </c>
      <c r="B2091">
        <v>1400</v>
      </c>
      <c r="C2091" t="s">
        <v>288</v>
      </c>
      <c r="D2091" t="s">
        <v>4016</v>
      </c>
      <c r="E2091">
        <v>56</v>
      </c>
      <c r="F2091" t="str">
        <f>IF(E2091&gt;=90,"90-100",IF(E2091&gt;=80,"80-90",IF(E2091&gt;=70,"70-80",IF(E2091&gt;=60,"60-70",IF(E2091&gt;=50,"50-60",IF(E2091&gt;=40,"40-50",IF(E2091&gt;=30,"30-40","20-30")))))))</f>
        <v>50-60</v>
      </c>
      <c r="G2091" t="s">
        <v>38</v>
      </c>
      <c r="H2091" t="s">
        <v>4017</v>
      </c>
      <c r="I2091" t="s">
        <v>440</v>
      </c>
      <c r="J2091" t="s">
        <v>288</v>
      </c>
      <c r="K2091" t="s">
        <v>38</v>
      </c>
      <c r="L2091" t="s">
        <v>4018</v>
      </c>
      <c r="M2091" t="b">
        <v>1</v>
      </c>
      <c r="N2091" t="s">
        <v>42</v>
      </c>
      <c r="O2091" t="s">
        <v>4867</v>
      </c>
      <c r="P2091" t="s">
        <v>2423</v>
      </c>
      <c r="Q2091">
        <v>117.24</v>
      </c>
      <c r="R2091">
        <v>7.5</v>
      </c>
      <c r="S2091" t="s">
        <v>44</v>
      </c>
      <c r="T2091">
        <v>88.2</v>
      </c>
      <c r="U2091" t="str">
        <f>IF(T2091&gt;=100,"above 100",IF(T2091&gt;=80,"80-100",IF(T2091&gt;=60,"60-80",IF(T2091&gt;=40,"40-60",IF(T2091&gt;=20,"20-60","0-20")))))</f>
        <v>80-100</v>
      </c>
      <c r="V2091">
        <v>101.8</v>
      </c>
      <c r="W2091">
        <v>78.5</v>
      </c>
      <c r="X2091">
        <v>9.6</v>
      </c>
      <c r="Y2091">
        <v>36.6</v>
      </c>
      <c r="Z2091">
        <v>328239523</v>
      </c>
      <c r="AA2091">
        <v>37.090240000000001</v>
      </c>
      <c r="AB2091">
        <v>-95.712890999999999</v>
      </c>
    </row>
    <row r="2092" spans="1:28" hidden="1">
      <c r="A2092">
        <v>2020</v>
      </c>
      <c r="B2092">
        <v>1400</v>
      </c>
      <c r="C2092" t="s">
        <v>26</v>
      </c>
      <c r="D2092" t="s">
        <v>4019</v>
      </c>
      <c r="E2092">
        <v>38</v>
      </c>
      <c r="G2092" t="s">
        <v>397</v>
      </c>
      <c r="H2092" t="s">
        <v>398</v>
      </c>
      <c r="I2092" t="s">
        <v>399</v>
      </c>
      <c r="J2092" t="s">
        <v>26</v>
      </c>
      <c r="K2092" t="s">
        <v>397</v>
      </c>
      <c r="M2092" t="b">
        <v>0</v>
      </c>
      <c r="N2092" t="s">
        <v>42</v>
      </c>
      <c r="O2092" t="s">
        <v>33</v>
      </c>
      <c r="Q2092">
        <v>110.51</v>
      </c>
      <c r="R2092">
        <v>1.8</v>
      </c>
      <c r="S2092" t="s">
        <v>401</v>
      </c>
      <c r="T2092">
        <v>67</v>
      </c>
      <c r="V2092">
        <v>126.6</v>
      </c>
      <c r="W2092">
        <v>82.5</v>
      </c>
      <c r="X2092">
        <v>27.9</v>
      </c>
      <c r="Y2092">
        <v>49.1</v>
      </c>
      <c r="Z2092">
        <v>10285453</v>
      </c>
      <c r="AA2092">
        <v>60.128160999999999</v>
      </c>
      <c r="AB2092">
        <v>18.643501000000001</v>
      </c>
    </row>
    <row r="2093" spans="1:28" hidden="1">
      <c r="A2093">
        <v>2020</v>
      </c>
      <c r="B2093">
        <v>1400</v>
      </c>
      <c r="C2093" t="s">
        <v>36</v>
      </c>
      <c r="D2093" t="s">
        <v>4020</v>
      </c>
      <c r="E2093">
        <v>50</v>
      </c>
      <c r="G2093" t="s">
        <v>103</v>
      </c>
      <c r="H2093" t="s">
        <v>1831</v>
      </c>
      <c r="I2093" t="s">
        <v>2067</v>
      </c>
      <c r="J2093" t="s">
        <v>36</v>
      </c>
      <c r="K2093" t="s">
        <v>103</v>
      </c>
      <c r="M2093" t="b">
        <v>1</v>
      </c>
      <c r="N2093" t="s">
        <v>853</v>
      </c>
      <c r="O2093" t="s">
        <v>88</v>
      </c>
      <c r="Q2093">
        <v>125.08</v>
      </c>
      <c r="R2093">
        <v>2.9</v>
      </c>
      <c r="S2093" t="s">
        <v>106</v>
      </c>
      <c r="T2093">
        <v>50.6</v>
      </c>
      <c r="V2093">
        <v>100.2</v>
      </c>
      <c r="W2093">
        <v>77</v>
      </c>
      <c r="X2093">
        <v>9.4</v>
      </c>
      <c r="Y2093">
        <v>59.2</v>
      </c>
      <c r="Z2093">
        <v>1397715000</v>
      </c>
      <c r="AA2093">
        <v>35.861660000000001</v>
      </c>
      <c r="AB2093">
        <v>104.195397</v>
      </c>
    </row>
    <row r="2094" spans="1:28" hidden="1">
      <c r="A2094">
        <v>2020</v>
      </c>
      <c r="B2094">
        <v>1400</v>
      </c>
      <c r="C2094" t="s">
        <v>217</v>
      </c>
      <c r="D2094" t="s">
        <v>4021</v>
      </c>
      <c r="E2094">
        <v>57</v>
      </c>
      <c r="G2094" t="s">
        <v>103</v>
      </c>
      <c r="H2094" t="s">
        <v>1941</v>
      </c>
      <c r="I2094" t="s">
        <v>4022</v>
      </c>
      <c r="J2094" t="s">
        <v>217</v>
      </c>
      <c r="K2094" t="s">
        <v>103</v>
      </c>
      <c r="M2094" t="b">
        <v>1</v>
      </c>
      <c r="N2094" t="s">
        <v>42</v>
      </c>
      <c r="O2094" t="s">
        <v>33</v>
      </c>
      <c r="Q2094">
        <v>125.08</v>
      </c>
      <c r="R2094">
        <v>2.9</v>
      </c>
      <c r="S2094" t="s">
        <v>106</v>
      </c>
      <c r="T2094">
        <v>50.6</v>
      </c>
      <c r="V2094">
        <v>100.2</v>
      </c>
      <c r="W2094">
        <v>77</v>
      </c>
      <c r="X2094">
        <v>9.4</v>
      </c>
      <c r="Y2094">
        <v>59.2</v>
      </c>
      <c r="Z2094">
        <v>1397715000</v>
      </c>
      <c r="AA2094">
        <v>35.861660000000001</v>
      </c>
      <c r="AB2094">
        <v>104.195397</v>
      </c>
    </row>
    <row r="2095" spans="1:28" hidden="1">
      <c r="A2095">
        <v>2020</v>
      </c>
      <c r="B2095">
        <v>1400</v>
      </c>
      <c r="C2095" t="s">
        <v>288</v>
      </c>
      <c r="D2095" t="s">
        <v>4023</v>
      </c>
      <c r="E2095">
        <v>65</v>
      </c>
      <c r="G2095" t="s">
        <v>77</v>
      </c>
      <c r="H2095" t="s">
        <v>1374</v>
      </c>
      <c r="I2095" t="s">
        <v>418</v>
      </c>
      <c r="J2095" t="s">
        <v>288</v>
      </c>
      <c r="K2095" t="s">
        <v>77</v>
      </c>
      <c r="M2095" t="b">
        <v>1</v>
      </c>
      <c r="N2095" t="s">
        <v>42</v>
      </c>
      <c r="O2095" t="s">
        <v>33</v>
      </c>
      <c r="Q2095">
        <v>180.44</v>
      </c>
      <c r="R2095">
        <v>7.7</v>
      </c>
      <c r="S2095" t="s">
        <v>81</v>
      </c>
      <c r="T2095">
        <v>28.1</v>
      </c>
      <c r="V2095">
        <v>113</v>
      </c>
      <c r="W2095">
        <v>69.400000000000006</v>
      </c>
      <c r="X2095">
        <v>11.2</v>
      </c>
      <c r="Y2095">
        <v>49.7</v>
      </c>
      <c r="Z2095">
        <v>1366417754</v>
      </c>
      <c r="AA2095">
        <v>20.593684</v>
      </c>
      <c r="AB2095">
        <v>78.962879999999998</v>
      </c>
    </row>
    <row r="2096" spans="1:28" hidden="1">
      <c r="A2096">
        <v>2020</v>
      </c>
      <c r="B2096">
        <v>1400</v>
      </c>
      <c r="C2096" t="s">
        <v>75</v>
      </c>
      <c r="D2096" t="s">
        <v>4024</v>
      </c>
      <c r="E2096">
        <v>93</v>
      </c>
      <c r="G2096" t="s">
        <v>252</v>
      </c>
      <c r="H2096" t="s">
        <v>253</v>
      </c>
      <c r="I2096" t="s">
        <v>75</v>
      </c>
      <c r="J2096" t="s">
        <v>75</v>
      </c>
      <c r="K2096" t="s">
        <v>252</v>
      </c>
      <c r="M2096" t="b">
        <v>1</v>
      </c>
      <c r="N2096" t="s">
        <v>42</v>
      </c>
      <c r="O2096" t="s">
        <v>33</v>
      </c>
      <c r="Q2096">
        <v>151.18</v>
      </c>
      <c r="R2096">
        <v>3</v>
      </c>
      <c r="S2096" t="s">
        <v>255</v>
      </c>
      <c r="T2096">
        <v>36.299999999999997</v>
      </c>
      <c r="V2096">
        <v>106.4</v>
      </c>
      <c r="W2096">
        <v>71.5</v>
      </c>
      <c r="X2096">
        <v>10.199999999999999</v>
      </c>
      <c r="Y2096">
        <v>30.1</v>
      </c>
      <c r="Z2096">
        <v>270203917</v>
      </c>
      <c r="AA2096">
        <v>-0.78927499999999995</v>
      </c>
      <c r="AB2096">
        <v>113.92132700000001</v>
      </c>
    </row>
    <row r="2097" spans="1:28" hidden="1">
      <c r="A2097">
        <v>2020</v>
      </c>
      <c r="B2097">
        <v>1400</v>
      </c>
      <c r="C2097" t="s">
        <v>26</v>
      </c>
      <c r="D2097" t="s">
        <v>4025</v>
      </c>
      <c r="E2097">
        <v>35</v>
      </c>
      <c r="G2097" t="s">
        <v>38</v>
      </c>
      <c r="H2097" t="s">
        <v>635</v>
      </c>
      <c r="I2097" t="s">
        <v>4026</v>
      </c>
      <c r="J2097" t="s">
        <v>26</v>
      </c>
      <c r="K2097" t="s">
        <v>4027</v>
      </c>
      <c r="M2097" t="b">
        <v>1</v>
      </c>
      <c r="N2097" t="s">
        <v>42</v>
      </c>
      <c r="O2097" t="s">
        <v>88</v>
      </c>
      <c r="P2097" t="s">
        <v>4028</v>
      </c>
      <c r="Q2097">
        <v>117.24</v>
      </c>
      <c r="R2097">
        <v>7.5</v>
      </c>
      <c r="S2097" t="s">
        <v>44</v>
      </c>
      <c r="T2097">
        <v>88.2</v>
      </c>
      <c r="V2097">
        <v>101.8</v>
      </c>
      <c r="W2097">
        <v>78.5</v>
      </c>
      <c r="X2097">
        <v>9.6</v>
      </c>
      <c r="Y2097">
        <v>36.6</v>
      </c>
      <c r="Z2097">
        <v>328239523</v>
      </c>
      <c r="AA2097">
        <v>37.090240000000001</v>
      </c>
      <c r="AB2097">
        <v>-95.712890999999999</v>
      </c>
    </row>
    <row r="2098" spans="1:28" hidden="1">
      <c r="A2098">
        <v>2020</v>
      </c>
      <c r="B2098">
        <v>1400</v>
      </c>
      <c r="C2098" t="s">
        <v>469</v>
      </c>
      <c r="D2098" t="s">
        <v>4029</v>
      </c>
      <c r="E2098">
        <v>66</v>
      </c>
      <c r="G2098" t="s">
        <v>263</v>
      </c>
      <c r="H2098" t="s">
        <v>274</v>
      </c>
      <c r="I2098" t="s">
        <v>4030</v>
      </c>
      <c r="J2098" t="s">
        <v>469</v>
      </c>
      <c r="K2098" t="s">
        <v>263</v>
      </c>
      <c r="M2098" t="b">
        <v>1</v>
      </c>
      <c r="N2098" t="s">
        <v>32</v>
      </c>
      <c r="O2098" t="s">
        <v>33</v>
      </c>
      <c r="Q2098">
        <v>180.75</v>
      </c>
      <c r="R2098">
        <v>4.5</v>
      </c>
      <c r="S2098" t="s">
        <v>276</v>
      </c>
      <c r="T2098">
        <v>81.900000000000006</v>
      </c>
      <c r="V2098">
        <v>102.6</v>
      </c>
      <c r="W2098">
        <v>72.7</v>
      </c>
      <c r="X2098">
        <v>11.4</v>
      </c>
      <c r="Y2098">
        <v>46.2</v>
      </c>
      <c r="Z2098">
        <v>144373535</v>
      </c>
      <c r="AA2098">
        <v>61.524009999999997</v>
      </c>
      <c r="AB2098">
        <v>105.31875599999999</v>
      </c>
    </row>
    <row r="2099" spans="1:28" hidden="1">
      <c r="A2099">
        <v>2020</v>
      </c>
      <c r="B2099">
        <v>1400</v>
      </c>
      <c r="C2099" t="s">
        <v>221</v>
      </c>
      <c r="D2099" t="s">
        <v>4031</v>
      </c>
      <c r="E2099">
        <v>79</v>
      </c>
      <c r="G2099" t="s">
        <v>77</v>
      </c>
      <c r="H2099" t="s">
        <v>78</v>
      </c>
      <c r="I2099" t="s">
        <v>223</v>
      </c>
      <c r="J2099" t="s">
        <v>221</v>
      </c>
      <c r="K2099" t="s">
        <v>77</v>
      </c>
      <c r="M2099" t="b">
        <v>1</v>
      </c>
      <c r="N2099" t="s">
        <v>419</v>
      </c>
      <c r="O2099" t="s">
        <v>33</v>
      </c>
      <c r="Q2099">
        <v>180.44</v>
      </c>
      <c r="R2099">
        <v>7.7</v>
      </c>
      <c r="S2099" t="s">
        <v>81</v>
      </c>
      <c r="T2099">
        <v>28.1</v>
      </c>
      <c r="V2099">
        <v>113</v>
      </c>
      <c r="W2099">
        <v>69.400000000000006</v>
      </c>
      <c r="X2099">
        <v>11.2</v>
      </c>
      <c r="Y2099">
        <v>49.7</v>
      </c>
      <c r="Z2099">
        <v>1366417754</v>
      </c>
      <c r="AA2099">
        <v>20.593684</v>
      </c>
      <c r="AB2099">
        <v>78.962879999999998</v>
      </c>
    </row>
    <row r="2100" spans="1:28" hidden="1">
      <c r="A2100">
        <v>2020</v>
      </c>
      <c r="B2100">
        <v>1400</v>
      </c>
      <c r="C2100" t="s">
        <v>217</v>
      </c>
      <c r="D2100" t="s">
        <v>4032</v>
      </c>
      <c r="E2100">
        <v>50</v>
      </c>
      <c r="G2100" t="s">
        <v>263</v>
      </c>
      <c r="H2100" t="s">
        <v>274</v>
      </c>
      <c r="I2100" t="s">
        <v>2394</v>
      </c>
      <c r="J2100" t="s">
        <v>217</v>
      </c>
      <c r="K2100" t="s">
        <v>263</v>
      </c>
      <c r="M2100" t="b">
        <v>1</v>
      </c>
      <c r="N2100" t="s">
        <v>32</v>
      </c>
      <c r="O2100" t="s">
        <v>33</v>
      </c>
      <c r="Q2100">
        <v>180.75</v>
      </c>
      <c r="R2100">
        <v>4.5</v>
      </c>
      <c r="S2100" t="s">
        <v>276</v>
      </c>
      <c r="T2100">
        <v>81.900000000000006</v>
      </c>
      <c r="V2100">
        <v>102.6</v>
      </c>
      <c r="W2100">
        <v>72.7</v>
      </c>
      <c r="X2100">
        <v>11.4</v>
      </c>
      <c r="Y2100">
        <v>46.2</v>
      </c>
      <c r="Z2100">
        <v>144373535</v>
      </c>
      <c r="AA2100">
        <v>61.524009999999997</v>
      </c>
      <c r="AB2100">
        <v>105.31875599999999</v>
      </c>
    </row>
    <row r="2101" spans="1:28" hidden="1">
      <c r="A2101">
        <v>2020</v>
      </c>
      <c r="B2101">
        <v>1400</v>
      </c>
      <c r="C2101" t="s">
        <v>288</v>
      </c>
      <c r="D2101" t="s">
        <v>4033</v>
      </c>
      <c r="E2101">
        <v>61</v>
      </c>
      <c r="G2101" t="s">
        <v>384</v>
      </c>
      <c r="H2101" t="s">
        <v>4034</v>
      </c>
      <c r="I2101" t="s">
        <v>1885</v>
      </c>
      <c r="J2101" t="s">
        <v>288</v>
      </c>
      <c r="K2101" t="s">
        <v>384</v>
      </c>
      <c r="M2101" t="b">
        <v>0</v>
      </c>
      <c r="N2101" t="s">
        <v>419</v>
      </c>
      <c r="O2101" t="s">
        <v>33</v>
      </c>
      <c r="Q2101">
        <v>167.4</v>
      </c>
      <c r="R2101">
        <v>3.7</v>
      </c>
      <c r="S2101" t="s">
        <v>563</v>
      </c>
      <c r="T2101">
        <v>51.3</v>
      </c>
      <c r="V2101">
        <v>115.4</v>
      </c>
      <c r="W2101">
        <v>75.7</v>
      </c>
      <c r="X2101">
        <v>14.2</v>
      </c>
      <c r="Y2101">
        <v>65.099999999999994</v>
      </c>
      <c r="Z2101">
        <v>212559417</v>
      </c>
      <c r="AA2101">
        <v>-14.235004</v>
      </c>
      <c r="AB2101">
        <v>-51.925280000000001</v>
      </c>
    </row>
    <row r="2102" spans="1:28" hidden="1">
      <c r="A2102">
        <v>2020</v>
      </c>
      <c r="B2102">
        <v>1400</v>
      </c>
      <c r="C2102" t="s">
        <v>221</v>
      </c>
      <c r="D2102" t="s">
        <v>4035</v>
      </c>
      <c r="E2102">
        <v>85</v>
      </c>
      <c r="G2102" t="s">
        <v>38</v>
      </c>
      <c r="H2102" t="s">
        <v>269</v>
      </c>
      <c r="I2102" t="s">
        <v>223</v>
      </c>
      <c r="J2102" t="s">
        <v>221</v>
      </c>
      <c r="K2102" t="s">
        <v>38</v>
      </c>
      <c r="M2102" t="b">
        <v>1</v>
      </c>
      <c r="N2102" t="s">
        <v>419</v>
      </c>
      <c r="O2102" t="s">
        <v>33</v>
      </c>
      <c r="Q2102">
        <v>117.24</v>
      </c>
      <c r="R2102">
        <v>7.5</v>
      </c>
      <c r="S2102" t="s">
        <v>44</v>
      </c>
      <c r="T2102">
        <v>88.2</v>
      </c>
      <c r="V2102">
        <v>101.8</v>
      </c>
      <c r="W2102">
        <v>78.5</v>
      </c>
      <c r="X2102">
        <v>9.6</v>
      </c>
      <c r="Y2102">
        <v>36.6</v>
      </c>
      <c r="Z2102">
        <v>328239523</v>
      </c>
      <c r="AA2102">
        <v>37.090240000000001</v>
      </c>
      <c r="AB2102">
        <v>-95.712890999999999</v>
      </c>
    </row>
    <row r="2103" spans="1:28" hidden="1">
      <c r="A2103">
        <v>2020</v>
      </c>
      <c r="B2103">
        <v>1400</v>
      </c>
      <c r="C2103" t="s">
        <v>250</v>
      </c>
      <c r="D2103" t="s">
        <v>4036</v>
      </c>
      <c r="E2103">
        <v>61</v>
      </c>
      <c r="G2103" t="s">
        <v>263</v>
      </c>
      <c r="H2103" t="s">
        <v>4037</v>
      </c>
      <c r="I2103" t="s">
        <v>4038</v>
      </c>
      <c r="J2103" t="s">
        <v>250</v>
      </c>
      <c r="K2103" t="s">
        <v>263</v>
      </c>
      <c r="M2103" t="b">
        <v>1</v>
      </c>
      <c r="N2103" t="s">
        <v>32</v>
      </c>
      <c r="O2103" t="s">
        <v>33</v>
      </c>
      <c r="Q2103">
        <v>180.75</v>
      </c>
      <c r="R2103">
        <v>4.5</v>
      </c>
      <c r="S2103" t="s">
        <v>276</v>
      </c>
      <c r="T2103">
        <v>81.900000000000006</v>
      </c>
      <c r="V2103">
        <v>102.6</v>
      </c>
      <c r="W2103">
        <v>72.7</v>
      </c>
      <c r="X2103">
        <v>11.4</v>
      </c>
      <c r="Y2103">
        <v>46.2</v>
      </c>
      <c r="Z2103">
        <v>144373535</v>
      </c>
      <c r="AA2103">
        <v>61.524009999999997</v>
      </c>
      <c r="AB2103">
        <v>105.31875599999999</v>
      </c>
    </row>
    <row r="2104" spans="1:28" hidden="1">
      <c r="A2104">
        <v>2020</v>
      </c>
      <c r="B2104">
        <v>1400</v>
      </c>
      <c r="C2104" t="s">
        <v>250</v>
      </c>
      <c r="D2104" t="s">
        <v>4039</v>
      </c>
      <c r="E2104">
        <v>58</v>
      </c>
      <c r="G2104" t="s">
        <v>263</v>
      </c>
      <c r="H2104" t="s">
        <v>4037</v>
      </c>
      <c r="I2104" t="s">
        <v>4038</v>
      </c>
      <c r="J2104" t="s">
        <v>250</v>
      </c>
      <c r="K2104" t="s">
        <v>263</v>
      </c>
      <c r="M2104" t="b">
        <v>1</v>
      </c>
      <c r="N2104" t="s">
        <v>32</v>
      </c>
      <c r="O2104" t="s">
        <v>33</v>
      </c>
      <c r="Q2104">
        <v>180.75</v>
      </c>
      <c r="R2104">
        <v>4.5</v>
      </c>
      <c r="S2104" t="s">
        <v>276</v>
      </c>
      <c r="T2104">
        <v>81.900000000000006</v>
      </c>
      <c r="V2104">
        <v>102.6</v>
      </c>
      <c r="W2104">
        <v>72.7</v>
      </c>
      <c r="X2104">
        <v>11.4</v>
      </c>
      <c r="Y2104">
        <v>46.2</v>
      </c>
      <c r="Z2104">
        <v>144373535</v>
      </c>
      <c r="AA2104">
        <v>61.524009999999997</v>
      </c>
      <c r="AB2104">
        <v>105.31875599999999</v>
      </c>
    </row>
    <row r="2105" spans="1:28" hidden="1">
      <c r="A2105">
        <v>2020</v>
      </c>
      <c r="B2105">
        <v>1400</v>
      </c>
      <c r="C2105" t="s">
        <v>26</v>
      </c>
      <c r="D2105" t="s">
        <v>4040</v>
      </c>
      <c r="E2105">
        <v>97</v>
      </c>
      <c r="G2105" t="s">
        <v>198</v>
      </c>
      <c r="H2105" t="s">
        <v>4041</v>
      </c>
      <c r="I2105" t="s">
        <v>150</v>
      </c>
      <c r="J2105" t="s">
        <v>26</v>
      </c>
      <c r="K2105" t="s">
        <v>198</v>
      </c>
      <c r="M2105" t="b">
        <v>1</v>
      </c>
      <c r="N2105" t="s">
        <v>32</v>
      </c>
      <c r="O2105" t="s">
        <v>33</v>
      </c>
      <c r="Q2105">
        <v>105.48</v>
      </c>
      <c r="R2105">
        <v>0.5</v>
      </c>
      <c r="S2105" t="s">
        <v>201</v>
      </c>
      <c r="T2105">
        <v>63.2</v>
      </c>
      <c r="V2105">
        <v>98.8</v>
      </c>
      <c r="W2105">
        <v>84.2</v>
      </c>
      <c r="X2105">
        <v>11.9</v>
      </c>
      <c r="Y2105">
        <v>46.7</v>
      </c>
      <c r="Z2105">
        <v>126226568</v>
      </c>
      <c r="AA2105">
        <v>36.204824000000002</v>
      </c>
      <c r="AB2105">
        <v>138.25292400000001</v>
      </c>
    </row>
    <row r="2106" spans="1:28" hidden="1">
      <c r="A2106">
        <v>2020</v>
      </c>
      <c r="B2106">
        <v>1400</v>
      </c>
      <c r="C2106" t="s">
        <v>45</v>
      </c>
      <c r="D2106" t="s">
        <v>4042</v>
      </c>
      <c r="E2106">
        <v>48</v>
      </c>
      <c r="G2106" t="s">
        <v>38</v>
      </c>
      <c r="H2106" t="s">
        <v>3652</v>
      </c>
      <c r="I2106" t="s">
        <v>3365</v>
      </c>
      <c r="J2106" t="s">
        <v>45</v>
      </c>
      <c r="K2106" t="s">
        <v>38</v>
      </c>
      <c r="M2106" t="b">
        <v>1</v>
      </c>
      <c r="N2106" t="s">
        <v>419</v>
      </c>
      <c r="O2106" t="s">
        <v>33</v>
      </c>
      <c r="Q2106">
        <v>117.24</v>
      </c>
      <c r="R2106">
        <v>7.5</v>
      </c>
      <c r="S2106" t="s">
        <v>44</v>
      </c>
      <c r="T2106">
        <v>88.2</v>
      </c>
      <c r="V2106">
        <v>101.8</v>
      </c>
      <c r="W2106">
        <v>78.5</v>
      </c>
      <c r="X2106">
        <v>9.6</v>
      </c>
      <c r="Y2106">
        <v>36.6</v>
      </c>
      <c r="Z2106">
        <v>328239523</v>
      </c>
      <c r="AA2106">
        <v>37.090240000000001</v>
      </c>
      <c r="AB2106">
        <v>-95.712890999999999</v>
      </c>
    </row>
    <row r="2107" spans="1:28" hidden="1">
      <c r="A2107">
        <v>2020</v>
      </c>
      <c r="B2107">
        <v>1400</v>
      </c>
      <c r="C2107" t="s">
        <v>26</v>
      </c>
      <c r="D2107" t="s">
        <v>4043</v>
      </c>
      <c r="E2107">
        <v>46</v>
      </c>
      <c r="G2107" t="s">
        <v>397</v>
      </c>
      <c r="H2107" t="s">
        <v>398</v>
      </c>
      <c r="I2107" t="s">
        <v>399</v>
      </c>
      <c r="J2107" t="s">
        <v>26</v>
      </c>
      <c r="K2107" t="s">
        <v>397</v>
      </c>
      <c r="M2107" t="b">
        <v>0</v>
      </c>
      <c r="N2107" t="s">
        <v>42</v>
      </c>
      <c r="O2107" t="s">
        <v>88</v>
      </c>
      <c r="Q2107">
        <v>110.51</v>
      </c>
      <c r="R2107">
        <v>1.8</v>
      </c>
      <c r="S2107" t="s">
        <v>401</v>
      </c>
      <c r="T2107">
        <v>67</v>
      </c>
      <c r="V2107">
        <v>126.6</v>
      </c>
      <c r="W2107">
        <v>82.5</v>
      </c>
      <c r="X2107">
        <v>27.9</v>
      </c>
      <c r="Y2107">
        <v>49.1</v>
      </c>
      <c r="Z2107">
        <v>10285453</v>
      </c>
      <c r="AA2107">
        <v>60.128160999999999</v>
      </c>
      <c r="AB2107">
        <v>18.643501000000001</v>
      </c>
    </row>
    <row r="2108" spans="1:28" hidden="1">
      <c r="A2108">
        <v>2020</v>
      </c>
      <c r="B2108">
        <v>1400</v>
      </c>
      <c r="C2108" t="s">
        <v>288</v>
      </c>
      <c r="D2108" t="s">
        <v>4044</v>
      </c>
      <c r="E2108">
        <v>52</v>
      </c>
      <c r="G2108" t="s">
        <v>77</v>
      </c>
      <c r="H2108" t="s">
        <v>667</v>
      </c>
      <c r="I2108" t="s">
        <v>418</v>
      </c>
      <c r="J2108" t="s">
        <v>288</v>
      </c>
      <c r="K2108" t="s">
        <v>77</v>
      </c>
      <c r="M2108" t="b">
        <v>0</v>
      </c>
      <c r="N2108" t="s">
        <v>42</v>
      </c>
      <c r="O2108" t="s">
        <v>33</v>
      </c>
      <c r="Q2108">
        <v>180.44</v>
      </c>
      <c r="R2108">
        <v>7.7</v>
      </c>
      <c r="S2108" t="s">
        <v>81</v>
      </c>
      <c r="T2108">
        <v>28.1</v>
      </c>
      <c r="V2108">
        <v>113</v>
      </c>
      <c r="W2108">
        <v>69.400000000000006</v>
      </c>
      <c r="X2108">
        <v>11.2</v>
      </c>
      <c r="Y2108">
        <v>49.7</v>
      </c>
      <c r="Z2108">
        <v>1366417754</v>
      </c>
      <c r="AA2108">
        <v>20.593684</v>
      </c>
      <c r="AB2108">
        <v>78.962879999999998</v>
      </c>
    </row>
    <row r="2109" spans="1:28" hidden="1">
      <c r="A2109">
        <v>2020</v>
      </c>
      <c r="B2109">
        <v>1400</v>
      </c>
      <c r="C2109" t="s">
        <v>288</v>
      </c>
      <c r="D2109" t="s">
        <v>4045</v>
      </c>
      <c r="E2109">
        <v>57</v>
      </c>
      <c r="G2109" t="s">
        <v>77</v>
      </c>
      <c r="H2109" t="s">
        <v>667</v>
      </c>
      <c r="I2109" t="s">
        <v>418</v>
      </c>
      <c r="J2109" t="s">
        <v>288</v>
      </c>
      <c r="K2109" t="s">
        <v>77</v>
      </c>
      <c r="M2109" t="b">
        <v>0</v>
      </c>
      <c r="N2109" t="s">
        <v>42</v>
      </c>
      <c r="O2109" t="s">
        <v>33</v>
      </c>
      <c r="Q2109">
        <v>180.44</v>
      </c>
      <c r="R2109">
        <v>7.7</v>
      </c>
      <c r="S2109" t="s">
        <v>81</v>
      </c>
      <c r="T2109">
        <v>28.1</v>
      </c>
      <c r="V2109">
        <v>113</v>
      </c>
      <c r="W2109">
        <v>69.400000000000006</v>
      </c>
      <c r="X2109">
        <v>11.2</v>
      </c>
      <c r="Y2109">
        <v>49.7</v>
      </c>
      <c r="Z2109">
        <v>1366417754</v>
      </c>
      <c r="AA2109">
        <v>20.593684</v>
      </c>
      <c r="AB2109">
        <v>78.962879999999998</v>
      </c>
    </row>
    <row r="2110" spans="1:28" hidden="1">
      <c r="A2110">
        <v>2020</v>
      </c>
      <c r="B2110">
        <v>1400</v>
      </c>
      <c r="C2110" t="s">
        <v>54</v>
      </c>
      <c r="D2110" t="s">
        <v>4046</v>
      </c>
      <c r="E2110">
        <v>95</v>
      </c>
      <c r="G2110" t="s">
        <v>38</v>
      </c>
      <c r="H2110" t="s">
        <v>65</v>
      </c>
      <c r="I2110" t="s">
        <v>75</v>
      </c>
      <c r="J2110" t="s">
        <v>54</v>
      </c>
      <c r="K2110" t="s">
        <v>38</v>
      </c>
      <c r="M2110" t="b">
        <v>0</v>
      </c>
      <c r="N2110" t="s">
        <v>42</v>
      </c>
      <c r="O2110" t="s">
        <v>88</v>
      </c>
      <c r="Q2110">
        <v>117.24</v>
      </c>
      <c r="R2110">
        <v>7.5</v>
      </c>
      <c r="S2110" t="s">
        <v>44</v>
      </c>
      <c r="T2110">
        <v>88.2</v>
      </c>
      <c r="V2110">
        <v>101.8</v>
      </c>
      <c r="W2110">
        <v>78.5</v>
      </c>
      <c r="X2110">
        <v>9.6</v>
      </c>
      <c r="Y2110">
        <v>36.6</v>
      </c>
      <c r="Z2110">
        <v>328239523</v>
      </c>
      <c r="AA2110">
        <v>37.090240000000001</v>
      </c>
      <c r="AB2110">
        <v>-95.712890999999999</v>
      </c>
    </row>
    <row r="2111" spans="1:28" hidden="1">
      <c r="A2111">
        <v>2020</v>
      </c>
      <c r="B2111">
        <v>1400</v>
      </c>
      <c r="C2111" t="s">
        <v>45</v>
      </c>
      <c r="D2111" t="s">
        <v>4047</v>
      </c>
      <c r="E2111">
        <v>60</v>
      </c>
      <c r="G2111" t="s">
        <v>103</v>
      </c>
      <c r="H2111" t="s">
        <v>104</v>
      </c>
      <c r="I2111" t="s">
        <v>4048</v>
      </c>
      <c r="J2111" t="s">
        <v>45</v>
      </c>
      <c r="K2111" t="s">
        <v>103</v>
      </c>
      <c r="M2111" t="b">
        <v>1</v>
      </c>
      <c r="N2111" t="s">
        <v>32</v>
      </c>
      <c r="O2111" t="s">
        <v>33</v>
      </c>
      <c r="Q2111">
        <v>125.08</v>
      </c>
      <c r="R2111">
        <v>2.9</v>
      </c>
      <c r="S2111" t="s">
        <v>106</v>
      </c>
      <c r="T2111">
        <v>50.6</v>
      </c>
      <c r="V2111">
        <v>100.2</v>
      </c>
      <c r="W2111">
        <v>77</v>
      </c>
      <c r="X2111">
        <v>9.4</v>
      </c>
      <c r="Y2111">
        <v>59.2</v>
      </c>
      <c r="Z2111">
        <v>1397715000</v>
      </c>
      <c r="AA2111">
        <v>35.861660000000001</v>
      </c>
      <c r="AB2111">
        <v>104.195397</v>
      </c>
    </row>
    <row r="2112" spans="1:28" hidden="1">
      <c r="A2112">
        <v>2020</v>
      </c>
      <c r="B2112">
        <v>1400</v>
      </c>
      <c r="C2112" t="s">
        <v>154</v>
      </c>
      <c r="D2112" t="s">
        <v>4049</v>
      </c>
      <c r="E2112">
        <v>58</v>
      </c>
      <c r="G2112" t="s">
        <v>103</v>
      </c>
      <c r="H2112" t="s">
        <v>215</v>
      </c>
      <c r="I2112" t="s">
        <v>154</v>
      </c>
      <c r="J2112" t="s">
        <v>154</v>
      </c>
      <c r="K2112" t="s">
        <v>103</v>
      </c>
      <c r="M2112" t="b">
        <v>1</v>
      </c>
      <c r="N2112" t="s">
        <v>32</v>
      </c>
      <c r="O2112" t="s">
        <v>33</v>
      </c>
      <c r="Q2112">
        <v>125.08</v>
      </c>
      <c r="R2112">
        <v>2.9</v>
      </c>
      <c r="S2112" t="s">
        <v>106</v>
      </c>
      <c r="T2112">
        <v>50.6</v>
      </c>
      <c r="V2112">
        <v>100.2</v>
      </c>
      <c r="W2112">
        <v>77</v>
      </c>
      <c r="X2112">
        <v>9.4</v>
      </c>
      <c r="Y2112">
        <v>59.2</v>
      </c>
      <c r="Z2112">
        <v>1397715000</v>
      </c>
      <c r="AA2112">
        <v>35.861660000000001</v>
      </c>
      <c r="AB2112">
        <v>104.195397</v>
      </c>
    </row>
    <row r="2113" spans="1:28" hidden="1">
      <c r="A2113">
        <v>2020</v>
      </c>
      <c r="B2113">
        <v>1400</v>
      </c>
      <c r="C2113" t="s">
        <v>217</v>
      </c>
      <c r="D2113" t="s">
        <v>4050</v>
      </c>
      <c r="E2113">
        <v>68</v>
      </c>
      <c r="G2113" t="s">
        <v>103</v>
      </c>
      <c r="H2113" t="s">
        <v>104</v>
      </c>
      <c r="I2113" t="s">
        <v>217</v>
      </c>
      <c r="J2113" t="s">
        <v>217</v>
      </c>
      <c r="K2113" t="s">
        <v>103</v>
      </c>
      <c r="M2113" t="b">
        <v>1</v>
      </c>
      <c r="N2113" t="s">
        <v>42</v>
      </c>
      <c r="O2113" t="s">
        <v>33</v>
      </c>
      <c r="Q2113">
        <v>125.08</v>
      </c>
      <c r="R2113">
        <v>2.9</v>
      </c>
      <c r="S2113" t="s">
        <v>106</v>
      </c>
      <c r="T2113">
        <v>50.6</v>
      </c>
      <c r="V2113">
        <v>100.2</v>
      </c>
      <c r="W2113">
        <v>77</v>
      </c>
      <c r="X2113">
        <v>9.4</v>
      </c>
      <c r="Y2113">
        <v>59.2</v>
      </c>
      <c r="Z2113">
        <v>1397715000</v>
      </c>
      <c r="AA2113">
        <v>35.861660000000001</v>
      </c>
      <c r="AB2113">
        <v>104.195397</v>
      </c>
    </row>
    <row r="2114" spans="1:28" hidden="1">
      <c r="A2114">
        <v>2020</v>
      </c>
      <c r="B2114">
        <v>1400</v>
      </c>
      <c r="C2114" t="s">
        <v>217</v>
      </c>
      <c r="D2114" t="s">
        <v>1830</v>
      </c>
      <c r="E2114">
        <v>76</v>
      </c>
      <c r="G2114" t="s">
        <v>103</v>
      </c>
      <c r="H2114" t="s">
        <v>2845</v>
      </c>
      <c r="I2114" t="s">
        <v>4051</v>
      </c>
      <c r="J2114" t="s">
        <v>217</v>
      </c>
      <c r="K2114" t="s">
        <v>103</v>
      </c>
      <c r="M2114" t="b">
        <v>0</v>
      </c>
      <c r="N2114" t="s">
        <v>42</v>
      </c>
      <c r="O2114" t="s">
        <v>88</v>
      </c>
      <c r="Q2114">
        <v>125.08</v>
      </c>
      <c r="R2114">
        <v>2.9</v>
      </c>
      <c r="S2114" t="s">
        <v>106</v>
      </c>
      <c r="T2114">
        <v>50.6</v>
      </c>
      <c r="V2114">
        <v>100.2</v>
      </c>
      <c r="W2114">
        <v>77</v>
      </c>
      <c r="X2114">
        <v>9.4</v>
      </c>
      <c r="Y2114">
        <v>59.2</v>
      </c>
      <c r="Z2114">
        <v>1397715000</v>
      </c>
      <c r="AA2114">
        <v>35.861660000000001</v>
      </c>
      <c r="AB2114">
        <v>104.195397</v>
      </c>
    </row>
    <row r="2115" spans="1:28" hidden="1">
      <c r="A2115">
        <v>2020</v>
      </c>
      <c r="B2115">
        <v>1400</v>
      </c>
      <c r="C2115" t="s">
        <v>236</v>
      </c>
      <c r="D2115" t="s">
        <v>4052</v>
      </c>
      <c r="E2115">
        <v>26</v>
      </c>
      <c r="G2115" t="s">
        <v>103</v>
      </c>
      <c r="H2115" t="s">
        <v>4053</v>
      </c>
      <c r="I2115" t="s">
        <v>287</v>
      </c>
      <c r="J2115" t="s">
        <v>236</v>
      </c>
      <c r="K2115" t="s">
        <v>103</v>
      </c>
      <c r="M2115" t="b">
        <v>0</v>
      </c>
      <c r="N2115" t="s">
        <v>42</v>
      </c>
      <c r="O2115" t="s">
        <v>33</v>
      </c>
      <c r="Q2115">
        <v>125.08</v>
      </c>
      <c r="R2115">
        <v>2.9</v>
      </c>
      <c r="S2115" t="s">
        <v>106</v>
      </c>
      <c r="T2115">
        <v>50.6</v>
      </c>
      <c r="V2115">
        <v>100.2</v>
      </c>
      <c r="W2115">
        <v>77</v>
      </c>
      <c r="X2115">
        <v>9.4</v>
      </c>
      <c r="Y2115">
        <v>59.2</v>
      </c>
      <c r="Z2115">
        <v>1397715000</v>
      </c>
      <c r="AA2115">
        <v>35.861660000000001</v>
      </c>
      <c r="AB2115">
        <v>104.195397</v>
      </c>
    </row>
    <row r="2116" spans="1:28" hidden="1">
      <c r="A2116">
        <v>2020</v>
      </c>
      <c r="B2116">
        <v>1400</v>
      </c>
      <c r="C2116" t="s">
        <v>217</v>
      </c>
      <c r="D2116" t="s">
        <v>4054</v>
      </c>
      <c r="E2116">
        <v>84</v>
      </c>
      <c r="G2116" t="s">
        <v>156</v>
      </c>
      <c r="H2116" t="s">
        <v>413</v>
      </c>
      <c r="I2116" t="s">
        <v>3697</v>
      </c>
      <c r="J2116" t="s">
        <v>217</v>
      </c>
      <c r="K2116" t="s">
        <v>156</v>
      </c>
      <c r="M2116" t="b">
        <v>1</v>
      </c>
      <c r="N2116" t="s">
        <v>419</v>
      </c>
      <c r="O2116" t="s">
        <v>33</v>
      </c>
      <c r="Q2116">
        <v>99.55</v>
      </c>
      <c r="R2116">
        <v>0.4</v>
      </c>
      <c r="S2116" t="s">
        <v>159</v>
      </c>
      <c r="T2116">
        <v>59.6</v>
      </c>
      <c r="V2116">
        <v>105.2</v>
      </c>
      <c r="W2116">
        <v>83.6</v>
      </c>
      <c r="X2116">
        <v>10.1</v>
      </c>
      <c r="Y2116">
        <v>28.8</v>
      </c>
      <c r="Z2116">
        <v>8574832</v>
      </c>
      <c r="AA2116">
        <v>46.818187999999999</v>
      </c>
      <c r="AB2116">
        <v>8.2275120000000008</v>
      </c>
    </row>
    <row r="2117" spans="1:28" hidden="1">
      <c r="A2117">
        <v>2020</v>
      </c>
      <c r="B2117">
        <v>1400</v>
      </c>
      <c r="C2117" t="s">
        <v>217</v>
      </c>
      <c r="D2117" t="s">
        <v>4055</v>
      </c>
      <c r="E2117">
        <v>37</v>
      </c>
      <c r="G2117" t="s">
        <v>384</v>
      </c>
      <c r="H2117" t="s">
        <v>4056</v>
      </c>
      <c r="I2117" t="s">
        <v>4057</v>
      </c>
      <c r="J2117" t="s">
        <v>217</v>
      </c>
      <c r="K2117" t="s">
        <v>384</v>
      </c>
      <c r="M2117" t="b">
        <v>0</v>
      </c>
      <c r="N2117" t="s">
        <v>32</v>
      </c>
      <c r="O2117" t="s">
        <v>88</v>
      </c>
      <c r="Q2117">
        <v>167.4</v>
      </c>
      <c r="R2117">
        <v>3.7</v>
      </c>
      <c r="S2117" t="s">
        <v>563</v>
      </c>
      <c r="T2117">
        <v>51.3</v>
      </c>
      <c r="V2117">
        <v>115.4</v>
      </c>
      <c r="W2117">
        <v>75.7</v>
      </c>
      <c r="X2117">
        <v>14.2</v>
      </c>
      <c r="Y2117">
        <v>65.099999999999994</v>
      </c>
      <c r="Z2117">
        <v>212559417</v>
      </c>
      <c r="AA2117">
        <v>-14.235004</v>
      </c>
      <c r="AB2117">
        <v>-51.925280000000001</v>
      </c>
    </row>
    <row r="2118" spans="1:28" hidden="1">
      <c r="A2118">
        <v>2020</v>
      </c>
      <c r="B2118">
        <v>1400</v>
      </c>
      <c r="C2118" t="s">
        <v>54</v>
      </c>
      <c r="D2118" t="s">
        <v>4058</v>
      </c>
      <c r="E2118">
        <v>80</v>
      </c>
      <c r="G2118" t="s">
        <v>38</v>
      </c>
      <c r="H2118" t="s">
        <v>4059</v>
      </c>
      <c r="I2118" t="s">
        <v>1000</v>
      </c>
      <c r="J2118" t="s">
        <v>54</v>
      </c>
      <c r="K2118" t="s">
        <v>38</v>
      </c>
      <c r="M2118" t="b">
        <v>1</v>
      </c>
      <c r="N2118" t="s">
        <v>32</v>
      </c>
      <c r="O2118" t="s">
        <v>33</v>
      </c>
      <c r="Q2118">
        <v>117.24</v>
      </c>
      <c r="R2118">
        <v>7.5</v>
      </c>
      <c r="S2118" t="s">
        <v>44</v>
      </c>
      <c r="T2118">
        <v>88.2</v>
      </c>
      <c r="V2118">
        <v>101.8</v>
      </c>
      <c r="W2118">
        <v>78.5</v>
      </c>
      <c r="X2118">
        <v>9.6</v>
      </c>
      <c r="Y2118">
        <v>36.6</v>
      </c>
      <c r="Z2118">
        <v>328239523</v>
      </c>
      <c r="AA2118">
        <v>37.090240000000001</v>
      </c>
      <c r="AB2118">
        <v>-95.712890999999999</v>
      </c>
    </row>
    <row r="2119" spans="1:28" hidden="1">
      <c r="A2119">
        <v>2020</v>
      </c>
      <c r="B2119">
        <v>1400</v>
      </c>
      <c r="C2119" t="s">
        <v>217</v>
      </c>
      <c r="D2119" t="s">
        <v>4060</v>
      </c>
      <c r="E2119">
        <v>68</v>
      </c>
      <c r="G2119" t="s">
        <v>103</v>
      </c>
      <c r="H2119" t="s">
        <v>2663</v>
      </c>
      <c r="I2119" t="s">
        <v>2735</v>
      </c>
      <c r="J2119" t="s">
        <v>217</v>
      </c>
      <c r="K2119" t="s">
        <v>103</v>
      </c>
      <c r="M2119" t="b">
        <v>1</v>
      </c>
      <c r="N2119" t="s">
        <v>419</v>
      </c>
      <c r="O2119" t="s">
        <v>33</v>
      </c>
      <c r="Q2119">
        <v>125.08</v>
      </c>
      <c r="R2119">
        <v>2.9</v>
      </c>
      <c r="S2119" t="s">
        <v>106</v>
      </c>
      <c r="T2119">
        <v>50.6</v>
      </c>
      <c r="V2119">
        <v>100.2</v>
      </c>
      <c r="W2119">
        <v>77</v>
      </c>
      <c r="X2119">
        <v>9.4</v>
      </c>
      <c r="Y2119">
        <v>59.2</v>
      </c>
      <c r="Z2119">
        <v>1397715000</v>
      </c>
      <c r="AA2119">
        <v>35.861660000000001</v>
      </c>
      <c r="AB2119">
        <v>104.195397</v>
      </c>
    </row>
    <row r="2120" spans="1:28" hidden="1">
      <c r="A2120">
        <v>2020</v>
      </c>
      <c r="B2120">
        <v>1400</v>
      </c>
      <c r="C2120" t="s">
        <v>217</v>
      </c>
      <c r="D2120" t="s">
        <v>4061</v>
      </c>
      <c r="E2120">
        <v>53</v>
      </c>
      <c r="G2120" t="s">
        <v>103</v>
      </c>
      <c r="H2120" t="s">
        <v>4062</v>
      </c>
      <c r="I2120" t="s">
        <v>287</v>
      </c>
      <c r="J2120" t="s">
        <v>217</v>
      </c>
      <c r="K2120" t="s">
        <v>103</v>
      </c>
      <c r="M2120" t="b">
        <v>1</v>
      </c>
      <c r="N2120" t="s">
        <v>32</v>
      </c>
      <c r="O2120" t="s">
        <v>33</v>
      </c>
      <c r="Q2120">
        <v>125.08</v>
      </c>
      <c r="R2120">
        <v>2.9</v>
      </c>
      <c r="S2120" t="s">
        <v>106</v>
      </c>
      <c r="T2120">
        <v>50.6</v>
      </c>
      <c r="V2120">
        <v>100.2</v>
      </c>
      <c r="W2120">
        <v>77</v>
      </c>
      <c r="X2120">
        <v>9.4</v>
      </c>
      <c r="Y2120">
        <v>59.2</v>
      </c>
      <c r="Z2120">
        <v>1397715000</v>
      </c>
      <c r="AA2120">
        <v>35.861660000000001</v>
      </c>
      <c r="AB2120">
        <v>104.195397</v>
      </c>
    </row>
    <row r="2121" spans="1:28">
      <c r="A2121">
        <v>2020</v>
      </c>
      <c r="B2121">
        <v>1400</v>
      </c>
      <c r="C2121" t="s">
        <v>45</v>
      </c>
      <c r="D2121" t="s">
        <v>4063</v>
      </c>
      <c r="E2121">
        <v>43</v>
      </c>
      <c r="F2121" t="str">
        <f>IF(E2121&gt;=90,"90-100",IF(E2121&gt;=80,"80-90",IF(E2121&gt;=70,"70-80",IF(E2121&gt;=60,"60-70",IF(E2121&gt;=50,"50-60",IF(E2121&gt;=40,"40-50",IF(E2121&gt;=30,"30-40","20-30")))))))</f>
        <v>40-50</v>
      </c>
      <c r="G2121" t="s">
        <v>103</v>
      </c>
      <c r="H2121" t="s">
        <v>176</v>
      </c>
      <c r="I2121" t="s">
        <v>1580</v>
      </c>
      <c r="J2121" t="s">
        <v>45</v>
      </c>
      <c r="K2121" t="s">
        <v>103</v>
      </c>
      <c r="L2121" t="s">
        <v>1581</v>
      </c>
      <c r="M2121" t="b">
        <v>1</v>
      </c>
      <c r="N2121" t="s">
        <v>419</v>
      </c>
      <c r="O2121" t="s">
        <v>4867</v>
      </c>
      <c r="P2121" t="s">
        <v>4064</v>
      </c>
      <c r="Q2121">
        <v>125.08</v>
      </c>
      <c r="R2121">
        <v>2.9</v>
      </c>
      <c r="S2121" t="s">
        <v>106</v>
      </c>
      <c r="T2121">
        <v>50.6</v>
      </c>
      <c r="U2121" t="str">
        <f>IF(T2121&gt;=100,"above 100",IF(T2121&gt;=80,"80-100",IF(T2121&gt;=60,"60-80",IF(T2121&gt;=40,"40-60",IF(T2121&gt;=20,"20-60","0-20")))))</f>
        <v>40-60</v>
      </c>
      <c r="V2121">
        <v>100.2</v>
      </c>
      <c r="W2121">
        <v>77</v>
      </c>
      <c r="X2121">
        <v>9.4</v>
      </c>
      <c r="Y2121">
        <v>59.2</v>
      </c>
      <c r="Z2121">
        <v>1397715000</v>
      </c>
      <c r="AA2121">
        <v>35.861660000000001</v>
      </c>
      <c r="AB2121">
        <v>104.195397</v>
      </c>
    </row>
    <row r="2122" spans="1:28" hidden="1">
      <c r="A2122">
        <v>2020</v>
      </c>
      <c r="B2122">
        <v>1400</v>
      </c>
      <c r="C2122" t="s">
        <v>217</v>
      </c>
      <c r="D2122" t="s">
        <v>4065</v>
      </c>
      <c r="E2122">
        <v>59</v>
      </c>
      <c r="G2122" t="s">
        <v>103</v>
      </c>
      <c r="H2122" t="s">
        <v>687</v>
      </c>
      <c r="I2122" t="s">
        <v>1816</v>
      </c>
      <c r="J2122" t="s">
        <v>217</v>
      </c>
      <c r="K2122" t="s">
        <v>103</v>
      </c>
      <c r="M2122" t="b">
        <v>1</v>
      </c>
      <c r="N2122" t="s">
        <v>42</v>
      </c>
      <c r="O2122" t="s">
        <v>33</v>
      </c>
      <c r="Q2122">
        <v>125.08</v>
      </c>
      <c r="R2122">
        <v>2.9</v>
      </c>
      <c r="S2122" t="s">
        <v>106</v>
      </c>
      <c r="T2122">
        <v>50.6</v>
      </c>
      <c r="V2122">
        <v>100.2</v>
      </c>
      <c r="W2122">
        <v>77</v>
      </c>
      <c r="X2122">
        <v>9.4</v>
      </c>
      <c r="Y2122">
        <v>59.2</v>
      </c>
      <c r="Z2122">
        <v>1397715000</v>
      </c>
      <c r="AA2122">
        <v>35.861660000000001</v>
      </c>
      <c r="AB2122">
        <v>104.195397</v>
      </c>
    </row>
    <row r="2123" spans="1:28" hidden="1">
      <c r="A2123">
        <v>2020</v>
      </c>
      <c r="B2123">
        <v>1400</v>
      </c>
      <c r="C2123" t="s">
        <v>101</v>
      </c>
      <c r="D2123" t="s">
        <v>4066</v>
      </c>
      <c r="E2123">
        <v>58</v>
      </c>
      <c r="G2123" t="s">
        <v>103</v>
      </c>
      <c r="H2123" t="s">
        <v>4067</v>
      </c>
      <c r="I2123" t="s">
        <v>913</v>
      </c>
      <c r="J2123" t="s">
        <v>101</v>
      </c>
      <c r="K2123" t="s">
        <v>103</v>
      </c>
      <c r="M2123" t="b">
        <v>1</v>
      </c>
      <c r="N2123" t="s">
        <v>42</v>
      </c>
      <c r="O2123" t="s">
        <v>33</v>
      </c>
      <c r="Q2123">
        <v>125.08</v>
      </c>
      <c r="R2123">
        <v>2.9</v>
      </c>
      <c r="S2123" t="s">
        <v>106</v>
      </c>
      <c r="T2123">
        <v>50.6</v>
      </c>
      <c r="V2123">
        <v>100.2</v>
      </c>
      <c r="W2123">
        <v>77</v>
      </c>
      <c r="X2123">
        <v>9.4</v>
      </c>
      <c r="Y2123">
        <v>59.2</v>
      </c>
      <c r="Z2123">
        <v>1397715000</v>
      </c>
      <c r="AA2123">
        <v>35.861660000000001</v>
      </c>
      <c r="AB2123">
        <v>104.195397</v>
      </c>
    </row>
    <row r="2124" spans="1:28" hidden="1">
      <c r="A2124">
        <v>2020</v>
      </c>
      <c r="B2124">
        <v>1400</v>
      </c>
      <c r="C2124" t="s">
        <v>221</v>
      </c>
      <c r="D2124" t="s">
        <v>4068</v>
      </c>
      <c r="E2124">
        <v>63</v>
      </c>
      <c r="G2124" t="s">
        <v>103</v>
      </c>
      <c r="H2124" t="s">
        <v>215</v>
      </c>
      <c r="I2124" t="s">
        <v>223</v>
      </c>
      <c r="J2124" t="s">
        <v>221</v>
      </c>
      <c r="K2124" t="s">
        <v>172</v>
      </c>
      <c r="M2124" t="b">
        <v>1</v>
      </c>
      <c r="N2124" t="s">
        <v>42</v>
      </c>
      <c r="O2124" t="s">
        <v>33</v>
      </c>
      <c r="Q2124">
        <v>125.08</v>
      </c>
      <c r="R2124">
        <v>2.9</v>
      </c>
      <c r="S2124" t="s">
        <v>106</v>
      </c>
      <c r="T2124">
        <v>50.6</v>
      </c>
      <c r="V2124">
        <v>100.2</v>
      </c>
      <c r="W2124">
        <v>77</v>
      </c>
      <c r="X2124">
        <v>9.4</v>
      </c>
      <c r="Y2124">
        <v>59.2</v>
      </c>
      <c r="Z2124">
        <v>1397715000</v>
      </c>
      <c r="AA2124">
        <v>35.861660000000001</v>
      </c>
      <c r="AB2124">
        <v>104.195397</v>
      </c>
    </row>
    <row r="2125" spans="1:28" hidden="1">
      <c r="A2125">
        <v>2020</v>
      </c>
      <c r="B2125">
        <v>1400</v>
      </c>
      <c r="C2125" t="s">
        <v>288</v>
      </c>
      <c r="D2125" t="s">
        <v>4069</v>
      </c>
      <c r="E2125">
        <v>52</v>
      </c>
      <c r="G2125" t="s">
        <v>103</v>
      </c>
      <c r="H2125" t="s">
        <v>176</v>
      </c>
      <c r="I2125" t="s">
        <v>418</v>
      </c>
      <c r="J2125" t="s">
        <v>288</v>
      </c>
      <c r="K2125" t="s">
        <v>127</v>
      </c>
      <c r="M2125" t="b">
        <v>0</v>
      </c>
      <c r="N2125" t="s">
        <v>42</v>
      </c>
      <c r="O2125" t="s">
        <v>88</v>
      </c>
      <c r="Q2125">
        <v>125.08</v>
      </c>
      <c r="R2125">
        <v>2.9</v>
      </c>
      <c r="S2125" t="s">
        <v>106</v>
      </c>
      <c r="T2125">
        <v>50.6</v>
      </c>
      <c r="V2125">
        <v>100.2</v>
      </c>
      <c r="W2125">
        <v>77</v>
      </c>
      <c r="X2125">
        <v>9.4</v>
      </c>
      <c r="Y2125">
        <v>59.2</v>
      </c>
      <c r="Z2125">
        <v>1397715000</v>
      </c>
      <c r="AA2125">
        <v>35.861660000000001</v>
      </c>
      <c r="AB2125">
        <v>104.195397</v>
      </c>
    </row>
    <row r="2126" spans="1:28" hidden="1">
      <c r="A2126">
        <v>2020</v>
      </c>
      <c r="B2126">
        <v>1400</v>
      </c>
      <c r="C2126" t="s">
        <v>217</v>
      </c>
      <c r="D2126" t="s">
        <v>4070</v>
      </c>
      <c r="E2126">
        <v>60</v>
      </c>
      <c r="G2126" t="s">
        <v>103</v>
      </c>
      <c r="H2126" t="s">
        <v>4071</v>
      </c>
      <c r="I2126" t="s">
        <v>2735</v>
      </c>
      <c r="J2126" t="s">
        <v>217</v>
      </c>
      <c r="K2126" t="s">
        <v>103</v>
      </c>
      <c r="M2126" t="b">
        <v>1</v>
      </c>
      <c r="N2126" t="s">
        <v>42</v>
      </c>
      <c r="O2126" t="s">
        <v>33</v>
      </c>
      <c r="Q2126">
        <v>125.08</v>
      </c>
      <c r="R2126">
        <v>2.9</v>
      </c>
      <c r="S2126" t="s">
        <v>106</v>
      </c>
      <c r="T2126">
        <v>50.6</v>
      </c>
      <c r="V2126">
        <v>100.2</v>
      </c>
      <c r="W2126">
        <v>77</v>
      </c>
      <c r="X2126">
        <v>9.4</v>
      </c>
      <c r="Y2126">
        <v>59.2</v>
      </c>
      <c r="Z2126">
        <v>1397715000</v>
      </c>
      <c r="AA2126">
        <v>35.861660000000001</v>
      </c>
      <c r="AB2126">
        <v>104.195397</v>
      </c>
    </row>
    <row r="2127" spans="1:28" hidden="1">
      <c r="A2127">
        <v>2020</v>
      </c>
      <c r="B2127">
        <v>1400</v>
      </c>
      <c r="C2127" t="s">
        <v>221</v>
      </c>
      <c r="D2127" t="s">
        <v>4072</v>
      </c>
      <c r="E2127">
        <v>62</v>
      </c>
      <c r="G2127" t="s">
        <v>103</v>
      </c>
      <c r="H2127" t="s">
        <v>489</v>
      </c>
      <c r="I2127" t="s">
        <v>223</v>
      </c>
      <c r="J2127" t="s">
        <v>221</v>
      </c>
      <c r="K2127" t="s">
        <v>103</v>
      </c>
      <c r="M2127" t="b">
        <v>1</v>
      </c>
      <c r="N2127" t="s">
        <v>42</v>
      </c>
      <c r="O2127" t="s">
        <v>33</v>
      </c>
      <c r="Q2127">
        <v>125.08</v>
      </c>
      <c r="R2127">
        <v>2.9</v>
      </c>
      <c r="S2127" t="s">
        <v>106</v>
      </c>
      <c r="T2127">
        <v>50.6</v>
      </c>
      <c r="V2127">
        <v>100.2</v>
      </c>
      <c r="W2127">
        <v>77</v>
      </c>
      <c r="X2127">
        <v>9.4</v>
      </c>
      <c r="Y2127">
        <v>59.2</v>
      </c>
      <c r="Z2127">
        <v>1397715000</v>
      </c>
      <c r="AA2127">
        <v>35.861660000000001</v>
      </c>
      <c r="AB2127">
        <v>104.195397</v>
      </c>
    </row>
    <row r="2128" spans="1:28">
      <c r="A2128">
        <v>2020</v>
      </c>
      <c r="B2128">
        <v>1400</v>
      </c>
      <c r="C2128" t="s">
        <v>221</v>
      </c>
      <c r="D2128" t="s">
        <v>4073</v>
      </c>
      <c r="E2128">
        <v>57</v>
      </c>
      <c r="F2128" t="str">
        <f>IF(E2128&gt;=90,"90-100",IF(E2128&gt;=80,"80-90",IF(E2128&gt;=70,"70-80",IF(E2128&gt;=60,"60-70",IF(E2128&gt;=50,"50-60",IF(E2128&gt;=40,"40-50",IF(E2128&gt;=30,"30-40","20-30")))))))</f>
        <v>50-60</v>
      </c>
      <c r="G2128" t="s">
        <v>103</v>
      </c>
      <c r="H2128" t="s">
        <v>143</v>
      </c>
      <c r="I2128" t="s">
        <v>223</v>
      </c>
      <c r="J2128" t="s">
        <v>221</v>
      </c>
      <c r="K2128" t="s">
        <v>103</v>
      </c>
      <c r="L2128" t="s">
        <v>4074</v>
      </c>
      <c r="M2128" t="b">
        <v>1</v>
      </c>
      <c r="N2128" t="s">
        <v>212</v>
      </c>
      <c r="O2128" t="s">
        <v>4866</v>
      </c>
      <c r="P2128" t="s">
        <v>4075</v>
      </c>
      <c r="Q2128">
        <v>125.08</v>
      </c>
      <c r="R2128">
        <v>2.9</v>
      </c>
      <c r="S2128" t="s">
        <v>106</v>
      </c>
      <c r="T2128">
        <v>50.6</v>
      </c>
      <c r="U2128" t="str">
        <f>IF(T2128&gt;=100,"above 100",IF(T2128&gt;=80,"80-100",IF(T2128&gt;=60,"60-80",IF(T2128&gt;=40,"40-60",IF(T2128&gt;=20,"20-60","0-20")))))</f>
        <v>40-60</v>
      </c>
      <c r="V2128">
        <v>100.2</v>
      </c>
      <c r="W2128">
        <v>77</v>
      </c>
      <c r="X2128">
        <v>9.4</v>
      </c>
      <c r="Y2128">
        <v>59.2</v>
      </c>
      <c r="Z2128">
        <v>1397715000</v>
      </c>
      <c r="AA2128">
        <v>35.861660000000001</v>
      </c>
      <c r="AB2128">
        <v>104.195397</v>
      </c>
    </row>
    <row r="2129" spans="1:28" hidden="1">
      <c r="A2129">
        <v>2020</v>
      </c>
      <c r="B2129">
        <v>1400</v>
      </c>
      <c r="C2129" t="s">
        <v>217</v>
      </c>
      <c r="D2129" t="s">
        <v>4076</v>
      </c>
      <c r="E2129">
        <v>60</v>
      </c>
      <c r="G2129" t="s">
        <v>103</v>
      </c>
      <c r="H2129" t="s">
        <v>503</v>
      </c>
      <c r="I2129" t="s">
        <v>2735</v>
      </c>
      <c r="J2129" t="s">
        <v>217</v>
      </c>
      <c r="K2129" t="s">
        <v>103</v>
      </c>
      <c r="M2129" t="b">
        <v>1</v>
      </c>
      <c r="N2129" t="s">
        <v>42</v>
      </c>
      <c r="O2129" t="s">
        <v>33</v>
      </c>
      <c r="Q2129">
        <v>125.08</v>
      </c>
      <c r="R2129">
        <v>2.9</v>
      </c>
      <c r="S2129" t="s">
        <v>106</v>
      </c>
      <c r="T2129">
        <v>50.6</v>
      </c>
      <c r="V2129">
        <v>100.2</v>
      </c>
      <c r="W2129">
        <v>77</v>
      </c>
      <c r="X2129">
        <v>9.4</v>
      </c>
      <c r="Y2129">
        <v>59.2</v>
      </c>
      <c r="Z2129">
        <v>1397715000</v>
      </c>
      <c r="AA2129">
        <v>35.861660000000001</v>
      </c>
      <c r="AB2129">
        <v>104.195397</v>
      </c>
    </row>
    <row r="2130" spans="1:28" hidden="1">
      <c r="A2130">
        <v>2020</v>
      </c>
      <c r="B2130">
        <v>1400</v>
      </c>
      <c r="C2130" t="s">
        <v>217</v>
      </c>
      <c r="D2130" t="s">
        <v>4077</v>
      </c>
      <c r="E2130">
        <v>62</v>
      </c>
      <c r="G2130" t="s">
        <v>103</v>
      </c>
      <c r="H2130" t="s">
        <v>633</v>
      </c>
      <c r="I2130" t="s">
        <v>1673</v>
      </c>
      <c r="J2130" t="s">
        <v>217</v>
      </c>
      <c r="K2130" t="s">
        <v>103</v>
      </c>
      <c r="M2130" t="b">
        <v>1</v>
      </c>
      <c r="N2130" t="s">
        <v>42</v>
      </c>
      <c r="O2130" t="s">
        <v>33</v>
      </c>
      <c r="Q2130">
        <v>125.08</v>
      </c>
      <c r="R2130">
        <v>2.9</v>
      </c>
      <c r="S2130" t="s">
        <v>106</v>
      </c>
      <c r="T2130">
        <v>50.6</v>
      </c>
      <c r="V2130">
        <v>100.2</v>
      </c>
      <c r="W2130">
        <v>77</v>
      </c>
      <c r="X2130">
        <v>9.4</v>
      </c>
      <c r="Y2130">
        <v>59.2</v>
      </c>
      <c r="Z2130">
        <v>1397715000</v>
      </c>
      <c r="AA2130">
        <v>35.861660000000001</v>
      </c>
      <c r="AB2130">
        <v>104.195397</v>
      </c>
    </row>
    <row r="2131" spans="1:28" hidden="1">
      <c r="A2131">
        <v>2020</v>
      </c>
      <c r="B2131">
        <v>1400</v>
      </c>
      <c r="C2131" t="s">
        <v>221</v>
      </c>
      <c r="D2131" t="s">
        <v>4078</v>
      </c>
      <c r="E2131">
        <v>65</v>
      </c>
      <c r="G2131" t="s">
        <v>395</v>
      </c>
      <c r="H2131" t="s">
        <v>395</v>
      </c>
      <c r="I2131" t="s">
        <v>223</v>
      </c>
      <c r="J2131" t="s">
        <v>221</v>
      </c>
      <c r="K2131" t="s">
        <v>395</v>
      </c>
      <c r="M2131" t="b">
        <v>1</v>
      </c>
      <c r="N2131" t="s">
        <v>42</v>
      </c>
      <c r="O2131" t="s">
        <v>33</v>
      </c>
      <c r="Q2131">
        <v>114.41</v>
      </c>
      <c r="R2131">
        <v>0.6</v>
      </c>
      <c r="S2131" t="s">
        <v>451</v>
      </c>
      <c r="T2131">
        <v>84.8</v>
      </c>
      <c r="V2131">
        <v>100.6</v>
      </c>
      <c r="W2131">
        <v>83.1</v>
      </c>
      <c r="X2131">
        <v>13.1</v>
      </c>
      <c r="Y2131">
        <v>21</v>
      </c>
      <c r="Z2131">
        <v>5703569</v>
      </c>
      <c r="AA2131">
        <v>1.3520829999999999</v>
      </c>
      <c r="AB2131">
        <v>103.819836</v>
      </c>
    </row>
    <row r="2132" spans="1:28" hidden="1">
      <c r="A2132">
        <v>2020</v>
      </c>
      <c r="B2132">
        <v>1400</v>
      </c>
      <c r="C2132" t="s">
        <v>26</v>
      </c>
      <c r="D2132" t="s">
        <v>4079</v>
      </c>
      <c r="E2132">
        <v>57</v>
      </c>
      <c r="G2132" t="s">
        <v>103</v>
      </c>
      <c r="H2132" t="s">
        <v>215</v>
      </c>
      <c r="I2132" t="s">
        <v>200</v>
      </c>
      <c r="J2132" t="s">
        <v>26</v>
      </c>
      <c r="K2132" t="s">
        <v>103</v>
      </c>
      <c r="M2132" t="b">
        <v>1</v>
      </c>
      <c r="N2132" t="s">
        <v>42</v>
      </c>
      <c r="O2132" t="s">
        <v>33</v>
      </c>
      <c r="Q2132">
        <v>125.08</v>
      </c>
      <c r="R2132">
        <v>2.9</v>
      </c>
      <c r="S2132" t="s">
        <v>106</v>
      </c>
      <c r="T2132">
        <v>50.6</v>
      </c>
      <c r="V2132">
        <v>100.2</v>
      </c>
      <c r="W2132">
        <v>77</v>
      </c>
      <c r="X2132">
        <v>9.4</v>
      </c>
      <c r="Y2132">
        <v>59.2</v>
      </c>
      <c r="Z2132">
        <v>1397715000</v>
      </c>
      <c r="AA2132">
        <v>35.861660000000001</v>
      </c>
      <c r="AB2132">
        <v>104.195397</v>
      </c>
    </row>
    <row r="2133" spans="1:28" hidden="1">
      <c r="A2133">
        <v>2020</v>
      </c>
      <c r="B2133">
        <v>1400</v>
      </c>
      <c r="C2133" t="s">
        <v>75</v>
      </c>
      <c r="D2133" t="s">
        <v>4080</v>
      </c>
      <c r="E2133">
        <v>63</v>
      </c>
      <c r="G2133" t="s">
        <v>263</v>
      </c>
      <c r="H2133" t="s">
        <v>1286</v>
      </c>
      <c r="I2133" t="s">
        <v>3656</v>
      </c>
      <c r="J2133" t="s">
        <v>75</v>
      </c>
      <c r="K2133" t="s">
        <v>263</v>
      </c>
      <c r="M2133" t="b">
        <v>1</v>
      </c>
      <c r="N2133" t="s">
        <v>853</v>
      </c>
      <c r="O2133" t="s">
        <v>33</v>
      </c>
      <c r="Q2133">
        <v>180.75</v>
      </c>
      <c r="R2133">
        <v>4.5</v>
      </c>
      <c r="S2133" t="s">
        <v>276</v>
      </c>
      <c r="T2133">
        <v>81.900000000000006</v>
      </c>
      <c r="V2133">
        <v>102.6</v>
      </c>
      <c r="W2133">
        <v>72.7</v>
      </c>
      <c r="X2133">
        <v>11.4</v>
      </c>
      <c r="Y2133">
        <v>46.2</v>
      </c>
      <c r="Z2133">
        <v>144373535</v>
      </c>
      <c r="AA2133">
        <v>61.524009999999997</v>
      </c>
      <c r="AB2133">
        <v>105.31875599999999</v>
      </c>
    </row>
    <row r="2134" spans="1:28" hidden="1">
      <c r="A2134">
        <v>2133</v>
      </c>
      <c r="B2134">
        <v>1300</v>
      </c>
      <c r="C2134" t="s">
        <v>36</v>
      </c>
      <c r="D2134" t="s">
        <v>4081</v>
      </c>
      <c r="E2134">
        <v>53</v>
      </c>
      <c r="G2134" t="s">
        <v>38</v>
      </c>
      <c r="H2134" t="s">
        <v>480</v>
      </c>
      <c r="I2134" t="s">
        <v>2869</v>
      </c>
      <c r="J2134" t="s">
        <v>36</v>
      </c>
      <c r="K2134" t="s">
        <v>38</v>
      </c>
      <c r="M2134" t="b">
        <v>1</v>
      </c>
      <c r="N2134" t="s">
        <v>32</v>
      </c>
      <c r="O2134" t="s">
        <v>33</v>
      </c>
      <c r="Q2134">
        <v>117.24</v>
      </c>
      <c r="R2134">
        <v>7.5</v>
      </c>
      <c r="S2134" t="s">
        <v>44</v>
      </c>
      <c r="T2134">
        <v>88.2</v>
      </c>
      <c r="V2134">
        <v>101.8</v>
      </c>
      <c r="W2134">
        <v>78.5</v>
      </c>
      <c r="X2134">
        <v>9.6</v>
      </c>
      <c r="Y2134">
        <v>36.6</v>
      </c>
      <c r="Z2134">
        <v>328239523</v>
      </c>
      <c r="AA2134">
        <v>37.090240000000001</v>
      </c>
      <c r="AB2134">
        <v>-95.712890999999999</v>
      </c>
    </row>
    <row r="2135" spans="1:28" hidden="1">
      <c r="A2135">
        <v>2133</v>
      </c>
      <c r="B2135">
        <v>1300</v>
      </c>
      <c r="C2135" t="s">
        <v>154</v>
      </c>
      <c r="D2135" t="s">
        <v>4082</v>
      </c>
      <c r="E2135">
        <v>85</v>
      </c>
      <c r="G2135" t="s">
        <v>252</v>
      </c>
      <c r="H2135" t="s">
        <v>3255</v>
      </c>
      <c r="I2135" t="s">
        <v>287</v>
      </c>
      <c r="J2135" t="s">
        <v>154</v>
      </c>
      <c r="K2135" t="s">
        <v>252</v>
      </c>
      <c r="M2135" t="b">
        <v>1</v>
      </c>
      <c r="N2135" t="s">
        <v>853</v>
      </c>
      <c r="O2135" t="s">
        <v>33</v>
      </c>
      <c r="Q2135">
        <v>151.18</v>
      </c>
      <c r="R2135">
        <v>3</v>
      </c>
      <c r="S2135" t="s">
        <v>255</v>
      </c>
      <c r="T2135">
        <v>36.299999999999997</v>
      </c>
      <c r="V2135">
        <v>106.4</v>
      </c>
      <c r="W2135">
        <v>71.5</v>
      </c>
      <c r="X2135">
        <v>10.199999999999999</v>
      </c>
      <c r="Y2135">
        <v>30.1</v>
      </c>
      <c r="Z2135">
        <v>270203917</v>
      </c>
      <c r="AA2135">
        <v>-0.78927499999999995</v>
      </c>
      <c r="AB2135">
        <v>113.92132700000001</v>
      </c>
    </row>
    <row r="2136" spans="1:28" hidden="1">
      <c r="A2136">
        <v>2133</v>
      </c>
      <c r="B2136">
        <v>1300</v>
      </c>
      <c r="C2136" t="s">
        <v>288</v>
      </c>
      <c r="D2136" t="s">
        <v>4083</v>
      </c>
      <c r="E2136">
        <v>64</v>
      </c>
      <c r="G2136" t="s">
        <v>77</v>
      </c>
      <c r="H2136" t="s">
        <v>78</v>
      </c>
      <c r="I2136" t="s">
        <v>418</v>
      </c>
      <c r="J2136" t="s">
        <v>288</v>
      </c>
      <c r="K2136" t="s">
        <v>77</v>
      </c>
      <c r="M2136" t="b">
        <v>1</v>
      </c>
      <c r="N2136" t="s">
        <v>42</v>
      </c>
      <c r="O2136" t="s">
        <v>33</v>
      </c>
      <c r="Q2136">
        <v>180.44</v>
      </c>
      <c r="R2136">
        <v>7.7</v>
      </c>
      <c r="S2136" t="s">
        <v>81</v>
      </c>
      <c r="T2136">
        <v>28.1</v>
      </c>
      <c r="V2136">
        <v>113</v>
      </c>
      <c r="W2136">
        <v>69.400000000000006</v>
      </c>
      <c r="X2136">
        <v>11.2</v>
      </c>
      <c r="Y2136">
        <v>49.7</v>
      </c>
      <c r="Z2136">
        <v>1366417754</v>
      </c>
      <c r="AA2136">
        <v>20.593684</v>
      </c>
      <c r="AB2136">
        <v>78.962879999999998</v>
      </c>
    </row>
    <row r="2137" spans="1:28" hidden="1">
      <c r="A2137">
        <v>2133</v>
      </c>
      <c r="B2137">
        <v>1300</v>
      </c>
      <c r="C2137" t="s">
        <v>288</v>
      </c>
      <c r="D2137" t="s">
        <v>4084</v>
      </c>
      <c r="E2137">
        <v>76</v>
      </c>
      <c r="G2137" t="s">
        <v>77</v>
      </c>
      <c r="H2137" t="s">
        <v>4085</v>
      </c>
      <c r="I2137" t="s">
        <v>418</v>
      </c>
      <c r="J2137" t="s">
        <v>288</v>
      </c>
      <c r="K2137" t="s">
        <v>77</v>
      </c>
      <c r="M2137" t="b">
        <v>0</v>
      </c>
      <c r="N2137" t="s">
        <v>42</v>
      </c>
      <c r="O2137" t="s">
        <v>33</v>
      </c>
      <c r="Q2137">
        <v>180.44</v>
      </c>
      <c r="R2137">
        <v>7.7</v>
      </c>
      <c r="S2137" t="s">
        <v>81</v>
      </c>
      <c r="T2137">
        <v>28.1</v>
      </c>
      <c r="V2137">
        <v>113</v>
      </c>
      <c r="W2137">
        <v>69.400000000000006</v>
      </c>
      <c r="X2137">
        <v>11.2</v>
      </c>
      <c r="Y2137">
        <v>49.7</v>
      </c>
      <c r="Z2137">
        <v>1366417754</v>
      </c>
      <c r="AA2137">
        <v>20.593684</v>
      </c>
      <c r="AB2137">
        <v>78.962879999999998</v>
      </c>
    </row>
    <row r="2138" spans="1:28" hidden="1">
      <c r="A2138">
        <v>2133</v>
      </c>
      <c r="B2138">
        <v>1300</v>
      </c>
      <c r="C2138" t="s">
        <v>221</v>
      </c>
      <c r="D2138" t="s">
        <v>4086</v>
      </c>
      <c r="E2138">
        <v>72</v>
      </c>
      <c r="G2138" t="s">
        <v>429</v>
      </c>
      <c r="H2138" t="s">
        <v>430</v>
      </c>
      <c r="I2138" t="s">
        <v>223</v>
      </c>
      <c r="J2138" t="s">
        <v>221</v>
      </c>
      <c r="K2138" t="s">
        <v>429</v>
      </c>
      <c r="M2138" t="b">
        <v>1</v>
      </c>
      <c r="N2138" t="s">
        <v>419</v>
      </c>
      <c r="O2138" t="s">
        <v>33</v>
      </c>
      <c r="Q2138">
        <v>113.27</v>
      </c>
      <c r="R2138">
        <v>0.7</v>
      </c>
      <c r="S2138" t="s">
        <v>431</v>
      </c>
      <c r="T2138">
        <v>49.3</v>
      </c>
      <c r="V2138">
        <v>99.8</v>
      </c>
      <c r="W2138">
        <v>76.900000000000006</v>
      </c>
      <c r="X2138">
        <v>14.9</v>
      </c>
      <c r="Y2138">
        <v>29.5</v>
      </c>
      <c r="Z2138">
        <v>69625582</v>
      </c>
      <c r="AA2138">
        <v>15.870032</v>
      </c>
      <c r="AB2138">
        <v>100.992541</v>
      </c>
    </row>
    <row r="2139" spans="1:28" hidden="1">
      <c r="A2139">
        <v>2133</v>
      </c>
      <c r="B2139">
        <v>1300</v>
      </c>
      <c r="C2139" t="s">
        <v>54</v>
      </c>
      <c r="D2139" t="s">
        <v>4087</v>
      </c>
      <c r="E2139">
        <v>55</v>
      </c>
      <c r="G2139" t="s">
        <v>263</v>
      </c>
      <c r="H2139" t="s">
        <v>274</v>
      </c>
      <c r="I2139" t="s">
        <v>4088</v>
      </c>
      <c r="J2139" t="s">
        <v>54</v>
      </c>
      <c r="K2139" t="s">
        <v>263</v>
      </c>
      <c r="M2139" t="b">
        <v>1</v>
      </c>
      <c r="N2139" t="s">
        <v>853</v>
      </c>
      <c r="O2139" t="s">
        <v>33</v>
      </c>
      <c r="Q2139">
        <v>180.75</v>
      </c>
      <c r="R2139">
        <v>4.5</v>
      </c>
      <c r="S2139" t="s">
        <v>276</v>
      </c>
      <c r="T2139">
        <v>81.900000000000006</v>
      </c>
      <c r="V2139">
        <v>102.6</v>
      </c>
      <c r="W2139">
        <v>72.7</v>
      </c>
      <c r="X2139">
        <v>11.4</v>
      </c>
      <c r="Y2139">
        <v>46.2</v>
      </c>
      <c r="Z2139">
        <v>144373535</v>
      </c>
      <c r="AA2139">
        <v>61.524009999999997</v>
      </c>
      <c r="AB2139">
        <v>105.31875599999999</v>
      </c>
    </row>
    <row r="2140" spans="1:28" hidden="1">
      <c r="A2140">
        <v>2133</v>
      </c>
      <c r="B2140">
        <v>1300</v>
      </c>
      <c r="C2140" t="s">
        <v>36</v>
      </c>
      <c r="D2140" t="s">
        <v>4089</v>
      </c>
      <c r="E2140">
        <v>64</v>
      </c>
      <c r="G2140" t="s">
        <v>342</v>
      </c>
      <c r="H2140" t="s">
        <v>4090</v>
      </c>
      <c r="I2140" t="s">
        <v>3855</v>
      </c>
      <c r="J2140" t="s">
        <v>36</v>
      </c>
      <c r="K2140" t="s">
        <v>342</v>
      </c>
      <c r="M2140" t="b">
        <v>1</v>
      </c>
      <c r="N2140" t="s">
        <v>42</v>
      </c>
      <c r="O2140" t="s">
        <v>33</v>
      </c>
      <c r="Q2140">
        <v>108.15</v>
      </c>
      <c r="R2140">
        <v>0.8</v>
      </c>
      <c r="S2140" t="s">
        <v>532</v>
      </c>
      <c r="T2140">
        <v>63.4</v>
      </c>
      <c r="V2140">
        <v>104.9</v>
      </c>
      <c r="W2140">
        <v>82.8</v>
      </c>
      <c r="X2140">
        <v>23.1</v>
      </c>
      <c r="Y2140">
        <v>25.3</v>
      </c>
      <c r="Z2140">
        <v>9053300</v>
      </c>
      <c r="AA2140">
        <v>31.046050999999999</v>
      </c>
      <c r="AB2140">
        <v>34.851612000000003</v>
      </c>
    </row>
    <row r="2141" spans="1:28" hidden="1">
      <c r="A2141">
        <v>2133</v>
      </c>
      <c r="B2141">
        <v>1300</v>
      </c>
      <c r="C2141" t="s">
        <v>26</v>
      </c>
      <c r="D2141" t="s">
        <v>4091</v>
      </c>
      <c r="E2141">
        <v>41</v>
      </c>
      <c r="G2141" t="s">
        <v>77</v>
      </c>
      <c r="H2141" t="s">
        <v>667</v>
      </c>
      <c r="I2141" t="s">
        <v>3913</v>
      </c>
      <c r="J2141" t="s">
        <v>26</v>
      </c>
      <c r="K2141" t="s">
        <v>77</v>
      </c>
      <c r="M2141" t="b">
        <v>1</v>
      </c>
      <c r="N2141" t="s">
        <v>419</v>
      </c>
      <c r="O2141" t="s">
        <v>33</v>
      </c>
      <c r="Q2141">
        <v>180.44</v>
      </c>
      <c r="R2141">
        <v>7.7</v>
      </c>
      <c r="S2141" t="s">
        <v>81</v>
      </c>
      <c r="T2141">
        <v>28.1</v>
      </c>
      <c r="V2141">
        <v>113</v>
      </c>
      <c r="W2141">
        <v>69.400000000000006</v>
      </c>
      <c r="X2141">
        <v>11.2</v>
      </c>
      <c r="Y2141">
        <v>49.7</v>
      </c>
      <c r="Z2141">
        <v>1366417754</v>
      </c>
      <c r="AA2141">
        <v>20.593684</v>
      </c>
      <c r="AB2141">
        <v>78.962879999999998</v>
      </c>
    </row>
    <row r="2142" spans="1:28" hidden="1">
      <c r="A2142">
        <v>2133</v>
      </c>
      <c r="B2142">
        <v>1300</v>
      </c>
      <c r="C2142" t="s">
        <v>250</v>
      </c>
      <c r="D2142" t="s">
        <v>4092</v>
      </c>
      <c r="E2142">
        <v>83</v>
      </c>
      <c r="G2142" t="s">
        <v>252</v>
      </c>
      <c r="H2142" t="s">
        <v>253</v>
      </c>
      <c r="I2142" t="s">
        <v>254</v>
      </c>
      <c r="J2142" t="s">
        <v>250</v>
      </c>
      <c r="K2142" t="s">
        <v>252</v>
      </c>
      <c r="M2142" t="b">
        <v>1</v>
      </c>
      <c r="N2142" t="s">
        <v>42</v>
      </c>
      <c r="O2142" t="s">
        <v>33</v>
      </c>
      <c r="Q2142">
        <v>151.18</v>
      </c>
      <c r="R2142">
        <v>3</v>
      </c>
      <c r="S2142" t="s">
        <v>255</v>
      </c>
      <c r="T2142">
        <v>36.299999999999997</v>
      </c>
      <c r="V2142">
        <v>106.4</v>
      </c>
      <c r="W2142">
        <v>71.5</v>
      </c>
      <c r="X2142">
        <v>10.199999999999999</v>
      </c>
      <c r="Y2142">
        <v>30.1</v>
      </c>
      <c r="Z2142">
        <v>270203917</v>
      </c>
      <c r="AA2142">
        <v>-0.78927499999999995</v>
      </c>
      <c r="AB2142">
        <v>113.92132700000001</v>
      </c>
    </row>
    <row r="2143" spans="1:28" hidden="1">
      <c r="A2143">
        <v>2133</v>
      </c>
      <c r="B2143">
        <v>1300</v>
      </c>
      <c r="C2143" t="s">
        <v>469</v>
      </c>
      <c r="D2143" t="s">
        <v>4093</v>
      </c>
      <c r="E2143">
        <v>60</v>
      </c>
      <c r="G2143" t="s">
        <v>203</v>
      </c>
      <c r="H2143" t="s">
        <v>204</v>
      </c>
      <c r="I2143" t="s">
        <v>1060</v>
      </c>
      <c r="J2143" t="s">
        <v>469</v>
      </c>
      <c r="K2143" t="s">
        <v>263</v>
      </c>
      <c r="M2143" t="b">
        <v>1</v>
      </c>
      <c r="N2143" t="s">
        <v>42</v>
      </c>
      <c r="O2143" t="s">
        <v>88</v>
      </c>
      <c r="Q2143">
        <v>119.62</v>
      </c>
      <c r="R2143">
        <v>1.7</v>
      </c>
      <c r="S2143" t="s">
        <v>206</v>
      </c>
      <c r="T2143">
        <v>60</v>
      </c>
      <c r="V2143">
        <v>101.2</v>
      </c>
      <c r="W2143">
        <v>81.3</v>
      </c>
      <c r="X2143">
        <v>25.5</v>
      </c>
      <c r="Y2143">
        <v>30.6</v>
      </c>
      <c r="Z2143">
        <v>66834405</v>
      </c>
      <c r="AA2143">
        <v>55.378050999999999</v>
      </c>
      <c r="AB2143">
        <v>-3.4359730000000002</v>
      </c>
    </row>
    <row r="2144" spans="1:28" hidden="1">
      <c r="A2144">
        <v>2133</v>
      </c>
      <c r="B2144">
        <v>1300</v>
      </c>
      <c r="C2144" t="s">
        <v>288</v>
      </c>
      <c r="D2144" t="s">
        <v>4094</v>
      </c>
      <c r="E2144">
        <v>70</v>
      </c>
      <c r="G2144" t="s">
        <v>77</v>
      </c>
      <c r="H2144" t="s">
        <v>78</v>
      </c>
      <c r="I2144" t="s">
        <v>418</v>
      </c>
      <c r="J2144" t="s">
        <v>288</v>
      </c>
      <c r="K2144" t="s">
        <v>77</v>
      </c>
      <c r="M2144" t="b">
        <v>1</v>
      </c>
      <c r="N2144" t="s">
        <v>42</v>
      </c>
      <c r="O2144" t="s">
        <v>33</v>
      </c>
      <c r="Q2144">
        <v>180.44</v>
      </c>
      <c r="R2144">
        <v>7.7</v>
      </c>
      <c r="S2144" t="s">
        <v>81</v>
      </c>
      <c r="T2144">
        <v>28.1</v>
      </c>
      <c r="V2144">
        <v>113</v>
      </c>
      <c r="W2144">
        <v>69.400000000000006</v>
      </c>
      <c r="X2144">
        <v>11.2</v>
      </c>
      <c r="Y2144">
        <v>49.7</v>
      </c>
      <c r="Z2144">
        <v>1366417754</v>
      </c>
      <c r="AA2144">
        <v>20.593684</v>
      </c>
      <c r="AB2144">
        <v>78.962879999999998</v>
      </c>
    </row>
    <row r="2145" spans="1:28" hidden="1">
      <c r="A2145">
        <v>2133</v>
      </c>
      <c r="B2145">
        <v>1300</v>
      </c>
      <c r="C2145" t="s">
        <v>54</v>
      </c>
      <c r="D2145" t="s">
        <v>4095</v>
      </c>
      <c r="E2145">
        <v>90</v>
      </c>
      <c r="G2145" t="s">
        <v>3708</v>
      </c>
      <c r="H2145" t="s">
        <v>3709</v>
      </c>
      <c r="I2145" t="s">
        <v>3146</v>
      </c>
      <c r="J2145" t="s">
        <v>54</v>
      </c>
      <c r="K2145" t="s">
        <v>3708</v>
      </c>
      <c r="M2145" t="b">
        <v>0</v>
      </c>
      <c r="N2145" t="s">
        <v>419</v>
      </c>
      <c r="O2145" t="s">
        <v>33</v>
      </c>
      <c r="Q2145">
        <v>111.07</v>
      </c>
      <c r="R2145">
        <v>0.2</v>
      </c>
      <c r="S2145" t="s">
        <v>3711</v>
      </c>
      <c r="T2145">
        <v>35.9</v>
      </c>
      <c r="V2145">
        <v>113.9</v>
      </c>
      <c r="W2145">
        <v>76.5</v>
      </c>
      <c r="X2145">
        <v>21.9</v>
      </c>
      <c r="Y2145">
        <v>45.8</v>
      </c>
      <c r="Z2145">
        <v>36910560</v>
      </c>
      <c r="AA2145">
        <v>31.791702000000001</v>
      </c>
      <c r="AB2145">
        <v>-7.0926200000000001</v>
      </c>
    </row>
    <row r="2146" spans="1:28" hidden="1">
      <c r="A2146">
        <v>2133</v>
      </c>
      <c r="B2146">
        <v>1300</v>
      </c>
      <c r="C2146" t="s">
        <v>75</v>
      </c>
      <c r="D2146" t="s">
        <v>4096</v>
      </c>
      <c r="E2146">
        <v>66</v>
      </c>
      <c r="G2146" t="s">
        <v>77</v>
      </c>
      <c r="H2146" t="s">
        <v>248</v>
      </c>
      <c r="I2146" t="s">
        <v>75</v>
      </c>
      <c r="J2146" t="s">
        <v>75</v>
      </c>
      <c r="K2146" t="s">
        <v>77</v>
      </c>
      <c r="M2146" t="b">
        <v>0</v>
      </c>
      <c r="N2146" t="s">
        <v>42</v>
      </c>
      <c r="O2146" t="s">
        <v>33</v>
      </c>
      <c r="Q2146">
        <v>180.44</v>
      </c>
      <c r="R2146">
        <v>7.7</v>
      </c>
      <c r="S2146" t="s">
        <v>81</v>
      </c>
      <c r="T2146">
        <v>28.1</v>
      </c>
      <c r="V2146">
        <v>113</v>
      </c>
      <c r="W2146">
        <v>69.400000000000006</v>
      </c>
      <c r="X2146">
        <v>11.2</v>
      </c>
      <c r="Y2146">
        <v>49.7</v>
      </c>
      <c r="Z2146">
        <v>1366417754</v>
      </c>
      <c r="AA2146">
        <v>20.593684</v>
      </c>
      <c r="AB2146">
        <v>78.962879999999998</v>
      </c>
    </row>
    <row r="2147" spans="1:28" hidden="1">
      <c r="A2147">
        <v>2133</v>
      </c>
      <c r="B2147">
        <v>1300</v>
      </c>
      <c r="C2147" t="s">
        <v>288</v>
      </c>
      <c r="D2147" t="s">
        <v>4097</v>
      </c>
      <c r="E2147">
        <v>70</v>
      </c>
      <c r="G2147" t="s">
        <v>77</v>
      </c>
      <c r="H2147" t="s">
        <v>248</v>
      </c>
      <c r="I2147" t="s">
        <v>4098</v>
      </c>
      <c r="J2147" t="s">
        <v>288</v>
      </c>
      <c r="K2147" t="s">
        <v>77</v>
      </c>
      <c r="M2147" t="b">
        <v>0</v>
      </c>
      <c r="N2147" t="s">
        <v>42</v>
      </c>
      <c r="O2147" t="s">
        <v>33</v>
      </c>
      <c r="Q2147">
        <v>180.44</v>
      </c>
      <c r="R2147">
        <v>7.7</v>
      </c>
      <c r="S2147" t="s">
        <v>81</v>
      </c>
      <c r="T2147">
        <v>28.1</v>
      </c>
      <c r="V2147">
        <v>113</v>
      </c>
      <c r="W2147">
        <v>69.400000000000006</v>
      </c>
      <c r="X2147">
        <v>11.2</v>
      </c>
      <c r="Y2147">
        <v>49.7</v>
      </c>
      <c r="Z2147">
        <v>1366417754</v>
      </c>
      <c r="AA2147">
        <v>20.593684</v>
      </c>
      <c r="AB2147">
        <v>78.962879999999998</v>
      </c>
    </row>
    <row r="2148" spans="1:28">
      <c r="A2148">
        <v>2133</v>
      </c>
      <c r="B2148">
        <v>1300</v>
      </c>
      <c r="C2148" t="s">
        <v>45</v>
      </c>
      <c r="D2148" t="s">
        <v>4099</v>
      </c>
      <c r="E2148">
        <v>50</v>
      </c>
      <c r="F2148" t="str">
        <f>IF(E2148&gt;=90,"90-100",IF(E2148&gt;=80,"80-90",IF(E2148&gt;=70,"70-80",IF(E2148&gt;=60,"60-70",IF(E2148&gt;=50,"50-60",IF(E2148&gt;=40,"40-50",IF(E2148&gt;=30,"30-40","20-30")))))))</f>
        <v>50-60</v>
      </c>
      <c r="G2148" t="s">
        <v>38</v>
      </c>
      <c r="H2148" t="s">
        <v>4100</v>
      </c>
      <c r="I2148" t="s">
        <v>4101</v>
      </c>
      <c r="J2148" t="s">
        <v>45</v>
      </c>
      <c r="K2148" t="s">
        <v>127</v>
      </c>
      <c r="L2148" t="s">
        <v>4102</v>
      </c>
      <c r="M2148" t="b">
        <v>1</v>
      </c>
      <c r="N2148" t="s">
        <v>42</v>
      </c>
      <c r="O2148" t="s">
        <v>4867</v>
      </c>
      <c r="P2148" t="s">
        <v>1742</v>
      </c>
      <c r="Q2148">
        <v>117.24</v>
      </c>
      <c r="R2148">
        <v>7.5</v>
      </c>
      <c r="S2148" t="s">
        <v>44</v>
      </c>
      <c r="T2148">
        <v>88.2</v>
      </c>
      <c r="U2148" t="str">
        <f>IF(T2148&gt;=100,"above 100",IF(T2148&gt;=80,"80-100",IF(T2148&gt;=60,"60-80",IF(T2148&gt;=40,"40-60",IF(T2148&gt;=20,"20-60","0-20")))))</f>
        <v>80-100</v>
      </c>
      <c r="V2148">
        <v>101.8</v>
      </c>
      <c r="W2148">
        <v>78.5</v>
      </c>
      <c r="X2148">
        <v>9.6</v>
      </c>
      <c r="Y2148">
        <v>36.6</v>
      </c>
      <c r="Z2148">
        <v>328239523</v>
      </c>
      <c r="AA2148">
        <v>37.090240000000001</v>
      </c>
      <c r="AB2148">
        <v>-95.712890999999999</v>
      </c>
    </row>
    <row r="2149" spans="1:28" hidden="1">
      <c r="A2149">
        <v>2133</v>
      </c>
      <c r="B2149">
        <v>1300</v>
      </c>
      <c r="C2149" t="s">
        <v>45</v>
      </c>
      <c r="D2149" t="s">
        <v>4103</v>
      </c>
      <c r="E2149">
        <v>71</v>
      </c>
      <c r="G2149" t="s">
        <v>103</v>
      </c>
      <c r="H2149" t="s">
        <v>791</v>
      </c>
      <c r="I2149" t="s">
        <v>3697</v>
      </c>
      <c r="J2149" t="s">
        <v>45</v>
      </c>
      <c r="K2149" t="s">
        <v>103</v>
      </c>
      <c r="M2149" t="b">
        <v>1</v>
      </c>
      <c r="N2149" t="s">
        <v>42</v>
      </c>
      <c r="O2149" t="s">
        <v>33</v>
      </c>
      <c r="Q2149">
        <v>125.08</v>
      </c>
      <c r="R2149">
        <v>2.9</v>
      </c>
      <c r="S2149" t="s">
        <v>106</v>
      </c>
      <c r="T2149">
        <v>50.6</v>
      </c>
      <c r="V2149">
        <v>100.2</v>
      </c>
      <c r="W2149">
        <v>77</v>
      </c>
      <c r="X2149">
        <v>9.4</v>
      </c>
      <c r="Y2149">
        <v>59.2</v>
      </c>
      <c r="Z2149">
        <v>1397715000</v>
      </c>
      <c r="AA2149">
        <v>35.861660000000001</v>
      </c>
      <c r="AB2149">
        <v>104.195397</v>
      </c>
    </row>
    <row r="2150" spans="1:28" hidden="1">
      <c r="A2150">
        <v>2133</v>
      </c>
      <c r="B2150">
        <v>1300</v>
      </c>
      <c r="C2150" t="s">
        <v>45</v>
      </c>
      <c r="D2150" t="s">
        <v>4104</v>
      </c>
      <c r="E2150">
        <v>40</v>
      </c>
      <c r="G2150" t="s">
        <v>38</v>
      </c>
      <c r="H2150" t="s">
        <v>4105</v>
      </c>
      <c r="I2150" t="s">
        <v>572</v>
      </c>
      <c r="J2150" t="s">
        <v>45</v>
      </c>
      <c r="K2150" t="s">
        <v>38</v>
      </c>
      <c r="M2150" t="b">
        <v>1</v>
      </c>
      <c r="N2150" t="s">
        <v>419</v>
      </c>
      <c r="O2150" t="s">
        <v>33</v>
      </c>
      <c r="Q2150">
        <v>117.24</v>
      </c>
      <c r="R2150">
        <v>7.5</v>
      </c>
      <c r="S2150" t="s">
        <v>44</v>
      </c>
      <c r="T2150">
        <v>88.2</v>
      </c>
      <c r="V2150">
        <v>101.8</v>
      </c>
      <c r="W2150">
        <v>78.5</v>
      </c>
      <c r="X2150">
        <v>9.6</v>
      </c>
      <c r="Y2150">
        <v>36.6</v>
      </c>
      <c r="Z2150">
        <v>328239523</v>
      </c>
      <c r="AA2150">
        <v>37.090240000000001</v>
      </c>
      <c r="AB2150">
        <v>-95.712890999999999</v>
      </c>
    </row>
    <row r="2151" spans="1:28" hidden="1">
      <c r="A2151">
        <v>2133</v>
      </c>
      <c r="B2151">
        <v>1300</v>
      </c>
      <c r="C2151" t="s">
        <v>217</v>
      </c>
      <c r="D2151" t="s">
        <v>4106</v>
      </c>
      <c r="E2151">
        <v>58</v>
      </c>
      <c r="G2151" t="s">
        <v>103</v>
      </c>
      <c r="H2151" t="s">
        <v>215</v>
      </c>
      <c r="I2151" t="s">
        <v>4107</v>
      </c>
      <c r="J2151" t="s">
        <v>217</v>
      </c>
      <c r="K2151" t="s">
        <v>103</v>
      </c>
      <c r="M2151" t="b">
        <v>1</v>
      </c>
      <c r="N2151" t="s">
        <v>192</v>
      </c>
      <c r="O2151" t="s">
        <v>33</v>
      </c>
      <c r="Q2151">
        <v>125.08</v>
      </c>
      <c r="R2151">
        <v>2.9</v>
      </c>
      <c r="S2151" t="s">
        <v>106</v>
      </c>
      <c r="T2151">
        <v>50.6</v>
      </c>
      <c r="V2151">
        <v>100.2</v>
      </c>
      <c r="W2151">
        <v>77</v>
      </c>
      <c r="X2151">
        <v>9.4</v>
      </c>
      <c r="Y2151">
        <v>59.2</v>
      </c>
      <c r="Z2151">
        <v>1397715000</v>
      </c>
      <c r="AA2151">
        <v>35.861660000000001</v>
      </c>
      <c r="AB2151">
        <v>104.195397</v>
      </c>
    </row>
    <row r="2152" spans="1:28" hidden="1">
      <c r="A2152">
        <v>2133</v>
      </c>
      <c r="B2152">
        <v>1300</v>
      </c>
      <c r="C2152" t="s">
        <v>221</v>
      </c>
      <c r="D2152" t="s">
        <v>4108</v>
      </c>
      <c r="E2152">
        <v>76</v>
      </c>
      <c r="G2152" t="s">
        <v>810</v>
      </c>
      <c r="H2152" t="s">
        <v>811</v>
      </c>
      <c r="I2152" t="s">
        <v>4109</v>
      </c>
      <c r="J2152" t="s">
        <v>221</v>
      </c>
      <c r="K2152" t="s">
        <v>810</v>
      </c>
      <c r="M2152" t="b">
        <v>1</v>
      </c>
      <c r="N2152" t="s">
        <v>42</v>
      </c>
      <c r="O2152" t="s">
        <v>33</v>
      </c>
    </row>
    <row r="2153" spans="1:28" hidden="1">
      <c r="A2153">
        <v>2133</v>
      </c>
      <c r="B2153">
        <v>1300</v>
      </c>
      <c r="C2153" t="s">
        <v>236</v>
      </c>
      <c r="D2153" t="s">
        <v>4110</v>
      </c>
      <c r="E2153">
        <v>62</v>
      </c>
      <c r="G2153" t="s">
        <v>103</v>
      </c>
      <c r="H2153" t="s">
        <v>4111</v>
      </c>
      <c r="I2153" t="s">
        <v>4112</v>
      </c>
      <c r="J2153" t="s">
        <v>236</v>
      </c>
      <c r="K2153" t="s">
        <v>103</v>
      </c>
      <c r="M2153" t="b">
        <v>1</v>
      </c>
      <c r="N2153" t="s">
        <v>42</v>
      </c>
      <c r="O2153" t="s">
        <v>33</v>
      </c>
      <c r="Q2153">
        <v>125.08</v>
      </c>
      <c r="R2153">
        <v>2.9</v>
      </c>
      <c r="S2153" t="s">
        <v>106</v>
      </c>
      <c r="T2153">
        <v>50.6</v>
      </c>
      <c r="V2153">
        <v>100.2</v>
      </c>
      <c r="W2153">
        <v>77</v>
      </c>
      <c r="X2153">
        <v>9.4</v>
      </c>
      <c r="Y2153">
        <v>59.2</v>
      </c>
      <c r="Z2153">
        <v>1397715000</v>
      </c>
      <c r="AA2153">
        <v>35.861660000000001</v>
      </c>
      <c r="AB2153">
        <v>104.195397</v>
      </c>
    </row>
    <row r="2154" spans="1:28" hidden="1">
      <c r="A2154">
        <v>2133</v>
      </c>
      <c r="B2154">
        <v>1300</v>
      </c>
      <c r="C2154" t="s">
        <v>217</v>
      </c>
      <c r="D2154" t="s">
        <v>4113</v>
      </c>
      <c r="E2154">
        <v>50</v>
      </c>
      <c r="G2154" t="s">
        <v>103</v>
      </c>
      <c r="H2154" t="s">
        <v>215</v>
      </c>
      <c r="I2154" t="s">
        <v>4114</v>
      </c>
      <c r="J2154" t="s">
        <v>217</v>
      </c>
      <c r="K2154" t="s">
        <v>103</v>
      </c>
      <c r="M2154" t="b">
        <v>1</v>
      </c>
      <c r="N2154" t="s">
        <v>192</v>
      </c>
      <c r="O2154" t="s">
        <v>33</v>
      </c>
      <c r="Q2154">
        <v>125.08</v>
      </c>
      <c r="R2154">
        <v>2.9</v>
      </c>
      <c r="S2154" t="s">
        <v>106</v>
      </c>
      <c r="T2154">
        <v>50.6</v>
      </c>
      <c r="V2154">
        <v>100.2</v>
      </c>
      <c r="W2154">
        <v>77</v>
      </c>
      <c r="X2154">
        <v>9.4</v>
      </c>
      <c r="Y2154">
        <v>59.2</v>
      </c>
      <c r="Z2154">
        <v>1397715000</v>
      </c>
      <c r="AA2154">
        <v>35.861660000000001</v>
      </c>
      <c r="AB2154">
        <v>104.195397</v>
      </c>
    </row>
    <row r="2155" spans="1:28" hidden="1">
      <c r="A2155">
        <v>2133</v>
      </c>
      <c r="B2155">
        <v>1300</v>
      </c>
      <c r="C2155" t="s">
        <v>36</v>
      </c>
      <c r="D2155" t="s">
        <v>4115</v>
      </c>
      <c r="E2155">
        <v>64</v>
      </c>
      <c r="G2155" t="s">
        <v>810</v>
      </c>
      <c r="H2155" t="s">
        <v>817</v>
      </c>
      <c r="I2155" t="s">
        <v>506</v>
      </c>
      <c r="J2155" t="s">
        <v>36</v>
      </c>
      <c r="K2155" t="s">
        <v>810</v>
      </c>
      <c r="M2155" t="b">
        <v>1</v>
      </c>
      <c r="N2155" t="s">
        <v>42</v>
      </c>
      <c r="O2155" t="s">
        <v>33</v>
      </c>
    </row>
    <row r="2156" spans="1:28" hidden="1">
      <c r="A2156">
        <v>2133</v>
      </c>
      <c r="B2156">
        <v>1300</v>
      </c>
      <c r="C2156" t="s">
        <v>68</v>
      </c>
      <c r="D2156" t="s">
        <v>4116</v>
      </c>
      <c r="E2156">
        <v>52</v>
      </c>
      <c r="G2156" t="s">
        <v>38</v>
      </c>
      <c r="H2156" t="s">
        <v>789</v>
      </c>
      <c r="I2156" t="s">
        <v>4117</v>
      </c>
      <c r="J2156" t="s">
        <v>68</v>
      </c>
      <c r="K2156" t="s">
        <v>38</v>
      </c>
      <c r="M2156" t="b">
        <v>1</v>
      </c>
      <c r="N2156" t="s">
        <v>192</v>
      </c>
      <c r="O2156" t="s">
        <v>33</v>
      </c>
      <c r="Q2156">
        <v>117.24</v>
      </c>
      <c r="R2156">
        <v>7.5</v>
      </c>
      <c r="S2156" t="s">
        <v>44</v>
      </c>
      <c r="T2156">
        <v>88.2</v>
      </c>
      <c r="V2156">
        <v>101.8</v>
      </c>
      <c r="W2156">
        <v>78.5</v>
      </c>
      <c r="X2156">
        <v>9.6</v>
      </c>
      <c r="Y2156">
        <v>36.6</v>
      </c>
      <c r="Z2156">
        <v>328239523</v>
      </c>
      <c r="AA2156">
        <v>37.090240000000001</v>
      </c>
      <c r="AB2156">
        <v>-95.712890999999999</v>
      </c>
    </row>
    <row r="2157" spans="1:28" hidden="1">
      <c r="A2157">
        <v>2133</v>
      </c>
      <c r="B2157">
        <v>1300</v>
      </c>
      <c r="C2157" t="s">
        <v>54</v>
      </c>
      <c r="D2157" t="s">
        <v>4118</v>
      </c>
      <c r="E2157">
        <v>77</v>
      </c>
      <c r="G2157" t="s">
        <v>95</v>
      </c>
      <c r="H2157" t="s">
        <v>1527</v>
      </c>
      <c r="I2157" t="s">
        <v>231</v>
      </c>
      <c r="J2157" t="s">
        <v>54</v>
      </c>
      <c r="K2157" t="s">
        <v>95</v>
      </c>
      <c r="M2157" t="b">
        <v>1</v>
      </c>
      <c r="N2157" t="s">
        <v>419</v>
      </c>
      <c r="O2157" t="s">
        <v>33</v>
      </c>
      <c r="Q2157">
        <v>110.96</v>
      </c>
      <c r="R2157">
        <v>0.7</v>
      </c>
      <c r="S2157" t="s">
        <v>98</v>
      </c>
      <c r="T2157">
        <v>88.9</v>
      </c>
      <c r="V2157">
        <v>102.7</v>
      </c>
      <c r="W2157">
        <v>83.3</v>
      </c>
      <c r="X2157">
        <v>14.2</v>
      </c>
      <c r="Y2157">
        <v>47</v>
      </c>
      <c r="Z2157">
        <v>47076781</v>
      </c>
      <c r="AA2157">
        <v>40.463667000000001</v>
      </c>
      <c r="AB2157">
        <v>-3.7492200000000002</v>
      </c>
    </row>
    <row r="2158" spans="1:28" hidden="1">
      <c r="A2158">
        <v>2133</v>
      </c>
      <c r="B2158">
        <v>1300</v>
      </c>
      <c r="C2158" t="s">
        <v>221</v>
      </c>
      <c r="D2158" t="s">
        <v>4119</v>
      </c>
      <c r="E2158">
        <v>76</v>
      </c>
      <c r="G2158" t="s">
        <v>1378</v>
      </c>
      <c r="H2158" t="s">
        <v>1379</v>
      </c>
      <c r="I2158" t="s">
        <v>223</v>
      </c>
      <c r="J2158" t="s">
        <v>221</v>
      </c>
      <c r="K2158" t="s">
        <v>1378</v>
      </c>
      <c r="M2158" t="b">
        <v>1</v>
      </c>
      <c r="N2158" t="s">
        <v>42</v>
      </c>
      <c r="O2158" t="s">
        <v>33</v>
      </c>
      <c r="Q2158">
        <v>232.75</v>
      </c>
      <c r="R2158">
        <v>53.5</v>
      </c>
      <c r="S2158" t="s">
        <v>1380</v>
      </c>
      <c r="T2158">
        <v>90</v>
      </c>
      <c r="V2158">
        <v>109.7</v>
      </c>
      <c r="W2158">
        <v>76.5</v>
      </c>
      <c r="X2158">
        <v>10.1</v>
      </c>
      <c r="Y2158">
        <v>106.3</v>
      </c>
      <c r="Z2158">
        <v>44938712</v>
      </c>
      <c r="AA2158">
        <v>-38.416097000000001</v>
      </c>
      <c r="AB2158">
        <v>-63.616672000000001</v>
      </c>
    </row>
    <row r="2159" spans="1:28" hidden="1">
      <c r="A2159">
        <v>2133</v>
      </c>
      <c r="B2159">
        <v>1300</v>
      </c>
      <c r="C2159" t="s">
        <v>101</v>
      </c>
      <c r="D2159" t="s">
        <v>4120</v>
      </c>
      <c r="E2159">
        <v>54</v>
      </c>
      <c r="G2159" t="s">
        <v>103</v>
      </c>
      <c r="H2159" t="s">
        <v>463</v>
      </c>
      <c r="I2159" t="s">
        <v>1366</v>
      </c>
      <c r="J2159" t="s">
        <v>101</v>
      </c>
      <c r="K2159" t="s">
        <v>103</v>
      </c>
      <c r="M2159" t="b">
        <v>1</v>
      </c>
      <c r="N2159" t="s">
        <v>42</v>
      </c>
      <c r="O2159" t="s">
        <v>33</v>
      </c>
      <c r="Q2159">
        <v>125.08</v>
      </c>
      <c r="R2159">
        <v>2.9</v>
      </c>
      <c r="S2159" t="s">
        <v>106</v>
      </c>
      <c r="T2159">
        <v>50.6</v>
      </c>
      <c r="V2159">
        <v>100.2</v>
      </c>
      <c r="W2159">
        <v>77</v>
      </c>
      <c r="X2159">
        <v>9.4</v>
      </c>
      <c r="Y2159">
        <v>59.2</v>
      </c>
      <c r="Z2159">
        <v>1397715000</v>
      </c>
      <c r="AA2159">
        <v>35.861660000000001</v>
      </c>
      <c r="AB2159">
        <v>104.195397</v>
      </c>
    </row>
    <row r="2160" spans="1:28" hidden="1">
      <c r="A2160">
        <v>2133</v>
      </c>
      <c r="B2160">
        <v>1300</v>
      </c>
      <c r="C2160" t="s">
        <v>45</v>
      </c>
      <c r="D2160" t="s">
        <v>4121</v>
      </c>
      <c r="E2160">
        <v>60</v>
      </c>
      <c r="G2160" t="s">
        <v>77</v>
      </c>
      <c r="H2160" t="s">
        <v>290</v>
      </c>
      <c r="I2160" t="s">
        <v>45</v>
      </c>
      <c r="J2160" t="s">
        <v>45</v>
      </c>
      <c r="K2160" t="s">
        <v>77</v>
      </c>
      <c r="M2160" t="b">
        <v>1</v>
      </c>
      <c r="N2160" t="s">
        <v>419</v>
      </c>
      <c r="O2160" t="s">
        <v>33</v>
      </c>
      <c r="Q2160">
        <v>180.44</v>
      </c>
      <c r="R2160">
        <v>7.7</v>
      </c>
      <c r="S2160" t="s">
        <v>81</v>
      </c>
      <c r="T2160">
        <v>28.1</v>
      </c>
      <c r="V2160">
        <v>113</v>
      </c>
      <c r="W2160">
        <v>69.400000000000006</v>
      </c>
      <c r="X2160">
        <v>11.2</v>
      </c>
      <c r="Y2160">
        <v>49.7</v>
      </c>
      <c r="Z2160">
        <v>1366417754</v>
      </c>
      <c r="AA2160">
        <v>20.593684</v>
      </c>
      <c r="AB2160">
        <v>78.962879999999998</v>
      </c>
    </row>
    <row r="2161" spans="1:28" hidden="1">
      <c r="A2161">
        <v>2133</v>
      </c>
      <c r="B2161">
        <v>1300</v>
      </c>
      <c r="C2161" t="s">
        <v>63</v>
      </c>
      <c r="D2161" t="s">
        <v>4122</v>
      </c>
      <c r="E2161">
        <v>86</v>
      </c>
      <c r="G2161" t="s">
        <v>1267</v>
      </c>
      <c r="H2161" t="s">
        <v>1268</v>
      </c>
      <c r="I2161" t="s">
        <v>129</v>
      </c>
      <c r="J2161" t="s">
        <v>63</v>
      </c>
      <c r="K2161" t="s">
        <v>1267</v>
      </c>
      <c r="M2161" t="b">
        <v>1</v>
      </c>
      <c r="N2161" t="s">
        <v>32</v>
      </c>
      <c r="O2161" t="s">
        <v>33</v>
      </c>
      <c r="Q2161">
        <v>234.44</v>
      </c>
      <c r="R2161">
        <v>15.2</v>
      </c>
      <c r="S2161" t="s">
        <v>1270</v>
      </c>
      <c r="T2161">
        <v>23.9</v>
      </c>
      <c r="V2161">
        <v>93.2</v>
      </c>
      <c r="W2161">
        <v>77.400000000000006</v>
      </c>
      <c r="X2161">
        <v>17.899999999999999</v>
      </c>
      <c r="Y2161">
        <v>42.3</v>
      </c>
      <c r="Z2161">
        <v>83429615</v>
      </c>
      <c r="AA2161">
        <v>38.963745000000003</v>
      </c>
      <c r="AB2161">
        <v>35.243321999999999</v>
      </c>
    </row>
    <row r="2162" spans="1:28" hidden="1">
      <c r="A2162">
        <v>2133</v>
      </c>
      <c r="B2162">
        <v>1300</v>
      </c>
      <c r="C2162" t="s">
        <v>54</v>
      </c>
      <c r="D2162" t="s">
        <v>4123</v>
      </c>
      <c r="E2162">
        <v>52</v>
      </c>
      <c r="G2162" t="s">
        <v>164</v>
      </c>
      <c r="H2162" t="s">
        <v>4124</v>
      </c>
      <c r="I2162" t="s">
        <v>1466</v>
      </c>
      <c r="J2162" t="s">
        <v>54</v>
      </c>
      <c r="K2162" t="s">
        <v>164</v>
      </c>
      <c r="M2162" t="b">
        <v>0</v>
      </c>
      <c r="N2162" t="s">
        <v>192</v>
      </c>
      <c r="O2162" t="s">
        <v>88</v>
      </c>
      <c r="Q2162">
        <v>110.62</v>
      </c>
      <c r="R2162">
        <v>0.6</v>
      </c>
      <c r="S2162" t="s">
        <v>539</v>
      </c>
      <c r="T2162">
        <v>61.9</v>
      </c>
      <c r="V2162">
        <v>101.9</v>
      </c>
      <c r="W2162">
        <v>82.9</v>
      </c>
      <c r="X2162">
        <v>24.3</v>
      </c>
      <c r="Y2162">
        <v>59.1</v>
      </c>
      <c r="Z2162">
        <v>60297396</v>
      </c>
      <c r="AA2162">
        <v>41.871940000000002</v>
      </c>
      <c r="AB2162">
        <v>12.56738</v>
      </c>
    </row>
    <row r="2163" spans="1:28" hidden="1">
      <c r="A2163">
        <v>2133</v>
      </c>
      <c r="B2163">
        <v>1300</v>
      </c>
      <c r="C2163" t="s">
        <v>54</v>
      </c>
      <c r="D2163" t="s">
        <v>4125</v>
      </c>
      <c r="E2163">
        <v>55</v>
      </c>
      <c r="G2163" t="s">
        <v>164</v>
      </c>
      <c r="H2163" t="s">
        <v>538</v>
      </c>
      <c r="I2163" t="s">
        <v>1466</v>
      </c>
      <c r="J2163" t="s">
        <v>54</v>
      </c>
      <c r="K2163" t="s">
        <v>164</v>
      </c>
      <c r="M2163" t="b">
        <v>0</v>
      </c>
      <c r="N2163" t="s">
        <v>192</v>
      </c>
      <c r="O2163" t="s">
        <v>33</v>
      </c>
      <c r="Q2163">
        <v>110.62</v>
      </c>
      <c r="R2163">
        <v>0.6</v>
      </c>
      <c r="S2163" t="s">
        <v>539</v>
      </c>
      <c r="T2163">
        <v>61.9</v>
      </c>
      <c r="V2163">
        <v>101.9</v>
      </c>
      <c r="W2163">
        <v>82.9</v>
      </c>
      <c r="X2163">
        <v>24.3</v>
      </c>
      <c r="Y2163">
        <v>59.1</v>
      </c>
      <c r="Z2163">
        <v>60297396</v>
      </c>
      <c r="AA2163">
        <v>41.871940000000002</v>
      </c>
      <c r="AB2163">
        <v>12.56738</v>
      </c>
    </row>
    <row r="2164" spans="1:28" hidden="1">
      <c r="A2164">
        <v>2133</v>
      </c>
      <c r="B2164">
        <v>1300</v>
      </c>
      <c r="C2164" t="s">
        <v>288</v>
      </c>
      <c r="D2164" t="s">
        <v>4126</v>
      </c>
      <c r="E2164">
        <v>59</v>
      </c>
      <c r="G2164" t="s">
        <v>103</v>
      </c>
      <c r="H2164" t="s">
        <v>176</v>
      </c>
      <c r="I2164" t="s">
        <v>291</v>
      </c>
      <c r="J2164" t="s">
        <v>288</v>
      </c>
      <c r="K2164" t="s">
        <v>103</v>
      </c>
      <c r="M2164" t="b">
        <v>1</v>
      </c>
      <c r="N2164" t="s">
        <v>42</v>
      </c>
      <c r="O2164" t="s">
        <v>33</v>
      </c>
      <c r="Q2164">
        <v>125.08</v>
      </c>
      <c r="R2164">
        <v>2.9</v>
      </c>
      <c r="S2164" t="s">
        <v>106</v>
      </c>
      <c r="T2164">
        <v>50.6</v>
      </c>
      <c r="V2164">
        <v>100.2</v>
      </c>
      <c r="W2164">
        <v>77</v>
      </c>
      <c r="X2164">
        <v>9.4</v>
      </c>
      <c r="Y2164">
        <v>59.2</v>
      </c>
      <c r="Z2164">
        <v>1397715000</v>
      </c>
      <c r="AA2164">
        <v>35.861660000000001</v>
      </c>
      <c r="AB2164">
        <v>104.195397</v>
      </c>
    </row>
    <row r="2165" spans="1:28" hidden="1">
      <c r="A2165">
        <v>2133</v>
      </c>
      <c r="B2165">
        <v>1300</v>
      </c>
      <c r="C2165" t="s">
        <v>250</v>
      </c>
      <c r="D2165" t="s">
        <v>4127</v>
      </c>
      <c r="E2165">
        <v>67</v>
      </c>
      <c r="G2165" t="s">
        <v>38</v>
      </c>
      <c r="H2165" t="s">
        <v>595</v>
      </c>
      <c r="I2165" t="s">
        <v>250</v>
      </c>
      <c r="J2165" t="s">
        <v>250</v>
      </c>
      <c r="K2165" t="s">
        <v>38</v>
      </c>
      <c r="M2165" t="b">
        <v>1</v>
      </c>
      <c r="N2165" t="s">
        <v>192</v>
      </c>
      <c r="O2165" t="s">
        <v>33</v>
      </c>
      <c r="Q2165">
        <v>117.24</v>
      </c>
      <c r="R2165">
        <v>7.5</v>
      </c>
      <c r="S2165" t="s">
        <v>44</v>
      </c>
      <c r="T2165">
        <v>88.2</v>
      </c>
      <c r="V2165">
        <v>101.8</v>
      </c>
      <c r="W2165">
        <v>78.5</v>
      </c>
      <c r="X2165">
        <v>9.6</v>
      </c>
      <c r="Y2165">
        <v>36.6</v>
      </c>
      <c r="Z2165">
        <v>328239523</v>
      </c>
      <c r="AA2165">
        <v>37.090240000000001</v>
      </c>
      <c r="AB2165">
        <v>-95.712890999999999</v>
      </c>
    </row>
    <row r="2166" spans="1:28" hidden="1">
      <c r="A2166">
        <v>2133</v>
      </c>
      <c r="B2166">
        <v>1300</v>
      </c>
      <c r="C2166" t="s">
        <v>63</v>
      </c>
      <c r="D2166" t="s">
        <v>4128</v>
      </c>
      <c r="E2166">
        <v>74</v>
      </c>
      <c r="G2166" t="s">
        <v>198</v>
      </c>
      <c r="H2166" t="s">
        <v>4129</v>
      </c>
      <c r="I2166" t="s">
        <v>1448</v>
      </c>
      <c r="J2166" t="s">
        <v>63</v>
      </c>
      <c r="K2166" t="s">
        <v>198</v>
      </c>
      <c r="M2166" t="b">
        <v>1</v>
      </c>
      <c r="N2166" t="s">
        <v>212</v>
      </c>
      <c r="O2166" t="s">
        <v>88</v>
      </c>
      <c r="Q2166">
        <v>105.48</v>
      </c>
      <c r="R2166">
        <v>0.5</v>
      </c>
      <c r="S2166" t="s">
        <v>201</v>
      </c>
      <c r="T2166">
        <v>63.2</v>
      </c>
      <c r="V2166">
        <v>98.8</v>
      </c>
      <c r="W2166">
        <v>84.2</v>
      </c>
      <c r="X2166">
        <v>11.9</v>
      </c>
      <c r="Y2166">
        <v>46.7</v>
      </c>
      <c r="Z2166">
        <v>126226568</v>
      </c>
      <c r="AA2166">
        <v>36.204824000000002</v>
      </c>
      <c r="AB2166">
        <v>138.25292400000001</v>
      </c>
    </row>
    <row r="2167" spans="1:28" hidden="1">
      <c r="A2167">
        <v>2133</v>
      </c>
      <c r="B2167">
        <v>1300</v>
      </c>
      <c r="C2167" t="s">
        <v>63</v>
      </c>
      <c r="D2167" t="s">
        <v>4130</v>
      </c>
      <c r="E2167">
        <v>72</v>
      </c>
      <c r="G2167" t="s">
        <v>198</v>
      </c>
      <c r="H2167" t="s">
        <v>4129</v>
      </c>
      <c r="I2167" t="s">
        <v>1448</v>
      </c>
      <c r="J2167" t="s">
        <v>63</v>
      </c>
      <c r="K2167" t="s">
        <v>198</v>
      </c>
      <c r="M2167" t="b">
        <v>1</v>
      </c>
      <c r="N2167" t="s">
        <v>212</v>
      </c>
      <c r="O2167" t="s">
        <v>33</v>
      </c>
      <c r="Q2167">
        <v>105.48</v>
      </c>
      <c r="R2167">
        <v>0.5</v>
      </c>
      <c r="S2167" t="s">
        <v>201</v>
      </c>
      <c r="T2167">
        <v>63.2</v>
      </c>
      <c r="V2167">
        <v>98.8</v>
      </c>
      <c r="W2167">
        <v>84.2</v>
      </c>
      <c r="X2167">
        <v>11.9</v>
      </c>
      <c r="Y2167">
        <v>46.7</v>
      </c>
      <c r="Z2167">
        <v>126226568</v>
      </c>
      <c r="AA2167">
        <v>36.204824000000002</v>
      </c>
      <c r="AB2167">
        <v>138.25292400000001</v>
      </c>
    </row>
    <row r="2168" spans="1:28" hidden="1">
      <c r="A2168">
        <v>2133</v>
      </c>
      <c r="B2168">
        <v>1300</v>
      </c>
      <c r="C2168" t="s">
        <v>54</v>
      </c>
      <c r="D2168" t="s">
        <v>4131</v>
      </c>
      <c r="E2168">
        <v>45</v>
      </c>
      <c r="G2168" t="s">
        <v>127</v>
      </c>
      <c r="H2168" t="s">
        <v>1129</v>
      </c>
      <c r="I2168" t="s">
        <v>4132</v>
      </c>
      <c r="J2168" t="s">
        <v>54</v>
      </c>
      <c r="K2168" t="s">
        <v>127</v>
      </c>
      <c r="M2168" t="b">
        <v>1</v>
      </c>
      <c r="N2168" t="s">
        <v>42</v>
      </c>
      <c r="O2168" t="s">
        <v>33</v>
      </c>
      <c r="Q2168">
        <v>116.76</v>
      </c>
      <c r="R2168">
        <v>1.9</v>
      </c>
      <c r="S2168" t="s">
        <v>132</v>
      </c>
      <c r="T2168">
        <v>68.900000000000006</v>
      </c>
      <c r="V2168">
        <v>100.9</v>
      </c>
      <c r="W2168">
        <v>81.900000000000006</v>
      </c>
      <c r="X2168">
        <v>12.8</v>
      </c>
      <c r="Y2168">
        <v>24.5</v>
      </c>
      <c r="Z2168">
        <v>36991981</v>
      </c>
      <c r="AA2168">
        <v>56.130366000000002</v>
      </c>
      <c r="AB2168">
        <v>-106.346771</v>
      </c>
    </row>
    <row r="2169" spans="1:28" hidden="1">
      <c r="A2169">
        <v>2133</v>
      </c>
      <c r="B2169">
        <v>1300</v>
      </c>
      <c r="C2169" t="s">
        <v>221</v>
      </c>
      <c r="D2169" t="s">
        <v>4133</v>
      </c>
      <c r="E2169">
        <v>87</v>
      </c>
      <c r="G2169" t="s">
        <v>38</v>
      </c>
      <c r="H2169" t="s">
        <v>581</v>
      </c>
      <c r="I2169" t="s">
        <v>223</v>
      </c>
      <c r="J2169" t="s">
        <v>221</v>
      </c>
      <c r="K2169" t="s">
        <v>38</v>
      </c>
      <c r="M2169" t="b">
        <v>1</v>
      </c>
      <c r="N2169" t="s">
        <v>419</v>
      </c>
      <c r="O2169" t="s">
        <v>33</v>
      </c>
      <c r="Q2169">
        <v>117.24</v>
      </c>
      <c r="R2169">
        <v>7.5</v>
      </c>
      <c r="S2169" t="s">
        <v>44</v>
      </c>
      <c r="T2169">
        <v>88.2</v>
      </c>
      <c r="V2169">
        <v>101.8</v>
      </c>
      <c r="W2169">
        <v>78.5</v>
      </c>
      <c r="X2169">
        <v>9.6</v>
      </c>
      <c r="Y2169">
        <v>36.6</v>
      </c>
      <c r="Z2169">
        <v>328239523</v>
      </c>
      <c r="AA2169">
        <v>37.090240000000001</v>
      </c>
      <c r="AB2169">
        <v>-95.712890999999999</v>
      </c>
    </row>
    <row r="2170" spans="1:28" hidden="1">
      <c r="A2170">
        <v>2133</v>
      </c>
      <c r="B2170">
        <v>1300</v>
      </c>
      <c r="C2170" t="s">
        <v>469</v>
      </c>
      <c r="D2170" t="s">
        <v>4134</v>
      </c>
      <c r="E2170">
        <v>45</v>
      </c>
      <c r="G2170" t="s">
        <v>164</v>
      </c>
      <c r="H2170" t="s">
        <v>538</v>
      </c>
      <c r="I2170" t="s">
        <v>4135</v>
      </c>
      <c r="J2170" t="s">
        <v>469</v>
      </c>
      <c r="K2170" t="s">
        <v>164</v>
      </c>
      <c r="M2170" t="b">
        <v>0</v>
      </c>
      <c r="N2170" t="s">
        <v>419</v>
      </c>
      <c r="O2170" t="s">
        <v>88</v>
      </c>
      <c r="Q2170">
        <v>110.62</v>
      </c>
      <c r="R2170">
        <v>0.6</v>
      </c>
      <c r="S2170" t="s">
        <v>539</v>
      </c>
      <c r="T2170">
        <v>61.9</v>
      </c>
      <c r="V2170">
        <v>101.9</v>
      </c>
      <c r="W2170">
        <v>82.9</v>
      </c>
      <c r="X2170">
        <v>24.3</v>
      </c>
      <c r="Y2170">
        <v>59.1</v>
      </c>
      <c r="Z2170">
        <v>60297396</v>
      </c>
      <c r="AA2170">
        <v>41.871940000000002</v>
      </c>
      <c r="AB2170">
        <v>12.56738</v>
      </c>
    </row>
    <row r="2171" spans="1:28" hidden="1">
      <c r="A2171">
        <v>2133</v>
      </c>
      <c r="B2171">
        <v>1300</v>
      </c>
      <c r="C2171" t="s">
        <v>54</v>
      </c>
      <c r="D2171" t="s">
        <v>4136</v>
      </c>
      <c r="E2171">
        <v>65</v>
      </c>
      <c r="G2171" t="s">
        <v>38</v>
      </c>
      <c r="H2171" t="s">
        <v>895</v>
      </c>
      <c r="I2171" t="s">
        <v>226</v>
      </c>
      <c r="J2171" t="s">
        <v>54</v>
      </c>
      <c r="K2171" t="s">
        <v>38</v>
      </c>
      <c r="M2171" t="b">
        <v>1</v>
      </c>
      <c r="N2171" t="s">
        <v>192</v>
      </c>
      <c r="O2171" t="s">
        <v>33</v>
      </c>
      <c r="Q2171">
        <v>117.24</v>
      </c>
      <c r="R2171">
        <v>7.5</v>
      </c>
      <c r="S2171" t="s">
        <v>44</v>
      </c>
      <c r="T2171">
        <v>88.2</v>
      </c>
      <c r="V2171">
        <v>101.8</v>
      </c>
      <c r="W2171">
        <v>78.5</v>
      </c>
      <c r="X2171">
        <v>9.6</v>
      </c>
      <c r="Y2171">
        <v>36.6</v>
      </c>
      <c r="Z2171">
        <v>328239523</v>
      </c>
      <c r="AA2171">
        <v>37.090240000000001</v>
      </c>
      <c r="AB2171">
        <v>-95.712890999999999</v>
      </c>
    </row>
    <row r="2172" spans="1:28" hidden="1">
      <c r="A2172">
        <v>2133</v>
      </c>
      <c r="B2172">
        <v>1300</v>
      </c>
      <c r="C2172" t="s">
        <v>54</v>
      </c>
      <c r="D2172" t="s">
        <v>4137</v>
      </c>
      <c r="E2172">
        <v>59</v>
      </c>
      <c r="G2172" t="s">
        <v>103</v>
      </c>
      <c r="H2172" t="s">
        <v>176</v>
      </c>
      <c r="I2172" t="s">
        <v>231</v>
      </c>
      <c r="J2172" t="s">
        <v>54</v>
      </c>
      <c r="K2172" t="s">
        <v>103</v>
      </c>
      <c r="M2172" t="b">
        <v>1</v>
      </c>
      <c r="N2172" t="s">
        <v>42</v>
      </c>
      <c r="O2172" t="s">
        <v>33</v>
      </c>
      <c r="Q2172">
        <v>125.08</v>
      </c>
      <c r="R2172">
        <v>2.9</v>
      </c>
      <c r="S2172" t="s">
        <v>106</v>
      </c>
      <c r="T2172">
        <v>50.6</v>
      </c>
      <c r="V2172">
        <v>100.2</v>
      </c>
      <c r="W2172">
        <v>77</v>
      </c>
      <c r="X2172">
        <v>9.4</v>
      </c>
      <c r="Y2172">
        <v>59.2</v>
      </c>
      <c r="Z2172">
        <v>1397715000</v>
      </c>
      <c r="AA2172">
        <v>35.861660000000001</v>
      </c>
      <c r="AB2172">
        <v>104.195397</v>
      </c>
    </row>
    <row r="2173" spans="1:28" hidden="1">
      <c r="A2173">
        <v>2133</v>
      </c>
      <c r="B2173">
        <v>1300</v>
      </c>
      <c r="C2173" t="s">
        <v>217</v>
      </c>
      <c r="D2173" t="s">
        <v>4138</v>
      </c>
      <c r="E2173">
        <v>36</v>
      </c>
      <c r="G2173" t="s">
        <v>1634</v>
      </c>
      <c r="H2173" t="s">
        <v>3102</v>
      </c>
      <c r="I2173" t="s">
        <v>1636</v>
      </c>
      <c r="J2173" t="s">
        <v>217</v>
      </c>
      <c r="K2173" t="s">
        <v>1634</v>
      </c>
      <c r="M2173" t="b">
        <v>0</v>
      </c>
      <c r="N2173" t="s">
        <v>32</v>
      </c>
      <c r="O2173" t="s">
        <v>33</v>
      </c>
      <c r="Q2173">
        <v>112.33</v>
      </c>
      <c r="R2173">
        <v>1</v>
      </c>
      <c r="S2173" t="s">
        <v>1637</v>
      </c>
      <c r="T2173">
        <v>88.2</v>
      </c>
      <c r="V2173">
        <v>100.2</v>
      </c>
      <c r="W2173">
        <v>81.7</v>
      </c>
      <c r="X2173">
        <v>20.8</v>
      </c>
      <c r="Y2173">
        <v>36.6</v>
      </c>
      <c r="Z2173">
        <v>5520314</v>
      </c>
      <c r="AA2173">
        <v>61.924109999999999</v>
      </c>
      <c r="AB2173">
        <v>25.748151</v>
      </c>
    </row>
    <row r="2174" spans="1:28" hidden="1">
      <c r="A2174">
        <v>2133</v>
      </c>
      <c r="B2174">
        <v>1300</v>
      </c>
      <c r="C2174" t="s">
        <v>221</v>
      </c>
      <c r="D2174" t="s">
        <v>4139</v>
      </c>
      <c r="E2174">
        <v>70</v>
      </c>
      <c r="G2174" t="s">
        <v>103</v>
      </c>
      <c r="H2174" t="s">
        <v>215</v>
      </c>
      <c r="I2174" t="s">
        <v>223</v>
      </c>
      <c r="J2174" t="s">
        <v>221</v>
      </c>
      <c r="K2174" t="s">
        <v>4140</v>
      </c>
      <c r="M2174" t="b">
        <v>1</v>
      </c>
      <c r="N2174" t="s">
        <v>42</v>
      </c>
      <c r="O2174" t="s">
        <v>33</v>
      </c>
      <c r="Q2174">
        <v>125.08</v>
      </c>
      <c r="R2174">
        <v>2.9</v>
      </c>
      <c r="S2174" t="s">
        <v>106</v>
      </c>
      <c r="T2174">
        <v>50.6</v>
      </c>
      <c r="V2174">
        <v>100.2</v>
      </c>
      <c r="W2174">
        <v>77</v>
      </c>
      <c r="X2174">
        <v>9.4</v>
      </c>
      <c r="Y2174">
        <v>59.2</v>
      </c>
      <c r="Z2174">
        <v>1397715000</v>
      </c>
      <c r="AA2174">
        <v>35.861660000000001</v>
      </c>
      <c r="AB2174">
        <v>104.195397</v>
      </c>
    </row>
    <row r="2175" spans="1:28" hidden="1">
      <c r="A2175">
        <v>2133</v>
      </c>
      <c r="B2175">
        <v>1300</v>
      </c>
      <c r="C2175" t="s">
        <v>54</v>
      </c>
      <c r="D2175" t="s">
        <v>4141</v>
      </c>
      <c r="I2175" t="s">
        <v>1152</v>
      </c>
      <c r="J2175" t="s">
        <v>54</v>
      </c>
      <c r="K2175" t="s">
        <v>512</v>
      </c>
      <c r="M2175" t="b">
        <v>0</v>
      </c>
      <c r="N2175" t="s">
        <v>192</v>
      </c>
      <c r="O2175" t="s">
        <v>88</v>
      </c>
    </row>
    <row r="2176" spans="1:28" hidden="1">
      <c r="A2176">
        <v>2133</v>
      </c>
      <c r="B2176">
        <v>1300</v>
      </c>
      <c r="C2176" t="s">
        <v>54</v>
      </c>
      <c r="D2176" t="s">
        <v>4142</v>
      </c>
      <c r="E2176">
        <v>57</v>
      </c>
      <c r="G2176" t="s">
        <v>38</v>
      </c>
      <c r="H2176" t="s">
        <v>65</v>
      </c>
      <c r="I2176" t="s">
        <v>4143</v>
      </c>
      <c r="J2176" t="s">
        <v>54</v>
      </c>
      <c r="K2176" t="s">
        <v>38</v>
      </c>
      <c r="M2176" t="b">
        <v>1</v>
      </c>
      <c r="N2176" t="s">
        <v>192</v>
      </c>
      <c r="O2176" t="s">
        <v>33</v>
      </c>
      <c r="Q2176">
        <v>117.24</v>
      </c>
      <c r="R2176">
        <v>7.5</v>
      </c>
      <c r="S2176" t="s">
        <v>44</v>
      </c>
      <c r="T2176">
        <v>88.2</v>
      </c>
      <c r="V2176">
        <v>101.8</v>
      </c>
      <c r="W2176">
        <v>78.5</v>
      </c>
      <c r="X2176">
        <v>9.6</v>
      </c>
      <c r="Y2176">
        <v>36.6</v>
      </c>
      <c r="Z2176">
        <v>328239523</v>
      </c>
      <c r="AA2176">
        <v>37.090240000000001</v>
      </c>
      <c r="AB2176">
        <v>-95.712890999999999</v>
      </c>
    </row>
    <row r="2177" spans="1:28" hidden="1">
      <c r="A2177">
        <v>2133</v>
      </c>
      <c r="B2177">
        <v>1300</v>
      </c>
      <c r="C2177" t="s">
        <v>308</v>
      </c>
      <c r="D2177" t="s">
        <v>4144</v>
      </c>
      <c r="E2177">
        <v>72</v>
      </c>
      <c r="G2177" t="s">
        <v>38</v>
      </c>
      <c r="H2177" t="s">
        <v>4145</v>
      </c>
      <c r="I2177" t="s">
        <v>4107</v>
      </c>
      <c r="J2177" t="s">
        <v>308</v>
      </c>
      <c r="K2177" t="s">
        <v>38</v>
      </c>
      <c r="M2177" t="b">
        <v>0</v>
      </c>
      <c r="N2177" t="s">
        <v>419</v>
      </c>
      <c r="O2177" t="s">
        <v>33</v>
      </c>
      <c r="Q2177">
        <v>117.24</v>
      </c>
      <c r="R2177">
        <v>7.5</v>
      </c>
      <c r="S2177" t="s">
        <v>44</v>
      </c>
      <c r="T2177">
        <v>88.2</v>
      </c>
      <c r="V2177">
        <v>101.8</v>
      </c>
      <c r="W2177">
        <v>78.5</v>
      </c>
      <c r="X2177">
        <v>9.6</v>
      </c>
      <c r="Y2177">
        <v>36.6</v>
      </c>
      <c r="Z2177">
        <v>328239523</v>
      </c>
      <c r="AA2177">
        <v>37.090240000000001</v>
      </c>
      <c r="AB2177">
        <v>-95.712890999999999</v>
      </c>
    </row>
    <row r="2178" spans="1:28" hidden="1">
      <c r="A2178">
        <v>2133</v>
      </c>
      <c r="B2178">
        <v>1300</v>
      </c>
      <c r="C2178" t="s">
        <v>217</v>
      </c>
      <c r="D2178" t="s">
        <v>4146</v>
      </c>
      <c r="E2178">
        <v>61</v>
      </c>
      <c r="G2178" t="s">
        <v>77</v>
      </c>
      <c r="H2178" t="s">
        <v>4147</v>
      </c>
      <c r="I2178" t="s">
        <v>506</v>
      </c>
      <c r="J2178" t="s">
        <v>217</v>
      </c>
      <c r="K2178" t="s">
        <v>77</v>
      </c>
      <c r="M2178" t="b">
        <v>1</v>
      </c>
      <c r="N2178" t="s">
        <v>42</v>
      </c>
      <c r="O2178" t="s">
        <v>33</v>
      </c>
      <c r="Q2178">
        <v>180.44</v>
      </c>
      <c r="R2178">
        <v>7.7</v>
      </c>
      <c r="S2178" t="s">
        <v>81</v>
      </c>
      <c r="T2178">
        <v>28.1</v>
      </c>
      <c r="V2178">
        <v>113</v>
      </c>
      <c r="W2178">
        <v>69.400000000000006</v>
      </c>
      <c r="X2178">
        <v>11.2</v>
      </c>
      <c r="Y2178">
        <v>49.7</v>
      </c>
      <c r="Z2178">
        <v>1366417754</v>
      </c>
      <c r="AA2178">
        <v>20.593684</v>
      </c>
      <c r="AB2178">
        <v>78.962879999999998</v>
      </c>
    </row>
    <row r="2179" spans="1:28" hidden="1">
      <c r="A2179">
        <v>2133</v>
      </c>
      <c r="B2179">
        <v>1300</v>
      </c>
      <c r="C2179" t="s">
        <v>217</v>
      </c>
      <c r="D2179" t="s">
        <v>4148</v>
      </c>
      <c r="E2179">
        <v>64</v>
      </c>
      <c r="G2179" t="s">
        <v>103</v>
      </c>
      <c r="H2179" t="s">
        <v>4149</v>
      </c>
      <c r="I2179" t="s">
        <v>217</v>
      </c>
      <c r="J2179" t="s">
        <v>217</v>
      </c>
      <c r="K2179" t="s">
        <v>103</v>
      </c>
      <c r="M2179" t="b">
        <v>1</v>
      </c>
      <c r="N2179" t="s">
        <v>419</v>
      </c>
      <c r="O2179" t="s">
        <v>33</v>
      </c>
      <c r="Q2179">
        <v>125.08</v>
      </c>
      <c r="R2179">
        <v>2.9</v>
      </c>
      <c r="S2179" t="s">
        <v>106</v>
      </c>
      <c r="T2179">
        <v>50.6</v>
      </c>
      <c r="V2179">
        <v>100.2</v>
      </c>
      <c r="W2179">
        <v>77</v>
      </c>
      <c r="X2179">
        <v>9.4</v>
      </c>
      <c r="Y2179">
        <v>59.2</v>
      </c>
      <c r="Z2179">
        <v>1397715000</v>
      </c>
      <c r="AA2179">
        <v>35.861660000000001</v>
      </c>
      <c r="AB2179">
        <v>104.195397</v>
      </c>
    </row>
    <row r="2180" spans="1:28" hidden="1">
      <c r="A2180">
        <v>2133</v>
      </c>
      <c r="B2180">
        <v>1300</v>
      </c>
      <c r="C2180" t="s">
        <v>217</v>
      </c>
      <c r="D2180" t="s">
        <v>4150</v>
      </c>
      <c r="E2180">
        <v>56</v>
      </c>
      <c r="G2180" t="s">
        <v>103</v>
      </c>
      <c r="H2180" t="s">
        <v>4151</v>
      </c>
      <c r="I2180" t="s">
        <v>217</v>
      </c>
      <c r="J2180" t="s">
        <v>217</v>
      </c>
      <c r="K2180" t="s">
        <v>103</v>
      </c>
      <c r="M2180" t="b">
        <v>1</v>
      </c>
      <c r="N2180" t="s">
        <v>42</v>
      </c>
      <c r="O2180" t="s">
        <v>33</v>
      </c>
      <c r="Q2180">
        <v>125.08</v>
      </c>
      <c r="R2180">
        <v>2.9</v>
      </c>
      <c r="S2180" t="s">
        <v>106</v>
      </c>
      <c r="T2180">
        <v>50.6</v>
      </c>
      <c r="V2180">
        <v>100.2</v>
      </c>
      <c r="W2180">
        <v>77</v>
      </c>
      <c r="X2180">
        <v>9.4</v>
      </c>
      <c r="Y2180">
        <v>59.2</v>
      </c>
      <c r="Z2180">
        <v>1397715000</v>
      </c>
      <c r="AA2180">
        <v>35.861660000000001</v>
      </c>
      <c r="AB2180">
        <v>104.195397</v>
      </c>
    </row>
    <row r="2181" spans="1:28" hidden="1">
      <c r="A2181">
        <v>2133</v>
      </c>
      <c r="B2181">
        <v>1300</v>
      </c>
      <c r="C2181" t="s">
        <v>54</v>
      </c>
      <c r="D2181" t="s">
        <v>4152</v>
      </c>
      <c r="E2181">
        <v>62</v>
      </c>
      <c r="G2181" t="s">
        <v>397</v>
      </c>
      <c r="H2181" t="s">
        <v>398</v>
      </c>
      <c r="I2181" t="s">
        <v>4143</v>
      </c>
      <c r="J2181" t="s">
        <v>54</v>
      </c>
      <c r="K2181" t="s">
        <v>397</v>
      </c>
      <c r="M2181" t="b">
        <v>1</v>
      </c>
      <c r="N2181" t="s">
        <v>42</v>
      </c>
      <c r="O2181" t="s">
        <v>33</v>
      </c>
      <c r="Q2181">
        <v>110.51</v>
      </c>
      <c r="R2181">
        <v>1.8</v>
      </c>
      <c r="S2181" t="s">
        <v>401</v>
      </c>
      <c r="T2181">
        <v>67</v>
      </c>
      <c r="V2181">
        <v>126.6</v>
      </c>
      <c r="W2181">
        <v>82.5</v>
      </c>
      <c r="X2181">
        <v>27.9</v>
      </c>
      <c r="Y2181">
        <v>49.1</v>
      </c>
      <c r="Z2181">
        <v>10285453</v>
      </c>
      <c r="AA2181">
        <v>60.128160999999999</v>
      </c>
      <c r="AB2181">
        <v>18.643501000000001</v>
      </c>
    </row>
    <row r="2182" spans="1:28" hidden="1">
      <c r="A2182">
        <v>2133</v>
      </c>
      <c r="B2182">
        <v>1300</v>
      </c>
      <c r="C2182" t="s">
        <v>54</v>
      </c>
      <c r="D2182" t="s">
        <v>4153</v>
      </c>
      <c r="E2182">
        <v>101</v>
      </c>
      <c r="G2182" t="s">
        <v>38</v>
      </c>
      <c r="H2182" t="s">
        <v>635</v>
      </c>
      <c r="I2182" t="s">
        <v>782</v>
      </c>
      <c r="J2182" t="s">
        <v>54</v>
      </c>
      <c r="K2182" t="s">
        <v>38</v>
      </c>
      <c r="M2182" t="b">
        <v>1</v>
      </c>
      <c r="N2182" t="s">
        <v>42</v>
      </c>
      <c r="O2182" t="s">
        <v>33</v>
      </c>
      <c r="Q2182">
        <v>117.24</v>
      </c>
      <c r="R2182">
        <v>7.5</v>
      </c>
      <c r="S2182" t="s">
        <v>44</v>
      </c>
      <c r="T2182">
        <v>88.2</v>
      </c>
      <c r="V2182">
        <v>101.8</v>
      </c>
      <c r="W2182">
        <v>78.5</v>
      </c>
      <c r="X2182">
        <v>9.6</v>
      </c>
      <c r="Y2182">
        <v>36.6</v>
      </c>
      <c r="Z2182">
        <v>328239523</v>
      </c>
      <c r="AA2182">
        <v>37.090240000000001</v>
      </c>
      <c r="AB2182">
        <v>-95.712890999999999</v>
      </c>
    </row>
    <row r="2183" spans="1:28" hidden="1">
      <c r="A2183">
        <v>2133</v>
      </c>
      <c r="B2183">
        <v>1300</v>
      </c>
      <c r="C2183" t="s">
        <v>45</v>
      </c>
      <c r="D2183" t="s">
        <v>4154</v>
      </c>
      <c r="E2183">
        <v>57</v>
      </c>
      <c r="G2183" t="s">
        <v>395</v>
      </c>
      <c r="H2183" t="s">
        <v>395</v>
      </c>
      <c r="I2183" t="s">
        <v>3516</v>
      </c>
      <c r="J2183" t="s">
        <v>45</v>
      </c>
      <c r="K2183" t="s">
        <v>28</v>
      </c>
      <c r="M2183" t="b">
        <v>1</v>
      </c>
      <c r="N2183" t="s">
        <v>32</v>
      </c>
      <c r="O2183" t="s">
        <v>33</v>
      </c>
      <c r="Q2183">
        <v>114.41</v>
      </c>
      <c r="R2183">
        <v>0.6</v>
      </c>
      <c r="S2183" t="s">
        <v>451</v>
      </c>
      <c r="T2183">
        <v>84.8</v>
      </c>
      <c r="V2183">
        <v>100.6</v>
      </c>
      <c r="W2183">
        <v>83.1</v>
      </c>
      <c r="X2183">
        <v>13.1</v>
      </c>
      <c r="Y2183">
        <v>21</v>
      </c>
      <c r="Z2183">
        <v>5703569</v>
      </c>
      <c r="AA2183">
        <v>1.3520829999999999</v>
      </c>
      <c r="AB2183">
        <v>103.819836</v>
      </c>
    </row>
    <row r="2184" spans="1:28" hidden="1">
      <c r="A2184">
        <v>2133</v>
      </c>
      <c r="B2184">
        <v>1300</v>
      </c>
      <c r="C2184" t="s">
        <v>75</v>
      </c>
      <c r="D2184" t="s">
        <v>4155</v>
      </c>
      <c r="E2184">
        <v>60</v>
      </c>
      <c r="G2184" t="s">
        <v>1108</v>
      </c>
      <c r="H2184" t="s">
        <v>4156</v>
      </c>
      <c r="I2184" t="s">
        <v>4157</v>
      </c>
      <c r="J2184" t="s">
        <v>75</v>
      </c>
      <c r="K2184" t="s">
        <v>1108</v>
      </c>
      <c r="M2184" t="b">
        <v>1</v>
      </c>
      <c r="N2184" t="s">
        <v>32</v>
      </c>
      <c r="O2184" t="s">
        <v>33</v>
      </c>
      <c r="Q2184">
        <v>114.11</v>
      </c>
      <c r="R2184">
        <v>2.2000000000000002</v>
      </c>
      <c r="S2184" t="s">
        <v>1110</v>
      </c>
      <c r="T2184">
        <v>67.8</v>
      </c>
      <c r="V2184">
        <v>100</v>
      </c>
      <c r="W2184">
        <v>77.599999999999994</v>
      </c>
      <c r="X2184">
        <v>17.399999999999999</v>
      </c>
      <c r="Y2184">
        <v>40.799999999999997</v>
      </c>
      <c r="Z2184">
        <v>37970874</v>
      </c>
      <c r="AA2184">
        <v>51.919438</v>
      </c>
      <c r="AB2184">
        <v>19.145136000000001</v>
      </c>
    </row>
    <row r="2185" spans="1:28">
      <c r="A2185">
        <v>2133</v>
      </c>
      <c r="B2185">
        <v>1300</v>
      </c>
      <c r="C2185" t="s">
        <v>45</v>
      </c>
      <c r="D2185" t="s">
        <v>4158</v>
      </c>
      <c r="E2185">
        <v>55</v>
      </c>
      <c r="F2185" t="str">
        <f>IF(E2185&gt;=90,"90-100",IF(E2185&gt;=80,"80-90",IF(E2185&gt;=70,"70-80",IF(E2185&gt;=60,"60-70",IF(E2185&gt;=50,"50-60",IF(E2185&gt;=40,"40-50",IF(E2185&gt;=30,"30-40","20-30")))))))</f>
        <v>50-60</v>
      </c>
      <c r="G2185" t="s">
        <v>38</v>
      </c>
      <c r="H2185" t="s">
        <v>90</v>
      </c>
      <c r="I2185" t="s">
        <v>4159</v>
      </c>
      <c r="J2185" t="s">
        <v>45</v>
      </c>
      <c r="K2185" t="s">
        <v>38</v>
      </c>
      <c r="L2185" t="s">
        <v>4160</v>
      </c>
      <c r="M2185" t="b">
        <v>1</v>
      </c>
      <c r="N2185" t="s">
        <v>32</v>
      </c>
      <c r="O2185" t="s">
        <v>4867</v>
      </c>
      <c r="P2185" t="s">
        <v>1742</v>
      </c>
      <c r="Q2185">
        <v>117.24</v>
      </c>
      <c r="R2185">
        <v>7.5</v>
      </c>
      <c r="S2185" t="s">
        <v>44</v>
      </c>
      <c r="T2185">
        <v>88.2</v>
      </c>
      <c r="U2185" t="str">
        <f t="shared" ref="U2185:U2187" si="48">IF(T2185&gt;=100,"above 100",IF(T2185&gt;=80,"80-100",IF(T2185&gt;=60,"60-80",IF(T2185&gt;=40,"40-60",IF(T2185&gt;=20,"20-60","0-20")))))</f>
        <v>80-100</v>
      </c>
      <c r="V2185">
        <v>101.8</v>
      </c>
      <c r="W2185">
        <v>78.5</v>
      </c>
      <c r="X2185">
        <v>9.6</v>
      </c>
      <c r="Y2185">
        <v>36.6</v>
      </c>
      <c r="Z2185">
        <v>328239523</v>
      </c>
      <c r="AA2185">
        <v>37.090240000000001</v>
      </c>
      <c r="AB2185">
        <v>-95.712890999999999</v>
      </c>
    </row>
    <row r="2186" spans="1:28">
      <c r="A2186">
        <v>2133</v>
      </c>
      <c r="B2186">
        <v>1300</v>
      </c>
      <c r="C2186" t="s">
        <v>288</v>
      </c>
      <c r="D2186" t="s">
        <v>4161</v>
      </c>
      <c r="E2186">
        <v>58</v>
      </c>
      <c r="F2186" t="str">
        <f>IF(E2186&gt;=90,"90-100",IF(E2186&gt;=80,"80-90",IF(E2186&gt;=70,"70-80",IF(E2186&gt;=60,"60-70",IF(E2186&gt;=50,"50-60",IF(E2186&gt;=40,"40-50",IF(E2186&gt;=30,"30-40","20-30")))))))</f>
        <v>50-60</v>
      </c>
      <c r="G2186" t="s">
        <v>38</v>
      </c>
      <c r="H2186" t="s">
        <v>1029</v>
      </c>
      <c r="I2186" t="s">
        <v>440</v>
      </c>
      <c r="J2186" t="s">
        <v>288</v>
      </c>
      <c r="K2186" t="s">
        <v>38</v>
      </c>
      <c r="L2186" t="s">
        <v>4162</v>
      </c>
      <c r="M2186" t="b">
        <v>1</v>
      </c>
      <c r="N2186" t="s">
        <v>192</v>
      </c>
      <c r="O2186" t="s">
        <v>4867</v>
      </c>
      <c r="P2186" t="s">
        <v>34</v>
      </c>
      <c r="Q2186">
        <v>117.24</v>
      </c>
      <c r="R2186">
        <v>7.5</v>
      </c>
      <c r="S2186" t="s">
        <v>44</v>
      </c>
      <c r="T2186">
        <v>88.2</v>
      </c>
      <c r="U2186" t="str">
        <f t="shared" si="48"/>
        <v>80-100</v>
      </c>
      <c r="V2186">
        <v>101.8</v>
      </c>
      <c r="W2186">
        <v>78.5</v>
      </c>
      <c r="X2186">
        <v>9.6</v>
      </c>
      <c r="Y2186">
        <v>36.6</v>
      </c>
      <c r="Z2186">
        <v>328239523</v>
      </c>
      <c r="AA2186">
        <v>37.090240000000001</v>
      </c>
      <c r="AB2186">
        <v>-95.712890999999999</v>
      </c>
    </row>
    <row r="2187" spans="1:28">
      <c r="A2187">
        <v>2133</v>
      </c>
      <c r="B2187">
        <v>1300</v>
      </c>
      <c r="C2187" t="s">
        <v>54</v>
      </c>
      <c r="D2187" t="s">
        <v>4163</v>
      </c>
      <c r="E2187">
        <v>65</v>
      </c>
      <c r="F2187" t="str">
        <f>IF(E2187&gt;=90,"90-100",IF(E2187&gt;=80,"80-90",IF(E2187&gt;=70,"70-80",IF(E2187&gt;=60,"60-70",IF(E2187&gt;=50,"50-60",IF(E2187&gt;=40,"40-50",IF(E2187&gt;=30,"30-40","20-30")))))))</f>
        <v>60-70</v>
      </c>
      <c r="G2187" t="s">
        <v>38</v>
      </c>
      <c r="H2187" t="s">
        <v>3035</v>
      </c>
      <c r="I2187" t="s">
        <v>231</v>
      </c>
      <c r="J2187" t="s">
        <v>54</v>
      </c>
      <c r="K2187" t="s">
        <v>38</v>
      </c>
      <c r="L2187" t="s">
        <v>4164</v>
      </c>
      <c r="M2187" t="b">
        <v>1</v>
      </c>
      <c r="N2187" t="s">
        <v>42</v>
      </c>
      <c r="O2187" t="s">
        <v>4867</v>
      </c>
      <c r="P2187" t="s">
        <v>468</v>
      </c>
      <c r="Q2187">
        <v>117.24</v>
      </c>
      <c r="R2187">
        <v>7.5</v>
      </c>
      <c r="S2187" t="s">
        <v>44</v>
      </c>
      <c r="T2187">
        <v>88.2</v>
      </c>
      <c r="U2187" t="str">
        <f t="shared" si="48"/>
        <v>80-100</v>
      </c>
      <c r="V2187">
        <v>101.8</v>
      </c>
      <c r="W2187">
        <v>78.5</v>
      </c>
      <c r="X2187">
        <v>9.6</v>
      </c>
      <c r="Y2187">
        <v>36.6</v>
      </c>
      <c r="Z2187">
        <v>328239523</v>
      </c>
      <c r="AA2187">
        <v>37.090240000000001</v>
      </c>
      <c r="AB2187">
        <v>-95.712890999999999</v>
      </c>
    </row>
    <row r="2188" spans="1:28" hidden="1">
      <c r="A2188">
        <v>2133</v>
      </c>
      <c r="B2188">
        <v>1300</v>
      </c>
      <c r="C2188" t="s">
        <v>45</v>
      </c>
      <c r="D2188" t="s">
        <v>4165</v>
      </c>
      <c r="E2188">
        <v>82</v>
      </c>
      <c r="G2188" t="s">
        <v>198</v>
      </c>
      <c r="H2188" t="s">
        <v>199</v>
      </c>
      <c r="I2188" t="s">
        <v>1448</v>
      </c>
      <c r="J2188" t="s">
        <v>45</v>
      </c>
      <c r="K2188" t="s">
        <v>198</v>
      </c>
      <c r="M2188" t="b">
        <v>1</v>
      </c>
      <c r="N2188" t="s">
        <v>42</v>
      </c>
      <c r="O2188" t="s">
        <v>33</v>
      </c>
      <c r="Q2188">
        <v>105.48</v>
      </c>
      <c r="R2188">
        <v>0.5</v>
      </c>
      <c r="S2188" t="s">
        <v>201</v>
      </c>
      <c r="T2188">
        <v>63.2</v>
      </c>
      <c r="V2188">
        <v>98.8</v>
      </c>
      <c r="W2188">
        <v>84.2</v>
      </c>
      <c r="X2188">
        <v>11.9</v>
      </c>
      <c r="Y2188">
        <v>46.7</v>
      </c>
      <c r="Z2188">
        <v>126226568</v>
      </c>
      <c r="AA2188">
        <v>36.204824000000002</v>
      </c>
      <c r="AB2188">
        <v>138.25292400000001</v>
      </c>
    </row>
    <row r="2189" spans="1:28">
      <c r="A2189">
        <v>2133</v>
      </c>
      <c r="B2189">
        <v>1300</v>
      </c>
      <c r="C2189" t="s">
        <v>45</v>
      </c>
      <c r="D2189" t="s">
        <v>4166</v>
      </c>
      <c r="E2189">
        <v>69</v>
      </c>
      <c r="F2189" t="str">
        <f>IF(E2189&gt;=90,"90-100",IF(E2189&gt;=80,"80-90",IF(E2189&gt;=70,"70-80",IF(E2189&gt;=60,"60-70",IF(E2189&gt;=50,"50-60",IF(E2189&gt;=40,"40-50",IF(E2189&gt;=30,"30-40","20-30")))))))</f>
        <v>60-70</v>
      </c>
      <c r="G2189" t="s">
        <v>38</v>
      </c>
      <c r="H2189" t="s">
        <v>2163</v>
      </c>
      <c r="I2189" t="s">
        <v>150</v>
      </c>
      <c r="J2189" t="s">
        <v>45</v>
      </c>
      <c r="K2189" t="s">
        <v>38</v>
      </c>
      <c r="L2189" t="s">
        <v>4167</v>
      </c>
      <c r="M2189" t="b">
        <v>1</v>
      </c>
      <c r="N2189" t="s">
        <v>419</v>
      </c>
      <c r="O2189" t="s">
        <v>4867</v>
      </c>
      <c r="P2189" t="s">
        <v>468</v>
      </c>
      <c r="Q2189">
        <v>117.24</v>
      </c>
      <c r="R2189">
        <v>7.5</v>
      </c>
      <c r="S2189" t="s">
        <v>44</v>
      </c>
      <c r="T2189">
        <v>88.2</v>
      </c>
      <c r="U2189" t="str">
        <f>IF(T2189&gt;=100,"above 100",IF(T2189&gt;=80,"80-100",IF(T2189&gt;=60,"60-80",IF(T2189&gt;=40,"40-60",IF(T2189&gt;=20,"20-60","0-20")))))</f>
        <v>80-100</v>
      </c>
      <c r="V2189">
        <v>101.8</v>
      </c>
      <c r="W2189">
        <v>78.5</v>
      </c>
      <c r="X2189">
        <v>9.6</v>
      </c>
      <c r="Y2189">
        <v>36.6</v>
      </c>
      <c r="Z2189">
        <v>328239523</v>
      </c>
      <c r="AA2189">
        <v>37.090240000000001</v>
      </c>
      <c r="AB2189">
        <v>-95.712890999999999</v>
      </c>
    </row>
    <row r="2190" spans="1:28" hidden="1">
      <c r="A2190">
        <v>2133</v>
      </c>
      <c r="B2190">
        <v>1300</v>
      </c>
      <c r="C2190" t="s">
        <v>45</v>
      </c>
      <c r="D2190" t="s">
        <v>4168</v>
      </c>
      <c r="E2190">
        <v>70</v>
      </c>
      <c r="G2190" t="s">
        <v>389</v>
      </c>
      <c r="H2190" t="s">
        <v>390</v>
      </c>
      <c r="I2190" t="s">
        <v>572</v>
      </c>
      <c r="J2190" t="s">
        <v>45</v>
      </c>
      <c r="K2190" t="s">
        <v>389</v>
      </c>
      <c r="M2190" t="b">
        <v>1</v>
      </c>
      <c r="N2190" t="s">
        <v>42</v>
      </c>
      <c r="O2190" t="s">
        <v>33</v>
      </c>
      <c r="Q2190">
        <v>116.48</v>
      </c>
      <c r="R2190">
        <v>2.8</v>
      </c>
      <c r="S2190" t="s">
        <v>392</v>
      </c>
      <c r="T2190">
        <v>64.099999999999994</v>
      </c>
      <c r="V2190">
        <v>100.7</v>
      </c>
      <c r="W2190">
        <v>79</v>
      </c>
      <c r="X2190">
        <v>14.9</v>
      </c>
      <c r="Y2190">
        <v>46.1</v>
      </c>
      <c r="Z2190">
        <v>10669709</v>
      </c>
      <c r="AA2190">
        <v>49.817492000000001</v>
      </c>
      <c r="AB2190">
        <v>15.472962000000001</v>
      </c>
    </row>
    <row r="2191" spans="1:28">
      <c r="A2191">
        <v>2133</v>
      </c>
      <c r="B2191">
        <v>1300</v>
      </c>
      <c r="C2191" t="s">
        <v>54</v>
      </c>
      <c r="D2191" t="s">
        <v>4169</v>
      </c>
      <c r="E2191">
        <v>42</v>
      </c>
      <c r="F2191" t="str">
        <f>IF(E2191&gt;=90,"90-100",IF(E2191&gt;=80,"80-90",IF(E2191&gt;=70,"70-80",IF(E2191&gt;=60,"60-70",IF(E2191&gt;=50,"50-60",IF(E2191&gt;=40,"40-50",IF(E2191&gt;=30,"30-40","20-30")))))))</f>
        <v>40-50</v>
      </c>
      <c r="G2191" t="s">
        <v>203</v>
      </c>
      <c r="H2191" t="s">
        <v>204</v>
      </c>
      <c r="I2191" t="s">
        <v>4170</v>
      </c>
      <c r="J2191" t="s">
        <v>54</v>
      </c>
      <c r="K2191" t="s">
        <v>4171</v>
      </c>
      <c r="L2191" t="s">
        <v>4172</v>
      </c>
      <c r="M2191" t="b">
        <v>1</v>
      </c>
      <c r="N2191" t="s">
        <v>32</v>
      </c>
      <c r="O2191" t="s">
        <v>4867</v>
      </c>
      <c r="P2191" t="s">
        <v>110</v>
      </c>
      <c r="Q2191">
        <v>119.62</v>
      </c>
      <c r="R2191">
        <v>1.7</v>
      </c>
      <c r="S2191" t="s">
        <v>206</v>
      </c>
      <c r="T2191">
        <v>60</v>
      </c>
      <c r="U2191" t="str">
        <f>IF(T2191&gt;=100,"above 100",IF(T2191&gt;=80,"80-100",IF(T2191&gt;=60,"60-80",IF(T2191&gt;=40,"40-60",IF(T2191&gt;=20,"20-60","0-20")))))</f>
        <v>60-80</v>
      </c>
      <c r="V2191">
        <v>101.2</v>
      </c>
      <c r="W2191">
        <v>81.3</v>
      </c>
      <c r="X2191">
        <v>25.5</v>
      </c>
      <c r="Y2191">
        <v>30.6</v>
      </c>
      <c r="Z2191">
        <v>66834405</v>
      </c>
      <c r="AA2191">
        <v>55.378050999999999</v>
      </c>
      <c r="AB2191">
        <v>-3.4359730000000002</v>
      </c>
    </row>
    <row r="2192" spans="1:28" hidden="1">
      <c r="A2192">
        <v>2133</v>
      </c>
      <c r="B2192">
        <v>1300</v>
      </c>
      <c r="C2192" t="s">
        <v>26</v>
      </c>
      <c r="D2192" t="s">
        <v>4173</v>
      </c>
      <c r="E2192">
        <v>60</v>
      </c>
      <c r="G2192" t="s">
        <v>38</v>
      </c>
      <c r="H2192" t="s">
        <v>403</v>
      </c>
      <c r="I2192" t="s">
        <v>1349</v>
      </c>
      <c r="J2192" t="s">
        <v>26</v>
      </c>
      <c r="K2192" t="s">
        <v>38</v>
      </c>
      <c r="M2192" t="b">
        <v>0</v>
      </c>
      <c r="N2192" t="s">
        <v>42</v>
      </c>
      <c r="O2192" t="s">
        <v>33</v>
      </c>
      <c r="Q2192">
        <v>117.24</v>
      </c>
      <c r="R2192">
        <v>7.5</v>
      </c>
      <c r="S2192" t="s">
        <v>44</v>
      </c>
      <c r="T2192">
        <v>88.2</v>
      </c>
      <c r="V2192">
        <v>101.8</v>
      </c>
      <c r="W2192">
        <v>78.5</v>
      </c>
      <c r="X2192">
        <v>9.6</v>
      </c>
      <c r="Y2192">
        <v>36.6</v>
      </c>
      <c r="Z2192">
        <v>328239523</v>
      </c>
      <c r="AA2192">
        <v>37.090240000000001</v>
      </c>
      <c r="AB2192">
        <v>-95.712890999999999</v>
      </c>
    </row>
    <row r="2193" spans="1:28">
      <c r="A2193">
        <v>2133</v>
      </c>
      <c r="B2193">
        <v>1300</v>
      </c>
      <c r="C2193" t="s">
        <v>45</v>
      </c>
      <c r="D2193" t="s">
        <v>4174</v>
      </c>
      <c r="E2193">
        <v>55</v>
      </c>
      <c r="F2193" t="s">
        <v>4846</v>
      </c>
      <c r="G2193" t="s">
        <v>611</v>
      </c>
      <c r="H2193" t="s">
        <v>612</v>
      </c>
      <c r="I2193" t="s">
        <v>3292</v>
      </c>
      <c r="J2193" t="s">
        <v>45</v>
      </c>
      <c r="K2193" t="s">
        <v>611</v>
      </c>
      <c r="L2193" t="s">
        <v>4175</v>
      </c>
      <c r="M2193" t="b">
        <v>1</v>
      </c>
      <c r="N2193" t="s">
        <v>42</v>
      </c>
      <c r="O2193" t="s">
        <v>33</v>
      </c>
      <c r="Q2193">
        <v>115.16</v>
      </c>
      <c r="R2193">
        <v>0.4</v>
      </c>
      <c r="S2193" t="s">
        <v>615</v>
      </c>
      <c r="T2193">
        <v>94.3</v>
      </c>
      <c r="U2193" t="str">
        <f>IF(T2193&gt;=100,"above 100",IF(T2193&gt;=80,"80-100",IF(T2193&gt;=60,"60-80",IF(T2193&gt;=40,"40-60",IF(T2193&gt;=20,"20-60","0-20")))))</f>
        <v>80-100</v>
      </c>
      <c r="V2193">
        <v>98.1</v>
      </c>
      <c r="W2193">
        <v>82.6</v>
      </c>
      <c r="X2193">
        <v>15.6</v>
      </c>
      <c r="Y2193">
        <v>33.200000000000003</v>
      </c>
      <c r="Z2193">
        <v>51709098</v>
      </c>
      <c r="AA2193">
        <v>35.907756999999997</v>
      </c>
      <c r="AB2193">
        <v>127.76692199999999</v>
      </c>
    </row>
    <row r="2194" spans="1:28" hidden="1">
      <c r="A2194">
        <v>2133</v>
      </c>
      <c r="B2194">
        <v>1300</v>
      </c>
      <c r="C2194" t="s">
        <v>75</v>
      </c>
      <c r="D2194" t="s">
        <v>4176</v>
      </c>
      <c r="E2194">
        <v>73</v>
      </c>
      <c r="G2194" t="s">
        <v>38</v>
      </c>
      <c r="H2194" t="s">
        <v>3765</v>
      </c>
      <c r="I2194" t="s">
        <v>4177</v>
      </c>
      <c r="J2194" t="s">
        <v>75</v>
      </c>
      <c r="K2194" t="s">
        <v>38</v>
      </c>
      <c r="M2194" t="b">
        <v>1</v>
      </c>
      <c r="N2194" t="s">
        <v>42</v>
      </c>
      <c r="O2194" t="s">
        <v>33</v>
      </c>
      <c r="Q2194">
        <v>117.24</v>
      </c>
      <c r="R2194">
        <v>7.5</v>
      </c>
      <c r="S2194" t="s">
        <v>44</v>
      </c>
      <c r="T2194">
        <v>88.2</v>
      </c>
      <c r="V2194">
        <v>101.8</v>
      </c>
      <c r="W2194">
        <v>78.5</v>
      </c>
      <c r="X2194">
        <v>9.6</v>
      </c>
      <c r="Y2194">
        <v>36.6</v>
      </c>
      <c r="Z2194">
        <v>328239523</v>
      </c>
      <c r="AA2194">
        <v>37.090240000000001</v>
      </c>
      <c r="AB2194">
        <v>-95.712890999999999</v>
      </c>
    </row>
    <row r="2195" spans="1:28" hidden="1">
      <c r="A2195">
        <v>2133</v>
      </c>
      <c r="B2195">
        <v>1300</v>
      </c>
      <c r="C2195" t="s">
        <v>101</v>
      </c>
      <c r="D2195" t="s">
        <v>4178</v>
      </c>
      <c r="E2195">
        <v>73</v>
      </c>
      <c r="G2195" t="s">
        <v>103</v>
      </c>
      <c r="H2195" t="s">
        <v>4179</v>
      </c>
      <c r="I2195" t="s">
        <v>4180</v>
      </c>
      <c r="J2195" t="s">
        <v>101</v>
      </c>
      <c r="K2195" t="s">
        <v>103</v>
      </c>
      <c r="M2195" t="b">
        <v>1</v>
      </c>
      <c r="N2195" t="s">
        <v>42</v>
      </c>
      <c r="O2195" t="s">
        <v>33</v>
      </c>
      <c r="Q2195">
        <v>125.08</v>
      </c>
      <c r="R2195">
        <v>2.9</v>
      </c>
      <c r="S2195" t="s">
        <v>106</v>
      </c>
      <c r="T2195">
        <v>50.6</v>
      </c>
      <c r="V2195">
        <v>100.2</v>
      </c>
      <c r="W2195">
        <v>77</v>
      </c>
      <c r="X2195">
        <v>9.4</v>
      </c>
      <c r="Y2195">
        <v>59.2</v>
      </c>
      <c r="Z2195">
        <v>1397715000</v>
      </c>
      <c r="AA2195">
        <v>35.861660000000001</v>
      </c>
      <c r="AB2195">
        <v>104.195397</v>
      </c>
    </row>
    <row r="2196" spans="1:28" hidden="1">
      <c r="A2196">
        <v>2133</v>
      </c>
      <c r="B2196">
        <v>1300</v>
      </c>
      <c r="C2196" t="s">
        <v>75</v>
      </c>
      <c r="D2196" t="s">
        <v>4181</v>
      </c>
      <c r="E2196">
        <v>61</v>
      </c>
      <c r="G2196" t="s">
        <v>103</v>
      </c>
      <c r="H2196" t="s">
        <v>4182</v>
      </c>
      <c r="I2196" t="s">
        <v>4183</v>
      </c>
      <c r="J2196" t="s">
        <v>75</v>
      </c>
      <c r="K2196" t="s">
        <v>103</v>
      </c>
      <c r="M2196" t="b">
        <v>1</v>
      </c>
      <c r="N2196" t="s">
        <v>419</v>
      </c>
      <c r="O2196" t="s">
        <v>88</v>
      </c>
      <c r="Q2196">
        <v>125.08</v>
      </c>
      <c r="R2196">
        <v>2.9</v>
      </c>
      <c r="S2196" t="s">
        <v>106</v>
      </c>
      <c r="T2196">
        <v>50.6</v>
      </c>
      <c r="V2196">
        <v>100.2</v>
      </c>
      <c r="W2196">
        <v>77</v>
      </c>
      <c r="X2196">
        <v>9.4</v>
      </c>
      <c r="Y2196">
        <v>59.2</v>
      </c>
      <c r="Z2196">
        <v>1397715000</v>
      </c>
      <c r="AA2196">
        <v>35.861660000000001</v>
      </c>
      <c r="AB2196">
        <v>104.195397</v>
      </c>
    </row>
    <row r="2197" spans="1:28" hidden="1">
      <c r="A2197">
        <v>2133</v>
      </c>
      <c r="B2197">
        <v>1300</v>
      </c>
      <c r="C2197" t="s">
        <v>217</v>
      </c>
      <c r="D2197" t="s">
        <v>4184</v>
      </c>
      <c r="E2197">
        <v>58</v>
      </c>
      <c r="G2197" t="s">
        <v>103</v>
      </c>
      <c r="H2197" t="s">
        <v>104</v>
      </c>
      <c r="I2197" t="s">
        <v>4185</v>
      </c>
      <c r="J2197" t="s">
        <v>217</v>
      </c>
      <c r="K2197" t="s">
        <v>103</v>
      </c>
      <c r="M2197" t="b">
        <v>1</v>
      </c>
      <c r="N2197" t="s">
        <v>42</v>
      </c>
      <c r="O2197" t="s">
        <v>33</v>
      </c>
      <c r="Q2197">
        <v>125.08</v>
      </c>
      <c r="R2197">
        <v>2.9</v>
      </c>
      <c r="S2197" t="s">
        <v>106</v>
      </c>
      <c r="T2197">
        <v>50.6</v>
      </c>
      <c r="V2197">
        <v>100.2</v>
      </c>
      <c r="W2197">
        <v>77</v>
      </c>
      <c r="X2197">
        <v>9.4</v>
      </c>
      <c r="Y2197">
        <v>59.2</v>
      </c>
      <c r="Z2197">
        <v>1397715000</v>
      </c>
      <c r="AA2197">
        <v>35.861660000000001</v>
      </c>
      <c r="AB2197">
        <v>104.195397</v>
      </c>
    </row>
    <row r="2198" spans="1:28" hidden="1">
      <c r="A2198">
        <v>2133</v>
      </c>
      <c r="B2198">
        <v>1300</v>
      </c>
      <c r="C2198" t="s">
        <v>217</v>
      </c>
      <c r="D2198" t="s">
        <v>4186</v>
      </c>
      <c r="E2198">
        <v>46</v>
      </c>
      <c r="G2198" t="s">
        <v>103</v>
      </c>
      <c r="H2198" t="s">
        <v>1494</v>
      </c>
      <c r="I2198" t="s">
        <v>2735</v>
      </c>
      <c r="J2198" t="s">
        <v>217</v>
      </c>
      <c r="K2198" t="s">
        <v>103</v>
      </c>
      <c r="M2198" t="b">
        <v>1</v>
      </c>
      <c r="N2198" t="s">
        <v>42</v>
      </c>
      <c r="O2198" t="s">
        <v>33</v>
      </c>
      <c r="Q2198">
        <v>125.08</v>
      </c>
      <c r="R2198">
        <v>2.9</v>
      </c>
      <c r="S2198" t="s">
        <v>106</v>
      </c>
      <c r="T2198">
        <v>50.6</v>
      </c>
      <c r="V2198">
        <v>100.2</v>
      </c>
      <c r="W2198">
        <v>77</v>
      </c>
      <c r="X2198">
        <v>9.4</v>
      </c>
      <c r="Y2198">
        <v>59.2</v>
      </c>
      <c r="Z2198">
        <v>1397715000</v>
      </c>
      <c r="AA2198">
        <v>35.861660000000001</v>
      </c>
      <c r="AB2198">
        <v>104.195397</v>
      </c>
    </row>
    <row r="2199" spans="1:28" hidden="1">
      <c r="A2199">
        <v>2133</v>
      </c>
      <c r="B2199">
        <v>1300</v>
      </c>
      <c r="C2199" t="s">
        <v>288</v>
      </c>
      <c r="D2199" t="s">
        <v>4187</v>
      </c>
      <c r="E2199">
        <v>71</v>
      </c>
      <c r="G2199" t="s">
        <v>103</v>
      </c>
      <c r="H2199" t="s">
        <v>521</v>
      </c>
      <c r="I2199" t="s">
        <v>418</v>
      </c>
      <c r="J2199" t="s">
        <v>288</v>
      </c>
      <c r="K2199" t="s">
        <v>103</v>
      </c>
      <c r="M2199" t="b">
        <v>1</v>
      </c>
      <c r="N2199" t="s">
        <v>853</v>
      </c>
      <c r="O2199" t="s">
        <v>33</v>
      </c>
      <c r="Q2199">
        <v>125.08</v>
      </c>
      <c r="R2199">
        <v>2.9</v>
      </c>
      <c r="S2199" t="s">
        <v>106</v>
      </c>
      <c r="T2199">
        <v>50.6</v>
      </c>
      <c r="V2199">
        <v>100.2</v>
      </c>
      <c r="W2199">
        <v>77</v>
      </c>
      <c r="X2199">
        <v>9.4</v>
      </c>
      <c r="Y2199">
        <v>59.2</v>
      </c>
      <c r="Z2199">
        <v>1397715000</v>
      </c>
      <c r="AA2199">
        <v>35.861660000000001</v>
      </c>
      <c r="AB2199">
        <v>104.195397</v>
      </c>
    </row>
    <row r="2200" spans="1:28" hidden="1">
      <c r="A2200">
        <v>2133</v>
      </c>
      <c r="B2200">
        <v>1300</v>
      </c>
      <c r="C2200" t="s">
        <v>101</v>
      </c>
      <c r="D2200" t="s">
        <v>4188</v>
      </c>
      <c r="E2200">
        <v>68</v>
      </c>
      <c r="G2200" t="s">
        <v>384</v>
      </c>
      <c r="H2200" t="s">
        <v>3993</v>
      </c>
      <c r="I2200" t="s">
        <v>522</v>
      </c>
      <c r="J2200" t="s">
        <v>101</v>
      </c>
      <c r="K2200" t="s">
        <v>384</v>
      </c>
      <c r="M2200" t="b">
        <v>0</v>
      </c>
      <c r="N2200" t="s">
        <v>212</v>
      </c>
      <c r="O2200" t="s">
        <v>33</v>
      </c>
      <c r="Q2200">
        <v>167.4</v>
      </c>
      <c r="R2200">
        <v>3.7</v>
      </c>
      <c r="S2200" t="s">
        <v>563</v>
      </c>
      <c r="T2200">
        <v>51.3</v>
      </c>
      <c r="V2200">
        <v>115.4</v>
      </c>
      <c r="W2200">
        <v>75.7</v>
      </c>
      <c r="X2200">
        <v>14.2</v>
      </c>
      <c r="Y2200">
        <v>65.099999999999994</v>
      </c>
      <c r="Z2200">
        <v>212559417</v>
      </c>
      <c r="AA2200">
        <v>-14.235004</v>
      </c>
      <c r="AB2200">
        <v>-51.925280000000001</v>
      </c>
    </row>
    <row r="2201" spans="1:28" hidden="1">
      <c r="A2201">
        <v>2133</v>
      </c>
      <c r="B2201">
        <v>1300</v>
      </c>
      <c r="C2201" t="s">
        <v>63</v>
      </c>
      <c r="D2201" t="s">
        <v>4189</v>
      </c>
      <c r="E2201">
        <v>45</v>
      </c>
      <c r="G2201" t="s">
        <v>103</v>
      </c>
      <c r="H2201" t="s">
        <v>1785</v>
      </c>
      <c r="I2201" t="s">
        <v>245</v>
      </c>
      <c r="J2201" t="s">
        <v>63</v>
      </c>
      <c r="K2201" t="s">
        <v>103</v>
      </c>
      <c r="M2201" t="b">
        <v>1</v>
      </c>
      <c r="N2201" t="s">
        <v>32</v>
      </c>
      <c r="O2201" t="s">
        <v>33</v>
      </c>
      <c r="Q2201">
        <v>125.08</v>
      </c>
      <c r="R2201">
        <v>2.9</v>
      </c>
      <c r="S2201" t="s">
        <v>106</v>
      </c>
      <c r="T2201">
        <v>50.6</v>
      </c>
      <c r="V2201">
        <v>100.2</v>
      </c>
      <c r="W2201">
        <v>77</v>
      </c>
      <c r="X2201">
        <v>9.4</v>
      </c>
      <c r="Y2201">
        <v>59.2</v>
      </c>
      <c r="Z2201">
        <v>1397715000</v>
      </c>
      <c r="AA2201">
        <v>35.861660000000001</v>
      </c>
      <c r="AB2201">
        <v>104.195397</v>
      </c>
    </row>
    <row r="2202" spans="1:28" hidden="1">
      <c r="A2202">
        <v>2133</v>
      </c>
      <c r="B2202">
        <v>1300</v>
      </c>
      <c r="C2202" t="s">
        <v>288</v>
      </c>
      <c r="D2202" t="s">
        <v>4190</v>
      </c>
      <c r="E2202">
        <v>58</v>
      </c>
      <c r="G2202" t="s">
        <v>103</v>
      </c>
      <c r="H2202" t="s">
        <v>104</v>
      </c>
      <c r="I2202" t="s">
        <v>971</v>
      </c>
      <c r="J2202" t="s">
        <v>288</v>
      </c>
      <c r="K2202" t="s">
        <v>172</v>
      </c>
      <c r="M2202" t="b">
        <v>1</v>
      </c>
      <c r="N2202" t="s">
        <v>42</v>
      </c>
      <c r="O2202" t="s">
        <v>33</v>
      </c>
      <c r="Q2202">
        <v>125.08</v>
      </c>
      <c r="R2202">
        <v>2.9</v>
      </c>
      <c r="S2202" t="s">
        <v>106</v>
      </c>
      <c r="T2202">
        <v>50.6</v>
      </c>
      <c r="V2202">
        <v>100.2</v>
      </c>
      <c r="W2202">
        <v>77</v>
      </c>
      <c r="X2202">
        <v>9.4</v>
      </c>
      <c r="Y2202">
        <v>59.2</v>
      </c>
      <c r="Z2202">
        <v>1397715000</v>
      </c>
      <c r="AA2202">
        <v>35.861660000000001</v>
      </c>
      <c r="AB2202">
        <v>104.195397</v>
      </c>
    </row>
    <row r="2203" spans="1:28" hidden="1">
      <c r="A2203">
        <v>2133</v>
      </c>
      <c r="B2203">
        <v>1300</v>
      </c>
      <c r="C2203" t="s">
        <v>101</v>
      </c>
      <c r="D2203" t="s">
        <v>4191</v>
      </c>
      <c r="E2203">
        <v>66</v>
      </c>
      <c r="G2203" t="s">
        <v>384</v>
      </c>
      <c r="H2203" t="s">
        <v>4192</v>
      </c>
      <c r="I2203" t="s">
        <v>522</v>
      </c>
      <c r="J2203" t="s">
        <v>101</v>
      </c>
      <c r="K2203" t="s">
        <v>384</v>
      </c>
      <c r="M2203" t="b">
        <v>0</v>
      </c>
      <c r="N2203" t="s">
        <v>212</v>
      </c>
      <c r="O2203" t="s">
        <v>33</v>
      </c>
      <c r="Q2203">
        <v>167.4</v>
      </c>
      <c r="R2203">
        <v>3.7</v>
      </c>
      <c r="S2203" t="s">
        <v>563</v>
      </c>
      <c r="T2203">
        <v>51.3</v>
      </c>
      <c r="V2203">
        <v>115.4</v>
      </c>
      <c r="W2203">
        <v>75.7</v>
      </c>
      <c r="X2203">
        <v>14.2</v>
      </c>
      <c r="Y2203">
        <v>65.099999999999994</v>
      </c>
      <c r="Z2203">
        <v>212559417</v>
      </c>
      <c r="AA2203">
        <v>-14.235004</v>
      </c>
      <c r="AB2203">
        <v>-51.925280000000001</v>
      </c>
    </row>
    <row r="2204" spans="1:28" hidden="1">
      <c r="A2204">
        <v>2133</v>
      </c>
      <c r="B2204">
        <v>1300</v>
      </c>
      <c r="C2204" t="s">
        <v>75</v>
      </c>
      <c r="D2204" t="s">
        <v>4193</v>
      </c>
      <c r="E2204">
        <v>61</v>
      </c>
      <c r="G2204" t="s">
        <v>874</v>
      </c>
      <c r="H2204" t="s">
        <v>875</v>
      </c>
      <c r="I2204" t="s">
        <v>75</v>
      </c>
      <c r="J2204" t="s">
        <v>75</v>
      </c>
      <c r="K2204" t="s">
        <v>874</v>
      </c>
      <c r="M2204" t="b">
        <v>1</v>
      </c>
      <c r="N2204" t="s">
        <v>32</v>
      </c>
      <c r="O2204" t="s">
        <v>33</v>
      </c>
      <c r="Q2204">
        <v>288.57</v>
      </c>
      <c r="R2204">
        <v>9.1999999999999993</v>
      </c>
      <c r="S2204" t="s">
        <v>877</v>
      </c>
      <c r="T2204">
        <v>35.200000000000003</v>
      </c>
      <c r="V2204">
        <v>106.3</v>
      </c>
      <c r="W2204">
        <v>71.8</v>
      </c>
      <c r="X2204">
        <v>12.5</v>
      </c>
      <c r="Y2204">
        <v>44.4</v>
      </c>
      <c r="Z2204">
        <v>100388073</v>
      </c>
      <c r="AA2204">
        <v>26.820553</v>
      </c>
      <c r="AB2204">
        <v>30.802498</v>
      </c>
    </row>
    <row r="2205" spans="1:28" hidden="1">
      <c r="A2205">
        <v>2133</v>
      </c>
      <c r="B2205">
        <v>1300</v>
      </c>
      <c r="C2205" t="s">
        <v>26</v>
      </c>
      <c r="D2205" t="s">
        <v>4194</v>
      </c>
      <c r="G2205" t="s">
        <v>103</v>
      </c>
      <c r="H2205" t="s">
        <v>215</v>
      </c>
      <c r="I2205" t="s">
        <v>216</v>
      </c>
      <c r="J2205" t="s">
        <v>26</v>
      </c>
      <c r="K2205" t="s">
        <v>103</v>
      </c>
      <c r="M2205" t="b">
        <v>1</v>
      </c>
      <c r="N2205" t="s">
        <v>42</v>
      </c>
      <c r="O2205" t="s">
        <v>33</v>
      </c>
      <c r="Q2205">
        <v>125.08</v>
      </c>
      <c r="R2205">
        <v>2.9</v>
      </c>
      <c r="S2205" t="s">
        <v>106</v>
      </c>
      <c r="T2205">
        <v>50.6</v>
      </c>
      <c r="V2205">
        <v>100.2</v>
      </c>
      <c r="W2205">
        <v>77</v>
      </c>
      <c r="X2205">
        <v>9.4</v>
      </c>
      <c r="Y2205">
        <v>59.2</v>
      </c>
      <c r="Z2205">
        <v>1397715000</v>
      </c>
      <c r="AA2205">
        <v>35.861660000000001</v>
      </c>
      <c r="AB2205">
        <v>104.195397</v>
      </c>
    </row>
    <row r="2206" spans="1:28" hidden="1">
      <c r="A2206">
        <v>2133</v>
      </c>
      <c r="B2206">
        <v>1300</v>
      </c>
      <c r="C2206" t="s">
        <v>221</v>
      </c>
      <c r="D2206" t="s">
        <v>4195</v>
      </c>
      <c r="E2206">
        <v>81</v>
      </c>
      <c r="G2206" t="s">
        <v>38</v>
      </c>
      <c r="H2206" t="s">
        <v>1662</v>
      </c>
      <c r="I2206" t="s">
        <v>223</v>
      </c>
      <c r="J2206" t="s">
        <v>221</v>
      </c>
      <c r="K2206" t="s">
        <v>38</v>
      </c>
      <c r="M2206" t="b">
        <v>1</v>
      </c>
      <c r="N2206" t="s">
        <v>42</v>
      </c>
      <c r="O2206" t="s">
        <v>33</v>
      </c>
      <c r="Q2206">
        <v>117.24</v>
      </c>
      <c r="R2206">
        <v>7.5</v>
      </c>
      <c r="S2206" t="s">
        <v>44</v>
      </c>
      <c r="T2206">
        <v>88.2</v>
      </c>
      <c r="V2206">
        <v>101.8</v>
      </c>
      <c r="W2206">
        <v>78.5</v>
      </c>
      <c r="X2206">
        <v>9.6</v>
      </c>
      <c r="Y2206">
        <v>36.6</v>
      </c>
      <c r="Z2206">
        <v>328239523</v>
      </c>
      <c r="AA2206">
        <v>37.090240000000001</v>
      </c>
      <c r="AB2206">
        <v>-95.712890999999999</v>
      </c>
    </row>
    <row r="2207" spans="1:28" hidden="1">
      <c r="A2207">
        <v>2133</v>
      </c>
      <c r="B2207">
        <v>1300</v>
      </c>
      <c r="C2207" t="s">
        <v>288</v>
      </c>
      <c r="D2207" t="s">
        <v>4196</v>
      </c>
      <c r="E2207">
        <v>57</v>
      </c>
      <c r="G2207" t="s">
        <v>28</v>
      </c>
      <c r="H2207" t="s">
        <v>2242</v>
      </c>
      <c r="I2207" t="s">
        <v>2243</v>
      </c>
      <c r="J2207" t="s">
        <v>288</v>
      </c>
      <c r="K2207" t="s">
        <v>28</v>
      </c>
      <c r="M2207" t="b">
        <v>1</v>
      </c>
      <c r="N2207" t="s">
        <v>42</v>
      </c>
      <c r="O2207" t="s">
        <v>33</v>
      </c>
      <c r="Q2207">
        <v>110.05</v>
      </c>
      <c r="R2207">
        <v>1.1000000000000001</v>
      </c>
      <c r="S2207" t="s">
        <v>35</v>
      </c>
      <c r="T2207">
        <v>65.599999999999994</v>
      </c>
      <c r="V2207">
        <v>102.5</v>
      </c>
      <c r="W2207">
        <v>82.5</v>
      </c>
      <c r="X2207">
        <v>24.2</v>
      </c>
      <c r="Y2207">
        <v>60.7</v>
      </c>
      <c r="Z2207">
        <v>67059887</v>
      </c>
      <c r="AA2207">
        <v>46.227637999999999</v>
      </c>
      <c r="AB2207">
        <v>2.213749</v>
      </c>
    </row>
    <row r="2208" spans="1:28" hidden="1">
      <c r="A2208">
        <v>2133</v>
      </c>
      <c r="B2208">
        <v>1300</v>
      </c>
      <c r="C2208" t="s">
        <v>54</v>
      </c>
      <c r="D2208" t="s">
        <v>4197</v>
      </c>
      <c r="E2208">
        <v>63</v>
      </c>
      <c r="G2208" t="s">
        <v>148</v>
      </c>
      <c r="H2208" t="s">
        <v>1051</v>
      </c>
      <c r="I2208" t="s">
        <v>4198</v>
      </c>
      <c r="J2208" t="s">
        <v>54</v>
      </c>
      <c r="K2208" t="s">
        <v>148</v>
      </c>
      <c r="M2208" t="b">
        <v>1</v>
      </c>
      <c r="N2208" t="s">
        <v>32</v>
      </c>
      <c r="O2208" t="s">
        <v>33</v>
      </c>
      <c r="Q2208">
        <v>112.85</v>
      </c>
      <c r="R2208">
        <v>1.4</v>
      </c>
      <c r="S2208" t="s">
        <v>151</v>
      </c>
      <c r="T2208">
        <v>70.2</v>
      </c>
      <c r="V2208">
        <v>104</v>
      </c>
      <c r="W2208">
        <v>80.900000000000006</v>
      </c>
      <c r="X2208">
        <v>11.5</v>
      </c>
      <c r="Y2208">
        <v>48.8</v>
      </c>
      <c r="Z2208">
        <v>83132799</v>
      </c>
      <c r="AA2208">
        <v>51.165691000000002</v>
      </c>
      <c r="AB2208">
        <v>10.451525999999999</v>
      </c>
    </row>
    <row r="2209" spans="1:28" hidden="1">
      <c r="A2209">
        <v>2133</v>
      </c>
      <c r="B2209">
        <v>1300</v>
      </c>
      <c r="C2209" t="s">
        <v>54</v>
      </c>
      <c r="D2209" t="s">
        <v>4199</v>
      </c>
      <c r="I2209" t="s">
        <v>383</v>
      </c>
      <c r="J2209" t="s">
        <v>54</v>
      </c>
      <c r="K2209" t="s">
        <v>512</v>
      </c>
      <c r="M2209" t="b">
        <v>0</v>
      </c>
      <c r="N2209" t="s">
        <v>192</v>
      </c>
      <c r="O2209" t="s">
        <v>88</v>
      </c>
    </row>
    <row r="2210" spans="1:28" hidden="1">
      <c r="A2210">
        <v>2133</v>
      </c>
      <c r="B2210">
        <v>1300</v>
      </c>
      <c r="C2210" t="s">
        <v>154</v>
      </c>
      <c r="D2210" t="s">
        <v>4200</v>
      </c>
      <c r="E2210">
        <v>58</v>
      </c>
      <c r="G2210" t="s">
        <v>156</v>
      </c>
      <c r="H2210" t="s">
        <v>2539</v>
      </c>
      <c r="I2210" t="s">
        <v>1789</v>
      </c>
      <c r="J2210" t="s">
        <v>154</v>
      </c>
      <c r="K2210" t="s">
        <v>887</v>
      </c>
      <c r="M2210" t="b">
        <v>1</v>
      </c>
      <c r="N2210" t="s">
        <v>419</v>
      </c>
      <c r="O2210" t="s">
        <v>33</v>
      </c>
      <c r="Q2210">
        <v>99.55</v>
      </c>
      <c r="R2210">
        <v>0.4</v>
      </c>
      <c r="S2210" t="s">
        <v>159</v>
      </c>
      <c r="T2210">
        <v>59.6</v>
      </c>
      <c r="V2210">
        <v>105.2</v>
      </c>
      <c r="W2210">
        <v>83.6</v>
      </c>
      <c r="X2210">
        <v>10.1</v>
      </c>
      <c r="Y2210">
        <v>28.8</v>
      </c>
      <c r="Z2210">
        <v>8574832</v>
      </c>
      <c r="AA2210">
        <v>46.818187999999999</v>
      </c>
      <c r="AB2210">
        <v>8.2275120000000008</v>
      </c>
    </row>
    <row r="2211" spans="1:28" hidden="1">
      <c r="A2211">
        <v>2133</v>
      </c>
      <c r="B2211">
        <v>1300</v>
      </c>
      <c r="C2211" t="s">
        <v>54</v>
      </c>
      <c r="D2211" t="s">
        <v>4201</v>
      </c>
      <c r="E2211">
        <v>60</v>
      </c>
      <c r="G2211" t="s">
        <v>38</v>
      </c>
      <c r="H2211" t="s">
        <v>2008</v>
      </c>
      <c r="I2211" t="s">
        <v>231</v>
      </c>
      <c r="J2211" t="s">
        <v>54</v>
      </c>
      <c r="K2211" t="s">
        <v>38</v>
      </c>
      <c r="M2211" t="b">
        <v>1</v>
      </c>
      <c r="N2211" t="s">
        <v>192</v>
      </c>
      <c r="O2211" t="s">
        <v>33</v>
      </c>
      <c r="Q2211">
        <v>117.24</v>
      </c>
      <c r="R2211">
        <v>7.5</v>
      </c>
      <c r="S2211" t="s">
        <v>44</v>
      </c>
      <c r="T2211">
        <v>88.2</v>
      </c>
      <c r="V2211">
        <v>101.8</v>
      </c>
      <c r="W2211">
        <v>78.5</v>
      </c>
      <c r="X2211">
        <v>9.6</v>
      </c>
      <c r="Y2211">
        <v>36.6</v>
      </c>
      <c r="Z2211">
        <v>328239523</v>
      </c>
      <c r="AA2211">
        <v>37.090240000000001</v>
      </c>
      <c r="AB2211">
        <v>-95.712890999999999</v>
      </c>
    </row>
    <row r="2212" spans="1:28" hidden="1">
      <c r="A2212">
        <v>2133</v>
      </c>
      <c r="B2212">
        <v>1300</v>
      </c>
      <c r="C2212" t="s">
        <v>54</v>
      </c>
      <c r="D2212" t="s">
        <v>4202</v>
      </c>
      <c r="E2212">
        <v>67</v>
      </c>
      <c r="G2212" t="s">
        <v>38</v>
      </c>
      <c r="H2212" t="s">
        <v>65</v>
      </c>
      <c r="I2212" t="s">
        <v>4203</v>
      </c>
      <c r="J2212" t="s">
        <v>54</v>
      </c>
      <c r="K2212" t="s">
        <v>38</v>
      </c>
      <c r="M2212" t="b">
        <v>1</v>
      </c>
      <c r="N2212" t="s">
        <v>419</v>
      </c>
      <c r="O2212" t="s">
        <v>33</v>
      </c>
      <c r="Q2212">
        <v>117.24</v>
      </c>
      <c r="R2212">
        <v>7.5</v>
      </c>
      <c r="S2212" t="s">
        <v>44</v>
      </c>
      <c r="T2212">
        <v>88.2</v>
      </c>
      <c r="V2212">
        <v>101.8</v>
      </c>
      <c r="W2212">
        <v>78.5</v>
      </c>
      <c r="X2212">
        <v>9.6</v>
      </c>
      <c r="Y2212">
        <v>36.6</v>
      </c>
      <c r="Z2212">
        <v>328239523</v>
      </c>
      <c r="AA2212">
        <v>37.090240000000001</v>
      </c>
      <c r="AB2212">
        <v>-95.712890999999999</v>
      </c>
    </row>
    <row r="2213" spans="1:28" hidden="1">
      <c r="A2213">
        <v>2133</v>
      </c>
      <c r="B2213">
        <v>1300</v>
      </c>
      <c r="C2213" t="s">
        <v>101</v>
      </c>
      <c r="D2213" t="s">
        <v>4204</v>
      </c>
      <c r="E2213">
        <v>59</v>
      </c>
      <c r="G2213" t="s">
        <v>1573</v>
      </c>
      <c r="H2213" t="s">
        <v>2883</v>
      </c>
      <c r="I2213" t="s">
        <v>3771</v>
      </c>
      <c r="J2213" t="s">
        <v>101</v>
      </c>
      <c r="K2213" t="s">
        <v>1573</v>
      </c>
      <c r="M2213" t="b">
        <v>1</v>
      </c>
      <c r="N2213" t="s">
        <v>42</v>
      </c>
      <c r="O2213" t="s">
        <v>33</v>
      </c>
      <c r="Q2213">
        <v>163.52000000000001</v>
      </c>
      <c r="R2213">
        <v>2.8</v>
      </c>
      <c r="S2213" t="s">
        <v>1575</v>
      </c>
      <c r="T2213">
        <v>28.5</v>
      </c>
      <c r="V2213">
        <v>110.6</v>
      </c>
      <c r="W2213">
        <v>75.3</v>
      </c>
      <c r="X2213">
        <v>19.100000000000001</v>
      </c>
      <c r="Y2213">
        <v>37.6</v>
      </c>
      <c r="Z2213">
        <v>96462106</v>
      </c>
      <c r="AA2213">
        <v>14.058324000000001</v>
      </c>
      <c r="AB2213">
        <v>108.277199</v>
      </c>
    </row>
    <row r="2214" spans="1:28" hidden="1">
      <c r="A2214">
        <v>2133</v>
      </c>
      <c r="B2214">
        <v>1300</v>
      </c>
      <c r="C2214" t="s">
        <v>179</v>
      </c>
      <c r="D2214" t="s">
        <v>4205</v>
      </c>
      <c r="E2214">
        <v>80</v>
      </c>
      <c r="G2214" t="s">
        <v>198</v>
      </c>
      <c r="H2214" t="s">
        <v>199</v>
      </c>
      <c r="I2214" t="s">
        <v>182</v>
      </c>
      <c r="J2214" t="s">
        <v>179</v>
      </c>
      <c r="K2214" t="s">
        <v>198</v>
      </c>
      <c r="M2214" t="b">
        <v>1</v>
      </c>
      <c r="N2214" t="s">
        <v>42</v>
      </c>
      <c r="O2214" t="s">
        <v>33</v>
      </c>
      <c r="Q2214">
        <v>105.48</v>
      </c>
      <c r="R2214">
        <v>0.5</v>
      </c>
      <c r="S2214" t="s">
        <v>201</v>
      </c>
      <c r="T2214">
        <v>63.2</v>
      </c>
      <c r="V2214">
        <v>98.8</v>
      </c>
      <c r="W2214">
        <v>84.2</v>
      </c>
      <c r="X2214">
        <v>11.9</v>
      </c>
      <c r="Y2214">
        <v>46.7</v>
      </c>
      <c r="Z2214">
        <v>126226568</v>
      </c>
      <c r="AA2214">
        <v>36.204824000000002</v>
      </c>
      <c r="AB2214">
        <v>138.25292400000001</v>
      </c>
    </row>
    <row r="2215" spans="1:28" hidden="1">
      <c r="A2215">
        <v>2133</v>
      </c>
      <c r="B2215">
        <v>1300</v>
      </c>
      <c r="C2215" t="s">
        <v>288</v>
      </c>
      <c r="D2215" t="s">
        <v>4206</v>
      </c>
      <c r="E2215">
        <v>55</v>
      </c>
      <c r="G2215" t="s">
        <v>38</v>
      </c>
      <c r="I2215" t="s">
        <v>1198</v>
      </c>
      <c r="J2215" t="s">
        <v>288</v>
      </c>
      <c r="K2215" t="s">
        <v>38</v>
      </c>
      <c r="M2215" t="b">
        <v>1</v>
      </c>
      <c r="N2215" t="s">
        <v>32</v>
      </c>
      <c r="O2215" t="s">
        <v>33</v>
      </c>
      <c r="Q2215">
        <v>117.24</v>
      </c>
      <c r="R2215">
        <v>7.5</v>
      </c>
      <c r="S2215" t="s">
        <v>44</v>
      </c>
      <c r="T2215">
        <v>88.2</v>
      </c>
      <c r="V2215">
        <v>101.8</v>
      </c>
      <c r="W2215">
        <v>78.5</v>
      </c>
      <c r="X2215">
        <v>9.6</v>
      </c>
      <c r="Y2215">
        <v>36.6</v>
      </c>
      <c r="Z2215">
        <v>328239523</v>
      </c>
      <c r="AA2215">
        <v>37.090240000000001</v>
      </c>
      <c r="AB2215">
        <v>-95.712890999999999</v>
      </c>
    </row>
    <row r="2216" spans="1:28" hidden="1">
      <c r="A2216">
        <v>2133</v>
      </c>
      <c r="B2216">
        <v>1300</v>
      </c>
      <c r="C2216" t="s">
        <v>54</v>
      </c>
      <c r="D2216" t="s">
        <v>4207</v>
      </c>
      <c r="I2216" t="s">
        <v>383</v>
      </c>
      <c r="J2216" t="s">
        <v>54</v>
      </c>
      <c r="K2216" t="s">
        <v>512</v>
      </c>
      <c r="M2216" t="b">
        <v>0</v>
      </c>
      <c r="N2216" t="s">
        <v>192</v>
      </c>
      <c r="O2216" t="s">
        <v>33</v>
      </c>
    </row>
    <row r="2217" spans="1:28" hidden="1">
      <c r="A2217">
        <v>2133</v>
      </c>
      <c r="B2217">
        <v>1300</v>
      </c>
      <c r="C2217" t="s">
        <v>217</v>
      </c>
      <c r="D2217" t="s">
        <v>4208</v>
      </c>
      <c r="E2217">
        <v>87</v>
      </c>
      <c r="G2217" t="s">
        <v>38</v>
      </c>
      <c r="H2217" t="s">
        <v>2213</v>
      </c>
      <c r="I2217" t="s">
        <v>4209</v>
      </c>
      <c r="J2217" t="s">
        <v>217</v>
      </c>
      <c r="K2217" t="s">
        <v>38</v>
      </c>
      <c r="M2217" t="b">
        <v>1</v>
      </c>
      <c r="N2217" t="s">
        <v>32</v>
      </c>
      <c r="O2217" t="s">
        <v>33</v>
      </c>
      <c r="Q2217">
        <v>117.24</v>
      </c>
      <c r="R2217">
        <v>7.5</v>
      </c>
      <c r="S2217" t="s">
        <v>44</v>
      </c>
      <c r="T2217">
        <v>88.2</v>
      </c>
      <c r="V2217">
        <v>101.8</v>
      </c>
      <c r="W2217">
        <v>78.5</v>
      </c>
      <c r="X2217">
        <v>9.6</v>
      </c>
      <c r="Y2217">
        <v>36.6</v>
      </c>
      <c r="Z2217">
        <v>328239523</v>
      </c>
      <c r="AA2217">
        <v>37.090240000000001</v>
      </c>
      <c r="AB2217">
        <v>-95.712890999999999</v>
      </c>
    </row>
    <row r="2218" spans="1:28" hidden="1">
      <c r="A2218">
        <v>2133</v>
      </c>
      <c r="B2218">
        <v>1300</v>
      </c>
      <c r="C2218" t="s">
        <v>26</v>
      </c>
      <c r="D2218" t="s">
        <v>4210</v>
      </c>
      <c r="E2218">
        <v>38</v>
      </c>
      <c r="G2218" t="s">
        <v>103</v>
      </c>
      <c r="H2218" t="s">
        <v>215</v>
      </c>
      <c r="I2218" t="s">
        <v>216</v>
      </c>
      <c r="J2218" t="s">
        <v>26</v>
      </c>
      <c r="K2218" t="s">
        <v>103</v>
      </c>
      <c r="M2218" t="b">
        <v>1</v>
      </c>
      <c r="N2218" t="s">
        <v>42</v>
      </c>
      <c r="O2218" t="s">
        <v>88</v>
      </c>
      <c r="Q2218">
        <v>125.08</v>
      </c>
      <c r="R2218">
        <v>2.9</v>
      </c>
      <c r="S2218" t="s">
        <v>106</v>
      </c>
      <c r="T2218">
        <v>50.6</v>
      </c>
      <c r="V2218">
        <v>100.2</v>
      </c>
      <c r="W2218">
        <v>77</v>
      </c>
      <c r="X2218">
        <v>9.4</v>
      </c>
      <c r="Y2218">
        <v>59.2</v>
      </c>
      <c r="Z2218">
        <v>1397715000</v>
      </c>
      <c r="AA2218">
        <v>35.861660000000001</v>
      </c>
      <c r="AB2218">
        <v>104.195397</v>
      </c>
    </row>
    <row r="2219" spans="1:28" hidden="1">
      <c r="A2219">
        <v>2133</v>
      </c>
      <c r="B2219">
        <v>1300</v>
      </c>
      <c r="C2219" t="s">
        <v>221</v>
      </c>
      <c r="D2219" t="s">
        <v>4211</v>
      </c>
      <c r="E2219">
        <v>67</v>
      </c>
      <c r="G2219" t="s">
        <v>77</v>
      </c>
      <c r="H2219" t="s">
        <v>1374</v>
      </c>
      <c r="I2219" t="s">
        <v>223</v>
      </c>
      <c r="J2219" t="s">
        <v>221</v>
      </c>
      <c r="K2219" t="s">
        <v>77</v>
      </c>
      <c r="M2219" t="b">
        <v>1</v>
      </c>
      <c r="N2219" t="s">
        <v>32</v>
      </c>
      <c r="O2219" t="s">
        <v>33</v>
      </c>
      <c r="Q2219">
        <v>180.44</v>
      </c>
      <c r="R2219">
        <v>7.7</v>
      </c>
      <c r="S2219" t="s">
        <v>81</v>
      </c>
      <c r="T2219">
        <v>28.1</v>
      </c>
      <c r="V2219">
        <v>113</v>
      </c>
      <c r="W2219">
        <v>69.400000000000006</v>
      </c>
      <c r="X2219">
        <v>11.2</v>
      </c>
      <c r="Y2219">
        <v>49.7</v>
      </c>
      <c r="Z2219">
        <v>1366417754</v>
      </c>
      <c r="AA2219">
        <v>20.593684</v>
      </c>
      <c r="AB2219">
        <v>78.962879999999998</v>
      </c>
    </row>
    <row r="2220" spans="1:28" hidden="1">
      <c r="A2220">
        <v>2133</v>
      </c>
      <c r="B2220">
        <v>1300</v>
      </c>
      <c r="C2220" t="s">
        <v>154</v>
      </c>
      <c r="D2220" t="s">
        <v>4212</v>
      </c>
      <c r="E2220">
        <v>72</v>
      </c>
      <c r="G2220" t="s">
        <v>77</v>
      </c>
      <c r="H2220" t="s">
        <v>667</v>
      </c>
      <c r="I2220" t="s">
        <v>3027</v>
      </c>
      <c r="J2220" t="s">
        <v>154</v>
      </c>
      <c r="K2220" t="s">
        <v>77</v>
      </c>
      <c r="M2220" t="b">
        <v>1</v>
      </c>
      <c r="N2220" t="s">
        <v>42</v>
      </c>
      <c r="O2220" t="s">
        <v>33</v>
      </c>
      <c r="Q2220">
        <v>180.44</v>
      </c>
      <c r="R2220">
        <v>7.7</v>
      </c>
      <c r="S2220" t="s">
        <v>81</v>
      </c>
      <c r="T2220">
        <v>28.1</v>
      </c>
      <c r="V2220">
        <v>113</v>
      </c>
      <c r="W2220">
        <v>69.400000000000006</v>
      </c>
      <c r="X2220">
        <v>11.2</v>
      </c>
      <c r="Y2220">
        <v>49.7</v>
      </c>
      <c r="Z2220">
        <v>1366417754</v>
      </c>
      <c r="AA2220">
        <v>20.593684</v>
      </c>
      <c r="AB2220">
        <v>78.962879999999998</v>
      </c>
    </row>
    <row r="2221" spans="1:28" hidden="1">
      <c r="A2221">
        <v>2133</v>
      </c>
      <c r="B2221">
        <v>1300</v>
      </c>
      <c r="C2221" t="s">
        <v>288</v>
      </c>
      <c r="D2221" t="s">
        <v>4213</v>
      </c>
      <c r="E2221">
        <v>65</v>
      </c>
      <c r="G2221" t="s">
        <v>77</v>
      </c>
      <c r="H2221" t="s">
        <v>1374</v>
      </c>
      <c r="I2221" t="s">
        <v>418</v>
      </c>
      <c r="J2221" t="s">
        <v>288</v>
      </c>
      <c r="K2221" t="s">
        <v>77</v>
      </c>
      <c r="M2221" t="b">
        <v>1</v>
      </c>
      <c r="N2221" t="s">
        <v>42</v>
      </c>
      <c r="O2221" t="s">
        <v>33</v>
      </c>
      <c r="Q2221">
        <v>180.44</v>
      </c>
      <c r="R2221">
        <v>7.7</v>
      </c>
      <c r="S2221" t="s">
        <v>81</v>
      </c>
      <c r="T2221">
        <v>28.1</v>
      </c>
      <c r="V2221">
        <v>113</v>
      </c>
      <c r="W2221">
        <v>69.400000000000006</v>
      </c>
      <c r="X2221">
        <v>11.2</v>
      </c>
      <c r="Y2221">
        <v>49.7</v>
      </c>
      <c r="Z2221">
        <v>1366417754</v>
      </c>
      <c r="AA2221">
        <v>20.593684</v>
      </c>
      <c r="AB2221">
        <v>78.962879999999998</v>
      </c>
    </row>
    <row r="2222" spans="1:28" hidden="1">
      <c r="A2222">
        <v>2133</v>
      </c>
      <c r="B2222">
        <v>1300</v>
      </c>
      <c r="C2222" t="s">
        <v>288</v>
      </c>
      <c r="D2222" t="s">
        <v>4214</v>
      </c>
      <c r="E2222">
        <v>55</v>
      </c>
      <c r="G2222" t="s">
        <v>77</v>
      </c>
      <c r="H2222" t="s">
        <v>1374</v>
      </c>
      <c r="I2222" t="s">
        <v>418</v>
      </c>
      <c r="J2222" t="s">
        <v>288</v>
      </c>
      <c r="K2222" t="s">
        <v>77</v>
      </c>
      <c r="M2222" t="b">
        <v>0</v>
      </c>
      <c r="N2222" t="s">
        <v>419</v>
      </c>
      <c r="O2222" t="s">
        <v>33</v>
      </c>
      <c r="Q2222">
        <v>180.44</v>
      </c>
      <c r="R2222">
        <v>7.7</v>
      </c>
      <c r="S2222" t="s">
        <v>81</v>
      </c>
      <c r="T2222">
        <v>28.1</v>
      </c>
      <c r="V2222">
        <v>113</v>
      </c>
      <c r="W2222">
        <v>69.400000000000006</v>
      </c>
      <c r="X2222">
        <v>11.2</v>
      </c>
      <c r="Y2222">
        <v>49.7</v>
      </c>
      <c r="Z2222">
        <v>1366417754</v>
      </c>
      <c r="AA2222">
        <v>20.593684</v>
      </c>
      <c r="AB2222">
        <v>78.962879999999998</v>
      </c>
    </row>
    <row r="2223" spans="1:28" hidden="1">
      <c r="A2223">
        <v>2133</v>
      </c>
      <c r="B2223">
        <v>1300</v>
      </c>
      <c r="C2223" t="s">
        <v>26</v>
      </c>
      <c r="D2223" t="s">
        <v>4215</v>
      </c>
      <c r="E2223">
        <v>75</v>
      </c>
      <c r="G2223" t="s">
        <v>95</v>
      </c>
      <c r="H2223" t="s">
        <v>1869</v>
      </c>
      <c r="I2223" t="s">
        <v>410</v>
      </c>
      <c r="J2223" t="s">
        <v>26</v>
      </c>
      <c r="K2223" t="s">
        <v>95</v>
      </c>
      <c r="M2223" t="b">
        <v>0</v>
      </c>
      <c r="N2223" t="s">
        <v>42</v>
      </c>
      <c r="O2223" t="s">
        <v>33</v>
      </c>
      <c r="Q2223">
        <v>110.96</v>
      </c>
      <c r="R2223">
        <v>0.7</v>
      </c>
      <c r="S2223" t="s">
        <v>98</v>
      </c>
      <c r="T2223">
        <v>88.9</v>
      </c>
      <c r="V2223">
        <v>102.7</v>
      </c>
      <c r="W2223">
        <v>83.3</v>
      </c>
      <c r="X2223">
        <v>14.2</v>
      </c>
      <c r="Y2223">
        <v>47</v>
      </c>
      <c r="Z2223">
        <v>47076781</v>
      </c>
      <c r="AA2223">
        <v>40.463667000000001</v>
      </c>
      <c r="AB2223">
        <v>-3.7492200000000002</v>
      </c>
    </row>
    <row r="2224" spans="1:28" hidden="1">
      <c r="A2224">
        <v>2133</v>
      </c>
      <c r="B2224">
        <v>1300</v>
      </c>
      <c r="C2224" t="s">
        <v>75</v>
      </c>
      <c r="D2224" t="s">
        <v>4216</v>
      </c>
      <c r="E2224">
        <v>49</v>
      </c>
      <c r="G2224" t="s">
        <v>263</v>
      </c>
      <c r="H2224" t="s">
        <v>274</v>
      </c>
      <c r="I2224" t="s">
        <v>1060</v>
      </c>
      <c r="J2224" t="s">
        <v>75</v>
      </c>
      <c r="K2224" t="s">
        <v>263</v>
      </c>
      <c r="M2224" t="b">
        <v>1</v>
      </c>
      <c r="N2224" t="s">
        <v>853</v>
      </c>
      <c r="O2224" t="s">
        <v>33</v>
      </c>
      <c r="Q2224">
        <v>180.75</v>
      </c>
      <c r="R2224">
        <v>4.5</v>
      </c>
      <c r="S2224" t="s">
        <v>276</v>
      </c>
      <c r="T2224">
        <v>81.900000000000006</v>
      </c>
      <c r="V2224">
        <v>102.6</v>
      </c>
      <c r="W2224">
        <v>72.7</v>
      </c>
      <c r="X2224">
        <v>11.4</v>
      </c>
      <c r="Y2224">
        <v>46.2</v>
      </c>
      <c r="Z2224">
        <v>144373535</v>
      </c>
      <c r="AA2224">
        <v>61.524009999999997</v>
      </c>
      <c r="AB2224">
        <v>105.31875599999999</v>
      </c>
    </row>
    <row r="2225" spans="1:28" hidden="1">
      <c r="A2225">
        <v>2133</v>
      </c>
      <c r="B2225">
        <v>1300</v>
      </c>
      <c r="C2225" t="s">
        <v>217</v>
      </c>
      <c r="D2225" t="s">
        <v>4217</v>
      </c>
      <c r="E2225">
        <v>60</v>
      </c>
      <c r="G2225" t="s">
        <v>38</v>
      </c>
      <c r="I2225" t="s">
        <v>287</v>
      </c>
      <c r="J2225" t="s">
        <v>217</v>
      </c>
      <c r="K2225" t="s">
        <v>263</v>
      </c>
      <c r="M2225" t="b">
        <v>1</v>
      </c>
      <c r="N2225" t="s">
        <v>192</v>
      </c>
      <c r="O2225" t="s">
        <v>33</v>
      </c>
      <c r="Q2225">
        <v>117.24</v>
      </c>
      <c r="R2225">
        <v>7.5</v>
      </c>
      <c r="S2225" t="s">
        <v>44</v>
      </c>
      <c r="T2225">
        <v>88.2</v>
      </c>
      <c r="V2225">
        <v>101.8</v>
      </c>
      <c r="W2225">
        <v>78.5</v>
      </c>
      <c r="X2225">
        <v>9.6</v>
      </c>
      <c r="Y2225">
        <v>36.6</v>
      </c>
      <c r="Z2225">
        <v>328239523</v>
      </c>
      <c r="AA2225">
        <v>37.090240000000001</v>
      </c>
      <c r="AB2225">
        <v>-95.712890999999999</v>
      </c>
    </row>
    <row r="2226" spans="1:28" hidden="1">
      <c r="A2226">
        <v>2133</v>
      </c>
      <c r="B2226">
        <v>1300</v>
      </c>
      <c r="C2226" t="s">
        <v>75</v>
      </c>
      <c r="D2226" t="s">
        <v>4218</v>
      </c>
      <c r="E2226">
        <v>77</v>
      </c>
      <c r="G2226" t="s">
        <v>1267</v>
      </c>
      <c r="H2226" t="s">
        <v>1268</v>
      </c>
      <c r="I2226" t="s">
        <v>75</v>
      </c>
      <c r="J2226" t="s">
        <v>75</v>
      </c>
      <c r="K2226" t="s">
        <v>1267</v>
      </c>
      <c r="M2226" t="b">
        <v>0</v>
      </c>
      <c r="N2226" t="s">
        <v>419</v>
      </c>
      <c r="O2226" t="s">
        <v>88</v>
      </c>
      <c r="Q2226">
        <v>234.44</v>
      </c>
      <c r="R2226">
        <v>15.2</v>
      </c>
      <c r="S2226" t="s">
        <v>1270</v>
      </c>
      <c r="T2226">
        <v>23.9</v>
      </c>
      <c r="V2226">
        <v>93.2</v>
      </c>
      <c r="W2226">
        <v>77.400000000000006</v>
      </c>
      <c r="X2226">
        <v>17.899999999999999</v>
      </c>
      <c r="Y2226">
        <v>42.3</v>
      </c>
      <c r="Z2226">
        <v>83429615</v>
      </c>
      <c r="AA2226">
        <v>38.963745000000003</v>
      </c>
      <c r="AB2226">
        <v>35.243321999999999</v>
      </c>
    </row>
    <row r="2227" spans="1:28" hidden="1">
      <c r="A2227">
        <v>2133</v>
      </c>
      <c r="B2227">
        <v>1300</v>
      </c>
      <c r="C2227" t="s">
        <v>101</v>
      </c>
      <c r="D2227" t="s">
        <v>4219</v>
      </c>
      <c r="E2227">
        <v>77</v>
      </c>
      <c r="G2227" t="s">
        <v>198</v>
      </c>
      <c r="H2227" t="s">
        <v>199</v>
      </c>
      <c r="I2227" t="s">
        <v>913</v>
      </c>
      <c r="J2227" t="s">
        <v>101</v>
      </c>
      <c r="K2227" t="s">
        <v>198</v>
      </c>
      <c r="M2227" t="b">
        <v>0</v>
      </c>
      <c r="N2227" t="s">
        <v>32</v>
      </c>
      <c r="O2227" t="s">
        <v>33</v>
      </c>
      <c r="Q2227">
        <v>105.48</v>
      </c>
      <c r="R2227">
        <v>0.5</v>
      </c>
      <c r="S2227" t="s">
        <v>201</v>
      </c>
      <c r="T2227">
        <v>63.2</v>
      </c>
      <c r="V2227">
        <v>98.8</v>
      </c>
      <c r="W2227">
        <v>84.2</v>
      </c>
      <c r="X2227">
        <v>11.9</v>
      </c>
      <c r="Y2227">
        <v>46.7</v>
      </c>
      <c r="Z2227">
        <v>126226568</v>
      </c>
      <c r="AA2227">
        <v>36.204824000000002</v>
      </c>
      <c r="AB2227">
        <v>138.25292400000001</v>
      </c>
    </row>
    <row r="2228" spans="1:28" hidden="1">
      <c r="A2228">
        <v>2133</v>
      </c>
      <c r="B2228">
        <v>1300</v>
      </c>
      <c r="C2228" t="s">
        <v>179</v>
      </c>
      <c r="D2228" t="s">
        <v>4220</v>
      </c>
      <c r="E2228">
        <v>81</v>
      </c>
      <c r="G2228" t="s">
        <v>198</v>
      </c>
      <c r="H2228" t="s">
        <v>199</v>
      </c>
      <c r="I2228" t="s">
        <v>4221</v>
      </c>
      <c r="J2228" t="s">
        <v>179</v>
      </c>
      <c r="K2228" t="s">
        <v>198</v>
      </c>
      <c r="M2228" t="b">
        <v>1</v>
      </c>
      <c r="N2228" t="s">
        <v>419</v>
      </c>
      <c r="O2228" t="s">
        <v>33</v>
      </c>
      <c r="Q2228">
        <v>105.48</v>
      </c>
      <c r="R2228">
        <v>0.5</v>
      </c>
      <c r="S2228" t="s">
        <v>201</v>
      </c>
      <c r="T2228">
        <v>63.2</v>
      </c>
      <c r="V2228">
        <v>98.8</v>
      </c>
      <c r="W2228">
        <v>84.2</v>
      </c>
      <c r="X2228">
        <v>11.9</v>
      </c>
      <c r="Y2228">
        <v>46.7</v>
      </c>
      <c r="Z2228">
        <v>126226568</v>
      </c>
      <c r="AA2228">
        <v>36.204824000000002</v>
      </c>
      <c r="AB2228">
        <v>138.25292400000001</v>
      </c>
    </row>
    <row r="2229" spans="1:28" hidden="1">
      <c r="A2229">
        <v>2133</v>
      </c>
      <c r="B2229">
        <v>1300</v>
      </c>
      <c r="C2229" t="s">
        <v>45</v>
      </c>
      <c r="D2229" t="s">
        <v>4222</v>
      </c>
      <c r="E2229">
        <v>66</v>
      </c>
      <c r="G2229" t="s">
        <v>38</v>
      </c>
      <c r="H2229" t="s">
        <v>403</v>
      </c>
      <c r="I2229" t="s">
        <v>572</v>
      </c>
      <c r="J2229" t="s">
        <v>45</v>
      </c>
      <c r="K2229" t="s">
        <v>38</v>
      </c>
      <c r="M2229" t="b">
        <v>1</v>
      </c>
      <c r="N2229" t="s">
        <v>419</v>
      </c>
      <c r="O2229" t="s">
        <v>33</v>
      </c>
      <c r="Q2229">
        <v>117.24</v>
      </c>
      <c r="R2229">
        <v>7.5</v>
      </c>
      <c r="S2229" t="s">
        <v>44</v>
      </c>
      <c r="T2229">
        <v>88.2</v>
      </c>
      <c r="V2229">
        <v>101.8</v>
      </c>
      <c r="W2229">
        <v>78.5</v>
      </c>
      <c r="X2229">
        <v>9.6</v>
      </c>
      <c r="Y2229">
        <v>36.6</v>
      </c>
      <c r="Z2229">
        <v>328239523</v>
      </c>
      <c r="AA2229">
        <v>37.090240000000001</v>
      </c>
      <c r="AB2229">
        <v>-95.712890999999999</v>
      </c>
    </row>
    <row r="2230" spans="1:28" hidden="1">
      <c r="A2230">
        <v>2133</v>
      </c>
      <c r="B2230">
        <v>1300</v>
      </c>
      <c r="C2230" t="s">
        <v>217</v>
      </c>
      <c r="D2230" t="s">
        <v>4223</v>
      </c>
      <c r="E2230">
        <v>48</v>
      </c>
      <c r="I2230" t="s">
        <v>287</v>
      </c>
      <c r="J2230" t="s">
        <v>217</v>
      </c>
      <c r="K2230" t="s">
        <v>148</v>
      </c>
      <c r="M2230" t="b">
        <v>0</v>
      </c>
      <c r="N2230" t="s">
        <v>32</v>
      </c>
      <c r="O2230" t="s">
        <v>33</v>
      </c>
    </row>
    <row r="2231" spans="1:28" hidden="1">
      <c r="A2231">
        <v>2133</v>
      </c>
      <c r="B2231">
        <v>1300</v>
      </c>
      <c r="C2231" t="s">
        <v>288</v>
      </c>
      <c r="D2231" t="s">
        <v>4224</v>
      </c>
      <c r="E2231">
        <v>70</v>
      </c>
      <c r="G2231" t="s">
        <v>77</v>
      </c>
      <c r="H2231" t="s">
        <v>667</v>
      </c>
      <c r="I2231" t="s">
        <v>288</v>
      </c>
      <c r="J2231" t="s">
        <v>288</v>
      </c>
      <c r="K2231" t="s">
        <v>77</v>
      </c>
      <c r="M2231" t="b">
        <v>1</v>
      </c>
      <c r="N2231" t="s">
        <v>32</v>
      </c>
      <c r="O2231" t="s">
        <v>33</v>
      </c>
      <c r="Q2231">
        <v>180.44</v>
      </c>
      <c r="R2231">
        <v>7.7</v>
      </c>
      <c r="S2231" t="s">
        <v>81</v>
      </c>
      <c r="T2231">
        <v>28.1</v>
      </c>
      <c r="V2231">
        <v>113</v>
      </c>
      <c r="W2231">
        <v>69.400000000000006</v>
      </c>
      <c r="X2231">
        <v>11.2</v>
      </c>
      <c r="Y2231">
        <v>49.7</v>
      </c>
      <c r="Z2231">
        <v>1366417754</v>
      </c>
      <c r="AA2231">
        <v>20.593684</v>
      </c>
      <c r="AB2231">
        <v>78.962879999999998</v>
      </c>
    </row>
    <row r="2232" spans="1:28" hidden="1">
      <c r="A2232">
        <v>2133</v>
      </c>
      <c r="B2232">
        <v>1300</v>
      </c>
      <c r="C2232" t="s">
        <v>75</v>
      </c>
      <c r="D2232" t="s">
        <v>4225</v>
      </c>
      <c r="E2232">
        <v>70</v>
      </c>
      <c r="G2232" t="s">
        <v>263</v>
      </c>
      <c r="H2232" t="s">
        <v>4037</v>
      </c>
      <c r="I2232" t="s">
        <v>4038</v>
      </c>
      <c r="J2232" t="s">
        <v>75</v>
      </c>
      <c r="K2232" t="s">
        <v>263</v>
      </c>
      <c r="M2232" t="b">
        <v>1</v>
      </c>
      <c r="N2232" t="s">
        <v>419</v>
      </c>
      <c r="O2232" t="s">
        <v>33</v>
      </c>
      <c r="Q2232">
        <v>180.75</v>
      </c>
      <c r="R2232">
        <v>4.5</v>
      </c>
      <c r="S2232" t="s">
        <v>276</v>
      </c>
      <c r="T2232">
        <v>81.900000000000006</v>
      </c>
      <c r="V2232">
        <v>102.6</v>
      </c>
      <c r="W2232">
        <v>72.7</v>
      </c>
      <c r="X2232">
        <v>11.4</v>
      </c>
      <c r="Y2232">
        <v>46.2</v>
      </c>
      <c r="Z2232">
        <v>144373535</v>
      </c>
      <c r="AA2232">
        <v>61.524009999999997</v>
      </c>
      <c r="AB2232">
        <v>105.31875599999999</v>
      </c>
    </row>
    <row r="2233" spans="1:28" hidden="1">
      <c r="A2233">
        <v>2133</v>
      </c>
      <c r="B2233">
        <v>1300</v>
      </c>
      <c r="C2233" t="s">
        <v>54</v>
      </c>
      <c r="D2233" t="s">
        <v>4226</v>
      </c>
      <c r="I2233" t="s">
        <v>383</v>
      </c>
      <c r="J2233" t="s">
        <v>54</v>
      </c>
      <c r="K2233" t="s">
        <v>512</v>
      </c>
      <c r="M2233" t="b">
        <v>0</v>
      </c>
      <c r="N2233" t="s">
        <v>192</v>
      </c>
      <c r="O2233" t="s">
        <v>88</v>
      </c>
    </row>
    <row r="2234" spans="1:28" hidden="1">
      <c r="A2234">
        <v>2133</v>
      </c>
      <c r="B2234">
        <v>1300</v>
      </c>
      <c r="C2234" t="s">
        <v>101</v>
      </c>
      <c r="D2234" t="s">
        <v>4227</v>
      </c>
      <c r="E2234">
        <v>50</v>
      </c>
      <c r="G2234" t="s">
        <v>238</v>
      </c>
      <c r="H2234" t="s">
        <v>3811</v>
      </c>
      <c r="I2234" t="s">
        <v>4228</v>
      </c>
      <c r="J2234" t="s">
        <v>101</v>
      </c>
      <c r="K2234" t="s">
        <v>263</v>
      </c>
      <c r="M2234" t="b">
        <v>1</v>
      </c>
      <c r="N2234" t="s">
        <v>192</v>
      </c>
      <c r="O2234" t="s">
        <v>33</v>
      </c>
      <c r="Q2234">
        <v>119.8</v>
      </c>
      <c r="R2234">
        <v>1.6</v>
      </c>
      <c r="S2234" t="s">
        <v>243</v>
      </c>
      <c r="T2234">
        <v>113.1</v>
      </c>
      <c r="V2234">
        <v>100.3</v>
      </c>
      <c r="W2234">
        <v>82.7</v>
      </c>
      <c r="X2234">
        <v>23</v>
      </c>
      <c r="Y2234">
        <v>47.4</v>
      </c>
      <c r="Z2234">
        <v>25766605</v>
      </c>
      <c r="AA2234">
        <v>-25.274398000000001</v>
      </c>
      <c r="AB2234">
        <v>133.775136</v>
      </c>
    </row>
    <row r="2235" spans="1:28" hidden="1">
      <c r="A2235">
        <v>2133</v>
      </c>
      <c r="B2235">
        <v>1300</v>
      </c>
      <c r="C2235" t="s">
        <v>217</v>
      </c>
      <c r="D2235" t="s">
        <v>4229</v>
      </c>
      <c r="E2235">
        <v>56</v>
      </c>
      <c r="G2235" t="s">
        <v>103</v>
      </c>
      <c r="H2235" t="s">
        <v>3042</v>
      </c>
      <c r="I2235" t="s">
        <v>2735</v>
      </c>
      <c r="J2235" t="s">
        <v>217</v>
      </c>
      <c r="K2235" t="s">
        <v>103</v>
      </c>
      <c r="M2235" t="b">
        <v>1</v>
      </c>
      <c r="N2235" t="s">
        <v>42</v>
      </c>
      <c r="O2235" t="s">
        <v>33</v>
      </c>
      <c r="Q2235">
        <v>125.08</v>
      </c>
      <c r="R2235">
        <v>2.9</v>
      </c>
      <c r="S2235" t="s">
        <v>106</v>
      </c>
      <c r="T2235">
        <v>50.6</v>
      </c>
      <c r="V2235">
        <v>100.2</v>
      </c>
      <c r="W2235">
        <v>77</v>
      </c>
      <c r="X2235">
        <v>9.4</v>
      </c>
      <c r="Y2235">
        <v>59.2</v>
      </c>
      <c r="Z2235">
        <v>1397715000</v>
      </c>
      <c r="AA2235">
        <v>35.861660000000001</v>
      </c>
      <c r="AB2235">
        <v>104.195397</v>
      </c>
    </row>
    <row r="2236" spans="1:28" hidden="1">
      <c r="A2236">
        <v>2133</v>
      </c>
      <c r="B2236">
        <v>1300</v>
      </c>
      <c r="C2236" t="s">
        <v>478</v>
      </c>
      <c r="D2236" t="s">
        <v>4230</v>
      </c>
      <c r="E2236">
        <v>54</v>
      </c>
      <c r="G2236" t="s">
        <v>38</v>
      </c>
      <c r="H2236" t="s">
        <v>2219</v>
      </c>
      <c r="I2236" t="s">
        <v>478</v>
      </c>
      <c r="J2236" t="s">
        <v>478</v>
      </c>
      <c r="K2236" t="s">
        <v>38</v>
      </c>
      <c r="M2236" t="b">
        <v>0</v>
      </c>
      <c r="N2236" t="s">
        <v>192</v>
      </c>
      <c r="O2236" t="s">
        <v>33</v>
      </c>
      <c r="Q2236">
        <v>117.24</v>
      </c>
      <c r="R2236">
        <v>7.5</v>
      </c>
      <c r="S2236" t="s">
        <v>44</v>
      </c>
      <c r="T2236">
        <v>88.2</v>
      </c>
      <c r="V2236">
        <v>101.8</v>
      </c>
      <c r="W2236">
        <v>78.5</v>
      </c>
      <c r="X2236">
        <v>9.6</v>
      </c>
      <c r="Y2236">
        <v>36.6</v>
      </c>
      <c r="Z2236">
        <v>328239523</v>
      </c>
      <c r="AA2236">
        <v>37.090240000000001</v>
      </c>
      <c r="AB2236">
        <v>-95.712890999999999</v>
      </c>
    </row>
    <row r="2237" spans="1:28" hidden="1">
      <c r="A2237">
        <v>2133</v>
      </c>
      <c r="B2237">
        <v>1300</v>
      </c>
      <c r="C2237" t="s">
        <v>478</v>
      </c>
      <c r="D2237" t="s">
        <v>4231</v>
      </c>
      <c r="E2237">
        <v>59</v>
      </c>
      <c r="G2237" t="s">
        <v>38</v>
      </c>
      <c r="H2237" t="s">
        <v>2219</v>
      </c>
      <c r="I2237" t="s">
        <v>478</v>
      </c>
      <c r="J2237" t="s">
        <v>478</v>
      </c>
      <c r="K2237" t="s">
        <v>38</v>
      </c>
      <c r="M2237" t="b">
        <v>0</v>
      </c>
      <c r="N2237" t="s">
        <v>192</v>
      </c>
      <c r="O2237" t="s">
        <v>88</v>
      </c>
      <c r="Q2237">
        <v>117.24</v>
      </c>
      <c r="R2237">
        <v>7.5</v>
      </c>
      <c r="S2237" t="s">
        <v>44</v>
      </c>
      <c r="T2237">
        <v>88.2</v>
      </c>
      <c r="V2237">
        <v>101.8</v>
      </c>
      <c r="W2237">
        <v>78.5</v>
      </c>
      <c r="X2237">
        <v>9.6</v>
      </c>
      <c r="Y2237">
        <v>36.6</v>
      </c>
      <c r="Z2237">
        <v>328239523</v>
      </c>
      <c r="AA2237">
        <v>37.090240000000001</v>
      </c>
      <c r="AB2237">
        <v>-95.712890999999999</v>
      </c>
    </row>
    <row r="2238" spans="1:28" hidden="1">
      <c r="A2238">
        <v>2133</v>
      </c>
      <c r="B2238">
        <v>1300</v>
      </c>
      <c r="C2238" t="s">
        <v>478</v>
      </c>
      <c r="D2238" t="s">
        <v>4232</v>
      </c>
      <c r="E2238">
        <v>63</v>
      </c>
      <c r="G2238" t="s">
        <v>38</v>
      </c>
      <c r="H2238" t="s">
        <v>2219</v>
      </c>
      <c r="I2238" t="s">
        <v>478</v>
      </c>
      <c r="J2238" t="s">
        <v>478</v>
      </c>
      <c r="K2238" t="s">
        <v>38</v>
      </c>
      <c r="M2238" t="b">
        <v>0</v>
      </c>
      <c r="N2238" t="s">
        <v>192</v>
      </c>
      <c r="O2238" t="s">
        <v>88</v>
      </c>
      <c r="Q2238">
        <v>117.24</v>
      </c>
      <c r="R2238">
        <v>7.5</v>
      </c>
      <c r="S2238" t="s">
        <v>44</v>
      </c>
      <c r="T2238">
        <v>88.2</v>
      </c>
      <c r="V2238">
        <v>101.8</v>
      </c>
      <c r="W2238">
        <v>78.5</v>
      </c>
      <c r="X2238">
        <v>9.6</v>
      </c>
      <c r="Y2238">
        <v>36.6</v>
      </c>
      <c r="Z2238">
        <v>328239523</v>
      </c>
      <c r="AA2238">
        <v>37.090240000000001</v>
      </c>
      <c r="AB2238">
        <v>-95.712890999999999</v>
      </c>
    </row>
    <row r="2239" spans="1:28" hidden="1">
      <c r="A2239">
        <v>2133</v>
      </c>
      <c r="B2239">
        <v>1300</v>
      </c>
      <c r="C2239" t="s">
        <v>236</v>
      </c>
      <c r="D2239" t="s">
        <v>4233</v>
      </c>
      <c r="E2239">
        <v>64</v>
      </c>
      <c r="G2239" t="s">
        <v>263</v>
      </c>
      <c r="H2239" t="s">
        <v>4234</v>
      </c>
      <c r="I2239" t="s">
        <v>4235</v>
      </c>
      <c r="J2239" t="s">
        <v>236</v>
      </c>
      <c r="K2239" t="s">
        <v>263</v>
      </c>
      <c r="M2239" t="b">
        <v>1</v>
      </c>
      <c r="N2239" t="s">
        <v>853</v>
      </c>
      <c r="O2239" t="s">
        <v>33</v>
      </c>
      <c r="Q2239">
        <v>180.75</v>
      </c>
      <c r="R2239">
        <v>4.5</v>
      </c>
      <c r="S2239" t="s">
        <v>276</v>
      </c>
      <c r="T2239">
        <v>81.900000000000006</v>
      </c>
      <c r="V2239">
        <v>102.6</v>
      </c>
      <c r="W2239">
        <v>72.7</v>
      </c>
      <c r="X2239">
        <v>11.4</v>
      </c>
      <c r="Y2239">
        <v>46.2</v>
      </c>
      <c r="Z2239">
        <v>144373535</v>
      </c>
      <c r="AA2239">
        <v>61.524009999999997</v>
      </c>
      <c r="AB2239">
        <v>105.31875599999999</v>
      </c>
    </row>
    <row r="2240" spans="1:28" hidden="1">
      <c r="A2240">
        <v>2133</v>
      </c>
      <c r="B2240">
        <v>1300</v>
      </c>
      <c r="C2240" t="s">
        <v>250</v>
      </c>
      <c r="D2240" t="s">
        <v>4236</v>
      </c>
      <c r="E2240">
        <v>69</v>
      </c>
      <c r="G2240" t="s">
        <v>263</v>
      </c>
      <c r="H2240" t="s">
        <v>4037</v>
      </c>
      <c r="I2240" t="s">
        <v>4038</v>
      </c>
      <c r="J2240" t="s">
        <v>250</v>
      </c>
      <c r="K2240" t="s">
        <v>263</v>
      </c>
      <c r="M2240" t="b">
        <v>1</v>
      </c>
      <c r="N2240" t="s">
        <v>419</v>
      </c>
      <c r="O2240" t="s">
        <v>33</v>
      </c>
      <c r="Q2240">
        <v>180.75</v>
      </c>
      <c r="R2240">
        <v>4.5</v>
      </c>
      <c r="S2240" t="s">
        <v>276</v>
      </c>
      <c r="T2240">
        <v>81.900000000000006</v>
      </c>
      <c r="V2240">
        <v>102.6</v>
      </c>
      <c r="W2240">
        <v>72.7</v>
      </c>
      <c r="X2240">
        <v>11.4</v>
      </c>
      <c r="Y2240">
        <v>46.2</v>
      </c>
      <c r="Z2240">
        <v>144373535</v>
      </c>
      <c r="AA2240">
        <v>61.524009999999997</v>
      </c>
      <c r="AB2240">
        <v>105.31875599999999</v>
      </c>
    </row>
    <row r="2241" spans="1:28" hidden="1">
      <c r="A2241">
        <v>2133</v>
      </c>
      <c r="B2241">
        <v>1300</v>
      </c>
      <c r="C2241" t="s">
        <v>101</v>
      </c>
      <c r="D2241" t="s">
        <v>4237</v>
      </c>
      <c r="E2241">
        <v>66</v>
      </c>
      <c r="G2241" t="s">
        <v>148</v>
      </c>
      <c r="H2241" t="s">
        <v>4238</v>
      </c>
      <c r="I2241" t="s">
        <v>2164</v>
      </c>
      <c r="J2241" t="s">
        <v>101</v>
      </c>
      <c r="K2241" t="s">
        <v>148</v>
      </c>
      <c r="M2241" t="b">
        <v>1</v>
      </c>
      <c r="N2241" t="s">
        <v>42</v>
      </c>
      <c r="O2241" t="s">
        <v>33</v>
      </c>
      <c r="Q2241">
        <v>112.85</v>
      </c>
      <c r="R2241">
        <v>1.4</v>
      </c>
      <c r="S2241" t="s">
        <v>151</v>
      </c>
      <c r="T2241">
        <v>70.2</v>
      </c>
      <c r="V2241">
        <v>104</v>
      </c>
      <c r="W2241">
        <v>80.900000000000006</v>
      </c>
      <c r="X2241">
        <v>11.5</v>
      </c>
      <c r="Y2241">
        <v>48.8</v>
      </c>
      <c r="Z2241">
        <v>83132799</v>
      </c>
      <c r="AA2241">
        <v>51.165691000000002</v>
      </c>
      <c r="AB2241">
        <v>10.451525999999999</v>
      </c>
    </row>
    <row r="2242" spans="1:28" hidden="1">
      <c r="A2242">
        <v>2133</v>
      </c>
      <c r="B2242">
        <v>1300</v>
      </c>
      <c r="C2242" t="s">
        <v>101</v>
      </c>
      <c r="D2242" t="s">
        <v>4239</v>
      </c>
      <c r="E2242">
        <v>44</v>
      </c>
      <c r="G2242" t="s">
        <v>148</v>
      </c>
      <c r="H2242" t="s">
        <v>4238</v>
      </c>
      <c r="I2242" t="s">
        <v>2164</v>
      </c>
      <c r="J2242" t="s">
        <v>101</v>
      </c>
      <c r="K2242" t="s">
        <v>148</v>
      </c>
      <c r="M2242" t="b">
        <v>0</v>
      </c>
      <c r="N2242" t="s">
        <v>42</v>
      </c>
      <c r="O2242" t="s">
        <v>33</v>
      </c>
      <c r="Q2242">
        <v>112.85</v>
      </c>
      <c r="R2242">
        <v>1.4</v>
      </c>
      <c r="S2242" t="s">
        <v>151</v>
      </c>
      <c r="T2242">
        <v>70.2</v>
      </c>
      <c r="V2242">
        <v>104</v>
      </c>
      <c r="W2242">
        <v>80.900000000000006</v>
      </c>
      <c r="X2242">
        <v>11.5</v>
      </c>
      <c r="Y2242">
        <v>48.8</v>
      </c>
      <c r="Z2242">
        <v>83132799</v>
      </c>
      <c r="AA2242">
        <v>51.165691000000002</v>
      </c>
      <c r="AB2242">
        <v>10.451525999999999</v>
      </c>
    </row>
    <row r="2243" spans="1:28" hidden="1">
      <c r="A2243">
        <v>2133</v>
      </c>
      <c r="B2243">
        <v>1300</v>
      </c>
      <c r="C2243" t="s">
        <v>221</v>
      </c>
      <c r="D2243" t="s">
        <v>4240</v>
      </c>
      <c r="E2243">
        <v>77</v>
      </c>
      <c r="G2243" t="s">
        <v>238</v>
      </c>
      <c r="H2243" t="s">
        <v>3121</v>
      </c>
      <c r="I2243" t="s">
        <v>223</v>
      </c>
      <c r="J2243" t="s">
        <v>221</v>
      </c>
      <c r="K2243" t="s">
        <v>238</v>
      </c>
      <c r="M2243" t="b">
        <v>1</v>
      </c>
      <c r="N2243" t="s">
        <v>42</v>
      </c>
      <c r="O2243" t="s">
        <v>33</v>
      </c>
      <c r="Q2243">
        <v>119.8</v>
      </c>
      <c r="R2243">
        <v>1.6</v>
      </c>
      <c r="S2243" t="s">
        <v>243</v>
      </c>
      <c r="T2243">
        <v>113.1</v>
      </c>
      <c r="V2243">
        <v>100.3</v>
      </c>
      <c r="W2243">
        <v>82.7</v>
      </c>
      <c r="X2243">
        <v>23</v>
      </c>
      <c r="Y2243">
        <v>47.4</v>
      </c>
      <c r="Z2243">
        <v>25766605</v>
      </c>
      <c r="AA2243">
        <v>-25.274398000000001</v>
      </c>
      <c r="AB2243">
        <v>133.775136</v>
      </c>
    </row>
    <row r="2244" spans="1:28" hidden="1">
      <c r="A2244">
        <v>2133</v>
      </c>
      <c r="B2244">
        <v>1300</v>
      </c>
      <c r="C2244" t="s">
        <v>288</v>
      </c>
      <c r="D2244" t="s">
        <v>4241</v>
      </c>
      <c r="E2244">
        <v>89</v>
      </c>
      <c r="G2244" t="s">
        <v>429</v>
      </c>
      <c r="H2244" t="s">
        <v>430</v>
      </c>
      <c r="I2244" t="s">
        <v>328</v>
      </c>
      <c r="J2244" t="s">
        <v>288</v>
      </c>
      <c r="K2244" t="s">
        <v>429</v>
      </c>
      <c r="M2244" t="b">
        <v>1</v>
      </c>
      <c r="N2244" t="s">
        <v>32</v>
      </c>
      <c r="O2244" t="s">
        <v>33</v>
      </c>
      <c r="Q2244">
        <v>113.27</v>
      </c>
      <c r="R2244">
        <v>0.7</v>
      </c>
      <c r="S2244" t="s">
        <v>431</v>
      </c>
      <c r="T2244">
        <v>49.3</v>
      </c>
      <c r="V2244">
        <v>99.8</v>
      </c>
      <c r="W2244">
        <v>76.900000000000006</v>
      </c>
      <c r="X2244">
        <v>14.9</v>
      </c>
      <c r="Y2244">
        <v>29.5</v>
      </c>
      <c r="Z2244">
        <v>69625582</v>
      </c>
      <c r="AA2244">
        <v>15.870032</v>
      </c>
      <c r="AB2244">
        <v>100.992541</v>
      </c>
    </row>
    <row r="2245" spans="1:28" hidden="1">
      <c r="A2245">
        <v>2133</v>
      </c>
      <c r="B2245">
        <v>1300</v>
      </c>
      <c r="C2245" t="s">
        <v>26</v>
      </c>
      <c r="D2245" t="s">
        <v>4242</v>
      </c>
      <c r="E2245">
        <v>63</v>
      </c>
      <c r="G2245" t="s">
        <v>103</v>
      </c>
      <c r="H2245" t="s">
        <v>2663</v>
      </c>
      <c r="I2245" t="s">
        <v>150</v>
      </c>
      <c r="J2245" t="s">
        <v>26</v>
      </c>
      <c r="K2245" t="s">
        <v>103</v>
      </c>
      <c r="M2245" t="b">
        <v>1</v>
      </c>
      <c r="N2245" t="s">
        <v>42</v>
      </c>
      <c r="O2245" t="s">
        <v>33</v>
      </c>
      <c r="Q2245">
        <v>125.08</v>
      </c>
      <c r="R2245">
        <v>2.9</v>
      </c>
      <c r="S2245" t="s">
        <v>106</v>
      </c>
      <c r="T2245">
        <v>50.6</v>
      </c>
      <c r="V2245">
        <v>100.2</v>
      </c>
      <c r="W2245">
        <v>77</v>
      </c>
      <c r="X2245">
        <v>9.4</v>
      </c>
      <c r="Y2245">
        <v>59.2</v>
      </c>
      <c r="Z2245">
        <v>1397715000</v>
      </c>
      <c r="AA2245">
        <v>35.861660000000001</v>
      </c>
      <c r="AB2245">
        <v>104.195397</v>
      </c>
    </row>
    <row r="2246" spans="1:28" hidden="1">
      <c r="A2246">
        <v>2133</v>
      </c>
      <c r="B2246">
        <v>1300</v>
      </c>
      <c r="C2246" t="s">
        <v>308</v>
      </c>
      <c r="D2246" t="s">
        <v>4243</v>
      </c>
      <c r="E2246">
        <v>54</v>
      </c>
      <c r="G2246" t="s">
        <v>103</v>
      </c>
      <c r="H2246" t="s">
        <v>215</v>
      </c>
      <c r="I2246" t="s">
        <v>1770</v>
      </c>
      <c r="J2246" t="s">
        <v>308</v>
      </c>
      <c r="K2246" t="s">
        <v>103</v>
      </c>
      <c r="M2246" t="b">
        <v>1</v>
      </c>
      <c r="N2246" t="s">
        <v>42</v>
      </c>
      <c r="O2246" t="s">
        <v>33</v>
      </c>
      <c r="Q2246">
        <v>125.08</v>
      </c>
      <c r="R2246">
        <v>2.9</v>
      </c>
      <c r="S2246" t="s">
        <v>106</v>
      </c>
      <c r="T2246">
        <v>50.6</v>
      </c>
      <c r="V2246">
        <v>100.2</v>
      </c>
      <c r="W2246">
        <v>77</v>
      </c>
      <c r="X2246">
        <v>9.4</v>
      </c>
      <c r="Y2246">
        <v>59.2</v>
      </c>
      <c r="Z2246">
        <v>1397715000</v>
      </c>
      <c r="AA2246">
        <v>35.861660000000001</v>
      </c>
      <c r="AB2246">
        <v>104.195397</v>
      </c>
    </row>
    <row r="2247" spans="1:28" hidden="1">
      <c r="A2247">
        <v>2133</v>
      </c>
      <c r="B2247">
        <v>1300</v>
      </c>
      <c r="C2247" t="s">
        <v>217</v>
      </c>
      <c r="D2247" t="s">
        <v>4244</v>
      </c>
      <c r="E2247">
        <v>55</v>
      </c>
      <c r="G2247" t="s">
        <v>103</v>
      </c>
      <c r="H2247" t="s">
        <v>176</v>
      </c>
      <c r="I2247" t="s">
        <v>893</v>
      </c>
      <c r="J2247" t="s">
        <v>217</v>
      </c>
      <c r="K2247" t="s">
        <v>103</v>
      </c>
      <c r="M2247" t="b">
        <v>1</v>
      </c>
      <c r="N2247" t="s">
        <v>42</v>
      </c>
      <c r="O2247" t="s">
        <v>33</v>
      </c>
      <c r="Q2247">
        <v>125.08</v>
      </c>
      <c r="R2247">
        <v>2.9</v>
      </c>
      <c r="S2247" t="s">
        <v>106</v>
      </c>
      <c r="T2247">
        <v>50.6</v>
      </c>
      <c r="V2247">
        <v>100.2</v>
      </c>
      <c r="W2247">
        <v>77</v>
      </c>
      <c r="X2247">
        <v>9.4</v>
      </c>
      <c r="Y2247">
        <v>59.2</v>
      </c>
      <c r="Z2247">
        <v>1397715000</v>
      </c>
      <c r="AA2247">
        <v>35.861660000000001</v>
      </c>
      <c r="AB2247">
        <v>104.195397</v>
      </c>
    </row>
    <row r="2248" spans="1:28" hidden="1">
      <c r="A2248">
        <v>2133</v>
      </c>
      <c r="B2248">
        <v>1300</v>
      </c>
      <c r="C2248" t="s">
        <v>45</v>
      </c>
      <c r="D2248" t="s">
        <v>4245</v>
      </c>
      <c r="E2248">
        <v>47</v>
      </c>
      <c r="G2248" t="s">
        <v>103</v>
      </c>
      <c r="H2248" t="s">
        <v>215</v>
      </c>
      <c r="I2248" t="s">
        <v>572</v>
      </c>
      <c r="J2248" t="s">
        <v>45</v>
      </c>
      <c r="K2248" t="s">
        <v>103</v>
      </c>
      <c r="M2248" t="b">
        <v>1</v>
      </c>
      <c r="N2248" t="s">
        <v>42</v>
      </c>
      <c r="O2248" t="s">
        <v>33</v>
      </c>
      <c r="Q2248">
        <v>125.08</v>
      </c>
      <c r="R2248">
        <v>2.9</v>
      </c>
      <c r="S2248" t="s">
        <v>106</v>
      </c>
      <c r="T2248">
        <v>50.6</v>
      </c>
      <c r="V2248">
        <v>100.2</v>
      </c>
      <c r="W2248">
        <v>77</v>
      </c>
      <c r="X2248">
        <v>9.4</v>
      </c>
      <c r="Y2248">
        <v>59.2</v>
      </c>
      <c r="Z2248">
        <v>1397715000</v>
      </c>
      <c r="AA2248">
        <v>35.861660000000001</v>
      </c>
      <c r="AB2248">
        <v>104.195397</v>
      </c>
    </row>
    <row r="2249" spans="1:28" hidden="1">
      <c r="A2249">
        <v>2133</v>
      </c>
      <c r="B2249">
        <v>1300</v>
      </c>
      <c r="C2249" t="s">
        <v>26</v>
      </c>
      <c r="D2249" t="s">
        <v>4246</v>
      </c>
      <c r="E2249">
        <v>83</v>
      </c>
      <c r="G2249" t="s">
        <v>1166</v>
      </c>
      <c r="H2249" t="s">
        <v>1167</v>
      </c>
      <c r="I2249" t="s">
        <v>4247</v>
      </c>
      <c r="J2249" t="s">
        <v>26</v>
      </c>
      <c r="K2249" t="s">
        <v>4248</v>
      </c>
      <c r="M2249" t="b">
        <v>1</v>
      </c>
      <c r="N2249" t="s">
        <v>42</v>
      </c>
      <c r="O2249" t="s">
        <v>33</v>
      </c>
    </row>
    <row r="2250" spans="1:28" hidden="1">
      <c r="A2250">
        <v>2133</v>
      </c>
      <c r="B2250">
        <v>1300</v>
      </c>
      <c r="C2250" t="s">
        <v>217</v>
      </c>
      <c r="D2250" t="s">
        <v>4249</v>
      </c>
      <c r="E2250">
        <v>50</v>
      </c>
      <c r="G2250" t="s">
        <v>103</v>
      </c>
      <c r="H2250" t="s">
        <v>521</v>
      </c>
      <c r="I2250" t="s">
        <v>2515</v>
      </c>
      <c r="J2250" t="s">
        <v>217</v>
      </c>
      <c r="K2250" t="s">
        <v>103</v>
      </c>
      <c r="M2250" t="b">
        <v>1</v>
      </c>
      <c r="N2250" t="s">
        <v>212</v>
      </c>
      <c r="O2250" t="s">
        <v>88</v>
      </c>
      <c r="Q2250">
        <v>125.08</v>
      </c>
      <c r="R2250">
        <v>2.9</v>
      </c>
      <c r="S2250" t="s">
        <v>106</v>
      </c>
      <c r="T2250">
        <v>50.6</v>
      </c>
      <c r="V2250">
        <v>100.2</v>
      </c>
      <c r="W2250">
        <v>77</v>
      </c>
      <c r="X2250">
        <v>9.4</v>
      </c>
      <c r="Y2250">
        <v>59.2</v>
      </c>
      <c r="Z2250">
        <v>1397715000</v>
      </c>
      <c r="AA2250">
        <v>35.861660000000001</v>
      </c>
      <c r="AB2250">
        <v>104.195397</v>
      </c>
    </row>
    <row r="2251" spans="1:28" hidden="1">
      <c r="A2251">
        <v>2133</v>
      </c>
      <c r="B2251">
        <v>1300</v>
      </c>
      <c r="C2251" t="s">
        <v>75</v>
      </c>
      <c r="D2251" t="s">
        <v>4250</v>
      </c>
      <c r="E2251">
        <v>74</v>
      </c>
      <c r="G2251" t="s">
        <v>103</v>
      </c>
      <c r="H2251" t="s">
        <v>4251</v>
      </c>
      <c r="I2251" t="s">
        <v>3292</v>
      </c>
      <c r="J2251" t="s">
        <v>75</v>
      </c>
      <c r="K2251" t="s">
        <v>103</v>
      </c>
      <c r="M2251" t="b">
        <v>1</v>
      </c>
      <c r="N2251" t="s">
        <v>42</v>
      </c>
      <c r="O2251" t="s">
        <v>33</v>
      </c>
      <c r="Q2251">
        <v>125.08</v>
      </c>
      <c r="R2251">
        <v>2.9</v>
      </c>
      <c r="S2251" t="s">
        <v>106</v>
      </c>
      <c r="T2251">
        <v>50.6</v>
      </c>
      <c r="V2251">
        <v>100.2</v>
      </c>
      <c r="W2251">
        <v>77</v>
      </c>
      <c r="X2251">
        <v>9.4</v>
      </c>
      <c r="Y2251">
        <v>59.2</v>
      </c>
      <c r="Z2251">
        <v>1397715000</v>
      </c>
      <c r="AA2251">
        <v>35.861660000000001</v>
      </c>
      <c r="AB2251">
        <v>104.195397</v>
      </c>
    </row>
    <row r="2252" spans="1:28" hidden="1">
      <c r="A2252">
        <v>2133</v>
      </c>
      <c r="B2252">
        <v>1300</v>
      </c>
      <c r="C2252" t="s">
        <v>288</v>
      </c>
      <c r="D2252" t="s">
        <v>4252</v>
      </c>
      <c r="E2252">
        <v>57</v>
      </c>
      <c r="G2252" t="s">
        <v>103</v>
      </c>
      <c r="H2252" t="s">
        <v>176</v>
      </c>
      <c r="I2252" t="s">
        <v>440</v>
      </c>
      <c r="J2252" t="s">
        <v>288</v>
      </c>
      <c r="K2252" t="s">
        <v>103</v>
      </c>
      <c r="M2252" t="b">
        <v>1</v>
      </c>
      <c r="N2252" t="s">
        <v>192</v>
      </c>
      <c r="O2252" t="s">
        <v>33</v>
      </c>
      <c r="Q2252">
        <v>125.08</v>
      </c>
      <c r="R2252">
        <v>2.9</v>
      </c>
      <c r="S2252" t="s">
        <v>106</v>
      </c>
      <c r="T2252">
        <v>50.6</v>
      </c>
      <c r="V2252">
        <v>100.2</v>
      </c>
      <c r="W2252">
        <v>77</v>
      </c>
      <c r="X2252">
        <v>9.4</v>
      </c>
      <c r="Y2252">
        <v>59.2</v>
      </c>
      <c r="Z2252">
        <v>1397715000</v>
      </c>
      <c r="AA2252">
        <v>35.861660000000001</v>
      </c>
      <c r="AB2252">
        <v>104.195397</v>
      </c>
    </row>
    <row r="2253" spans="1:28" hidden="1">
      <c r="A2253">
        <v>2133</v>
      </c>
      <c r="B2253">
        <v>1300</v>
      </c>
      <c r="C2253" t="s">
        <v>45</v>
      </c>
      <c r="D2253" t="s">
        <v>4253</v>
      </c>
      <c r="E2253">
        <v>60</v>
      </c>
      <c r="G2253" t="s">
        <v>103</v>
      </c>
      <c r="H2253" t="s">
        <v>176</v>
      </c>
      <c r="I2253" t="s">
        <v>572</v>
      </c>
      <c r="J2253" t="s">
        <v>45</v>
      </c>
      <c r="K2253" t="s">
        <v>103</v>
      </c>
      <c r="M2253" t="b">
        <v>1</v>
      </c>
      <c r="N2253" t="s">
        <v>42</v>
      </c>
      <c r="O2253" t="s">
        <v>33</v>
      </c>
      <c r="Q2253">
        <v>125.08</v>
      </c>
      <c r="R2253">
        <v>2.9</v>
      </c>
      <c r="S2253" t="s">
        <v>106</v>
      </c>
      <c r="T2253">
        <v>50.6</v>
      </c>
      <c r="V2253">
        <v>100.2</v>
      </c>
      <c r="W2253">
        <v>77</v>
      </c>
      <c r="X2253">
        <v>9.4</v>
      </c>
      <c r="Y2253">
        <v>59.2</v>
      </c>
      <c r="Z2253">
        <v>1397715000</v>
      </c>
      <c r="AA2253">
        <v>35.861660000000001</v>
      </c>
      <c r="AB2253">
        <v>104.195397</v>
      </c>
    </row>
    <row r="2254" spans="1:28" hidden="1">
      <c r="A2254">
        <v>2133</v>
      </c>
      <c r="B2254">
        <v>1300</v>
      </c>
      <c r="C2254" t="s">
        <v>45</v>
      </c>
      <c r="D2254" t="s">
        <v>4254</v>
      </c>
      <c r="E2254">
        <v>53</v>
      </c>
      <c r="G2254" t="s">
        <v>103</v>
      </c>
      <c r="H2254" t="s">
        <v>143</v>
      </c>
      <c r="I2254" t="s">
        <v>572</v>
      </c>
      <c r="J2254" t="s">
        <v>45</v>
      </c>
      <c r="K2254" t="s">
        <v>103</v>
      </c>
      <c r="M2254" t="b">
        <v>1</v>
      </c>
      <c r="N2254" t="s">
        <v>32</v>
      </c>
      <c r="O2254" t="s">
        <v>88</v>
      </c>
      <c r="Q2254">
        <v>125.08</v>
      </c>
      <c r="R2254">
        <v>2.9</v>
      </c>
      <c r="S2254" t="s">
        <v>106</v>
      </c>
      <c r="T2254">
        <v>50.6</v>
      </c>
      <c r="V2254">
        <v>100.2</v>
      </c>
      <c r="W2254">
        <v>77</v>
      </c>
      <c r="X2254">
        <v>9.4</v>
      </c>
      <c r="Y2254">
        <v>59.2</v>
      </c>
      <c r="Z2254">
        <v>1397715000</v>
      </c>
      <c r="AA2254">
        <v>35.861660000000001</v>
      </c>
      <c r="AB2254">
        <v>104.195397</v>
      </c>
    </row>
    <row r="2255" spans="1:28" hidden="1">
      <c r="A2255">
        <v>2133</v>
      </c>
      <c r="B2255">
        <v>1300</v>
      </c>
      <c r="C2255" t="s">
        <v>217</v>
      </c>
      <c r="D2255" t="s">
        <v>4255</v>
      </c>
      <c r="E2255">
        <v>54</v>
      </c>
      <c r="G2255" t="s">
        <v>103</v>
      </c>
      <c r="H2255" t="s">
        <v>463</v>
      </c>
      <c r="I2255" t="s">
        <v>750</v>
      </c>
      <c r="J2255" t="s">
        <v>217</v>
      </c>
      <c r="K2255" t="s">
        <v>103</v>
      </c>
      <c r="M2255" t="b">
        <v>1</v>
      </c>
      <c r="N2255" t="s">
        <v>419</v>
      </c>
      <c r="O2255" t="s">
        <v>33</v>
      </c>
      <c r="Q2255">
        <v>125.08</v>
      </c>
      <c r="R2255">
        <v>2.9</v>
      </c>
      <c r="S2255" t="s">
        <v>106</v>
      </c>
      <c r="T2255">
        <v>50.6</v>
      </c>
      <c r="V2255">
        <v>100.2</v>
      </c>
      <c r="W2255">
        <v>77</v>
      </c>
      <c r="X2255">
        <v>9.4</v>
      </c>
      <c r="Y2255">
        <v>59.2</v>
      </c>
      <c r="Z2255">
        <v>1397715000</v>
      </c>
      <c r="AA2255">
        <v>35.861660000000001</v>
      </c>
      <c r="AB2255">
        <v>104.195397</v>
      </c>
    </row>
    <row r="2256" spans="1:28" hidden="1">
      <c r="A2256">
        <v>2133</v>
      </c>
      <c r="B2256">
        <v>1300</v>
      </c>
      <c r="C2256" t="s">
        <v>308</v>
      </c>
      <c r="D2256" t="s">
        <v>4256</v>
      </c>
      <c r="E2256">
        <v>52</v>
      </c>
      <c r="G2256" t="s">
        <v>103</v>
      </c>
      <c r="H2256" t="s">
        <v>143</v>
      </c>
      <c r="I2256" t="s">
        <v>4257</v>
      </c>
      <c r="J2256" t="s">
        <v>308</v>
      </c>
      <c r="K2256" t="s">
        <v>103</v>
      </c>
      <c r="M2256" t="b">
        <v>1</v>
      </c>
      <c r="N2256" t="s">
        <v>419</v>
      </c>
      <c r="O2256" t="s">
        <v>33</v>
      </c>
      <c r="Q2256">
        <v>125.08</v>
      </c>
      <c r="R2256">
        <v>2.9</v>
      </c>
      <c r="S2256" t="s">
        <v>106</v>
      </c>
      <c r="T2256">
        <v>50.6</v>
      </c>
      <c r="V2256">
        <v>100.2</v>
      </c>
      <c r="W2256">
        <v>77</v>
      </c>
      <c r="X2256">
        <v>9.4</v>
      </c>
      <c r="Y2256">
        <v>59.2</v>
      </c>
      <c r="Z2256">
        <v>1397715000</v>
      </c>
      <c r="AA2256">
        <v>35.861660000000001</v>
      </c>
      <c r="AB2256">
        <v>104.195397</v>
      </c>
    </row>
    <row r="2257" spans="1:28" hidden="1">
      <c r="A2257">
        <v>2133</v>
      </c>
      <c r="B2257">
        <v>1300</v>
      </c>
      <c r="C2257" t="s">
        <v>308</v>
      </c>
      <c r="D2257" t="s">
        <v>4258</v>
      </c>
      <c r="E2257">
        <v>56</v>
      </c>
      <c r="G2257" t="s">
        <v>172</v>
      </c>
      <c r="H2257" t="s">
        <v>172</v>
      </c>
      <c r="I2257" t="s">
        <v>1843</v>
      </c>
      <c r="J2257" t="s">
        <v>308</v>
      </c>
      <c r="K2257" t="s">
        <v>127</v>
      </c>
      <c r="M2257" t="b">
        <v>1</v>
      </c>
      <c r="N2257" t="s">
        <v>853</v>
      </c>
      <c r="O2257" t="s">
        <v>88</v>
      </c>
    </row>
    <row r="2258" spans="1:28" hidden="1">
      <c r="A2258">
        <v>2133</v>
      </c>
      <c r="B2258">
        <v>1300</v>
      </c>
      <c r="C2258" t="s">
        <v>236</v>
      </c>
      <c r="D2258" t="s">
        <v>4259</v>
      </c>
      <c r="E2258">
        <v>49</v>
      </c>
      <c r="G2258" t="s">
        <v>1160</v>
      </c>
      <c r="H2258" t="s">
        <v>3021</v>
      </c>
      <c r="I2258" t="s">
        <v>240</v>
      </c>
      <c r="J2258" t="s">
        <v>236</v>
      </c>
      <c r="K2258" t="s">
        <v>1160</v>
      </c>
      <c r="M2258" t="b">
        <v>1</v>
      </c>
      <c r="N2258" t="s">
        <v>419</v>
      </c>
      <c r="O2258" t="s">
        <v>33</v>
      </c>
      <c r="Q2258">
        <v>281.66000000000003</v>
      </c>
      <c r="R2258">
        <v>7.9</v>
      </c>
      <c r="S2258" t="s">
        <v>1163</v>
      </c>
      <c r="T2258">
        <v>82.7</v>
      </c>
      <c r="V2258">
        <v>99</v>
      </c>
      <c r="W2258">
        <v>71.599999999999994</v>
      </c>
      <c r="X2258">
        <v>20.100000000000001</v>
      </c>
      <c r="Y2258">
        <v>45.2</v>
      </c>
      <c r="Z2258">
        <v>44385155</v>
      </c>
      <c r="AA2258">
        <v>48.379432999999999</v>
      </c>
      <c r="AB2258">
        <v>31.165579999999999</v>
      </c>
    </row>
    <row r="2259" spans="1:28" hidden="1">
      <c r="A2259">
        <v>2133</v>
      </c>
      <c r="B2259">
        <v>1300</v>
      </c>
      <c r="C2259" t="s">
        <v>217</v>
      </c>
      <c r="D2259" t="s">
        <v>4260</v>
      </c>
      <c r="G2259" t="s">
        <v>103</v>
      </c>
      <c r="H2259" t="s">
        <v>4261</v>
      </c>
      <c r="I2259" t="s">
        <v>4262</v>
      </c>
      <c r="J2259" t="s">
        <v>217</v>
      </c>
      <c r="K2259" t="s">
        <v>103</v>
      </c>
      <c r="M2259" t="b">
        <v>1</v>
      </c>
      <c r="N2259" t="s">
        <v>419</v>
      </c>
      <c r="O2259" t="s">
        <v>33</v>
      </c>
      <c r="Q2259">
        <v>125.08</v>
      </c>
      <c r="R2259">
        <v>2.9</v>
      </c>
      <c r="S2259" t="s">
        <v>106</v>
      </c>
      <c r="T2259">
        <v>50.6</v>
      </c>
      <c r="V2259">
        <v>100.2</v>
      </c>
      <c r="W2259">
        <v>77</v>
      </c>
      <c r="X2259">
        <v>9.4</v>
      </c>
      <c r="Y2259">
        <v>59.2</v>
      </c>
      <c r="Z2259">
        <v>1397715000</v>
      </c>
      <c r="AA2259">
        <v>35.861660000000001</v>
      </c>
      <c r="AB2259">
        <v>104.195397</v>
      </c>
    </row>
    <row r="2260" spans="1:28" hidden="1">
      <c r="A2260">
        <v>2259</v>
      </c>
      <c r="B2260">
        <v>1200</v>
      </c>
      <c r="C2260" t="s">
        <v>54</v>
      </c>
      <c r="D2260" t="s">
        <v>4263</v>
      </c>
      <c r="E2260">
        <v>52</v>
      </c>
      <c r="G2260" t="s">
        <v>77</v>
      </c>
      <c r="H2260" t="s">
        <v>4264</v>
      </c>
      <c r="I2260" t="s">
        <v>383</v>
      </c>
      <c r="J2260" t="s">
        <v>54</v>
      </c>
      <c r="K2260" t="s">
        <v>77</v>
      </c>
      <c r="M2260" t="b">
        <v>1</v>
      </c>
      <c r="N2260" t="s">
        <v>419</v>
      </c>
      <c r="O2260" t="s">
        <v>33</v>
      </c>
      <c r="Q2260">
        <v>180.44</v>
      </c>
      <c r="R2260">
        <v>7.7</v>
      </c>
      <c r="S2260" t="s">
        <v>81</v>
      </c>
      <c r="T2260">
        <v>28.1</v>
      </c>
      <c r="V2260">
        <v>113</v>
      </c>
      <c r="W2260">
        <v>69.400000000000006</v>
      </c>
      <c r="X2260">
        <v>11.2</v>
      </c>
      <c r="Y2260">
        <v>49.7</v>
      </c>
      <c r="Z2260">
        <v>1366417754</v>
      </c>
      <c r="AA2260">
        <v>20.593684</v>
      </c>
      <c r="AB2260">
        <v>78.962879999999998</v>
      </c>
    </row>
    <row r="2261" spans="1:28" hidden="1">
      <c r="A2261">
        <v>2259</v>
      </c>
      <c r="B2261">
        <v>1200</v>
      </c>
      <c r="C2261" t="s">
        <v>54</v>
      </c>
      <c r="D2261" t="s">
        <v>4265</v>
      </c>
      <c r="E2261">
        <v>63</v>
      </c>
      <c r="G2261" t="s">
        <v>3282</v>
      </c>
      <c r="H2261" t="s">
        <v>3283</v>
      </c>
      <c r="I2261" t="s">
        <v>231</v>
      </c>
      <c r="J2261" t="s">
        <v>54</v>
      </c>
      <c r="K2261" t="s">
        <v>3282</v>
      </c>
      <c r="M2261" t="b">
        <v>0</v>
      </c>
      <c r="N2261" t="s">
        <v>419</v>
      </c>
      <c r="O2261" t="s">
        <v>33</v>
      </c>
      <c r="Q2261">
        <v>115.38</v>
      </c>
      <c r="R2261">
        <v>-0.7</v>
      </c>
      <c r="S2261" t="s">
        <v>3285</v>
      </c>
      <c r="T2261">
        <v>17.899999999999999</v>
      </c>
      <c r="V2261">
        <v>103.8</v>
      </c>
      <c r="W2261">
        <v>80.099999999999994</v>
      </c>
      <c r="X2261">
        <v>14.7</v>
      </c>
      <c r="Y2261">
        <v>11.3</v>
      </c>
      <c r="Z2261">
        <v>2832067</v>
      </c>
      <c r="AA2261">
        <v>25.354825999999999</v>
      </c>
      <c r="AB2261">
        <v>51.183883999999999</v>
      </c>
    </row>
    <row r="2262" spans="1:28" hidden="1">
      <c r="A2262">
        <v>2259</v>
      </c>
      <c r="B2262">
        <v>1200</v>
      </c>
      <c r="C2262" t="s">
        <v>75</v>
      </c>
      <c r="D2262" t="s">
        <v>4266</v>
      </c>
      <c r="E2262">
        <v>70</v>
      </c>
      <c r="G2262" t="s">
        <v>384</v>
      </c>
      <c r="H2262" t="s">
        <v>4267</v>
      </c>
      <c r="I2262" t="s">
        <v>418</v>
      </c>
      <c r="J2262" t="s">
        <v>75</v>
      </c>
      <c r="K2262" t="s">
        <v>384</v>
      </c>
      <c r="M2262" t="b">
        <v>1</v>
      </c>
      <c r="N2262" t="s">
        <v>32</v>
      </c>
      <c r="O2262" t="s">
        <v>33</v>
      </c>
      <c r="Q2262">
        <v>167.4</v>
      </c>
      <c r="R2262">
        <v>3.7</v>
      </c>
      <c r="S2262" t="s">
        <v>563</v>
      </c>
      <c r="T2262">
        <v>51.3</v>
      </c>
      <c r="V2262">
        <v>115.4</v>
      </c>
      <c r="W2262">
        <v>75.7</v>
      </c>
      <c r="X2262">
        <v>14.2</v>
      </c>
      <c r="Y2262">
        <v>65.099999999999994</v>
      </c>
      <c r="Z2262">
        <v>212559417</v>
      </c>
      <c r="AA2262">
        <v>-14.235004</v>
      </c>
      <c r="AB2262">
        <v>-51.925280000000001</v>
      </c>
    </row>
    <row r="2263" spans="1:28" hidden="1">
      <c r="A2263">
        <v>2259</v>
      </c>
      <c r="B2263">
        <v>1200</v>
      </c>
      <c r="C2263" t="s">
        <v>236</v>
      </c>
      <c r="D2263" t="s">
        <v>4268</v>
      </c>
      <c r="E2263">
        <v>60</v>
      </c>
      <c r="G2263" t="s">
        <v>156</v>
      </c>
      <c r="H2263" t="s">
        <v>647</v>
      </c>
      <c r="I2263" t="s">
        <v>362</v>
      </c>
      <c r="J2263" t="s">
        <v>236</v>
      </c>
      <c r="K2263" t="s">
        <v>95</v>
      </c>
      <c r="M2263" t="b">
        <v>0</v>
      </c>
      <c r="N2263" t="s">
        <v>419</v>
      </c>
      <c r="O2263" t="s">
        <v>33</v>
      </c>
      <c r="Q2263">
        <v>99.55</v>
      </c>
      <c r="R2263">
        <v>0.4</v>
      </c>
      <c r="S2263" t="s">
        <v>159</v>
      </c>
      <c r="T2263">
        <v>59.6</v>
      </c>
      <c r="V2263">
        <v>105.2</v>
      </c>
      <c r="W2263">
        <v>83.6</v>
      </c>
      <c r="X2263">
        <v>10.1</v>
      </c>
      <c r="Y2263">
        <v>28.8</v>
      </c>
      <c r="Z2263">
        <v>8574832</v>
      </c>
      <c r="AA2263">
        <v>46.818187999999999</v>
      </c>
      <c r="AB2263">
        <v>8.2275120000000008</v>
      </c>
    </row>
    <row r="2264" spans="1:28" hidden="1">
      <c r="A2264">
        <v>2259</v>
      </c>
      <c r="B2264">
        <v>1200</v>
      </c>
      <c r="C2264" t="s">
        <v>54</v>
      </c>
      <c r="D2264" t="s">
        <v>4269</v>
      </c>
      <c r="E2264">
        <v>50</v>
      </c>
      <c r="G2264" t="s">
        <v>38</v>
      </c>
      <c r="H2264" t="s">
        <v>4270</v>
      </c>
      <c r="I2264" t="s">
        <v>1152</v>
      </c>
      <c r="J2264" t="s">
        <v>54</v>
      </c>
      <c r="K2264" t="s">
        <v>38</v>
      </c>
      <c r="M2264" t="b">
        <v>1</v>
      </c>
      <c r="N2264" t="s">
        <v>192</v>
      </c>
      <c r="O2264" t="s">
        <v>33</v>
      </c>
      <c r="Q2264">
        <v>117.24</v>
      </c>
      <c r="R2264">
        <v>7.5</v>
      </c>
      <c r="S2264" t="s">
        <v>44</v>
      </c>
      <c r="T2264">
        <v>88.2</v>
      </c>
      <c r="V2264">
        <v>101.8</v>
      </c>
      <c r="W2264">
        <v>78.5</v>
      </c>
      <c r="X2264">
        <v>9.6</v>
      </c>
      <c r="Y2264">
        <v>36.6</v>
      </c>
      <c r="Z2264">
        <v>328239523</v>
      </c>
      <c r="AA2264">
        <v>37.090240000000001</v>
      </c>
      <c r="AB2264">
        <v>-95.712890999999999</v>
      </c>
    </row>
    <row r="2265" spans="1:28">
      <c r="A2265">
        <v>2259</v>
      </c>
      <c r="B2265">
        <v>1200</v>
      </c>
      <c r="C2265" t="s">
        <v>45</v>
      </c>
      <c r="D2265" t="s">
        <v>4271</v>
      </c>
      <c r="E2265">
        <v>41</v>
      </c>
      <c r="F2265" t="s">
        <v>4850</v>
      </c>
      <c r="G2265" t="s">
        <v>38</v>
      </c>
      <c r="H2265" t="s">
        <v>739</v>
      </c>
      <c r="I2265" t="s">
        <v>572</v>
      </c>
      <c r="J2265" t="s">
        <v>45</v>
      </c>
      <c r="K2265" t="s">
        <v>38</v>
      </c>
      <c r="L2265" t="s">
        <v>4272</v>
      </c>
      <c r="M2265" t="b">
        <v>1</v>
      </c>
      <c r="N2265" t="s">
        <v>42</v>
      </c>
      <c r="O2265" t="s">
        <v>33</v>
      </c>
      <c r="Q2265">
        <v>117.24</v>
      </c>
      <c r="R2265">
        <v>7.5</v>
      </c>
      <c r="S2265" t="s">
        <v>44</v>
      </c>
      <c r="T2265">
        <v>88.2</v>
      </c>
      <c r="U2265" t="str">
        <f>IF(T2265&gt;=100,"above 100",IF(T2265&gt;=80,"80-100",IF(T2265&gt;=60,"60-80",IF(T2265&gt;=40,"40-60",IF(T2265&gt;=20,"20-60","0-20")))))</f>
        <v>80-100</v>
      </c>
      <c r="V2265">
        <v>101.8</v>
      </c>
      <c r="W2265">
        <v>78.5</v>
      </c>
      <c r="X2265">
        <v>9.6</v>
      </c>
      <c r="Y2265">
        <v>36.6</v>
      </c>
      <c r="Z2265">
        <v>328239523</v>
      </c>
      <c r="AA2265">
        <v>37.090240000000001</v>
      </c>
      <c r="AB2265">
        <v>-95.712890999999999</v>
      </c>
    </row>
    <row r="2266" spans="1:28" hidden="1">
      <c r="A2266">
        <v>2259</v>
      </c>
      <c r="B2266">
        <v>1200</v>
      </c>
      <c r="C2266" t="s">
        <v>288</v>
      </c>
      <c r="D2266" t="s">
        <v>4273</v>
      </c>
      <c r="E2266">
        <v>66</v>
      </c>
      <c r="G2266" t="s">
        <v>1267</v>
      </c>
      <c r="H2266" t="s">
        <v>1268</v>
      </c>
      <c r="I2266" t="s">
        <v>328</v>
      </c>
      <c r="J2266" t="s">
        <v>288</v>
      </c>
      <c r="K2266" t="s">
        <v>1267</v>
      </c>
      <c r="M2266" t="b">
        <v>1</v>
      </c>
      <c r="N2266" t="s">
        <v>42</v>
      </c>
      <c r="O2266" t="s">
        <v>33</v>
      </c>
      <c r="Q2266">
        <v>234.44</v>
      </c>
      <c r="R2266">
        <v>15.2</v>
      </c>
      <c r="S2266" t="s">
        <v>1270</v>
      </c>
      <c r="T2266">
        <v>23.9</v>
      </c>
      <c r="V2266">
        <v>93.2</v>
      </c>
      <c r="W2266">
        <v>77.400000000000006</v>
      </c>
      <c r="X2266">
        <v>17.899999999999999</v>
      </c>
      <c r="Y2266">
        <v>42.3</v>
      </c>
      <c r="Z2266">
        <v>83429615</v>
      </c>
      <c r="AA2266">
        <v>38.963745000000003</v>
      </c>
      <c r="AB2266">
        <v>35.243321999999999</v>
      </c>
    </row>
    <row r="2267" spans="1:28" hidden="1">
      <c r="A2267">
        <v>2259</v>
      </c>
      <c r="B2267">
        <v>1200</v>
      </c>
      <c r="C2267" t="s">
        <v>221</v>
      </c>
      <c r="D2267" t="s">
        <v>4274</v>
      </c>
      <c r="E2267">
        <v>55</v>
      </c>
      <c r="G2267" t="s">
        <v>342</v>
      </c>
      <c r="H2267" t="s">
        <v>530</v>
      </c>
      <c r="I2267" t="s">
        <v>223</v>
      </c>
      <c r="J2267" t="s">
        <v>221</v>
      </c>
      <c r="K2267" t="s">
        <v>342</v>
      </c>
      <c r="M2267" t="b">
        <v>0</v>
      </c>
      <c r="N2267" t="s">
        <v>42</v>
      </c>
      <c r="O2267" t="s">
        <v>88</v>
      </c>
      <c r="Q2267">
        <v>108.15</v>
      </c>
      <c r="R2267">
        <v>0.8</v>
      </c>
      <c r="S2267" t="s">
        <v>532</v>
      </c>
      <c r="T2267">
        <v>63.4</v>
      </c>
      <c r="V2267">
        <v>104.9</v>
      </c>
      <c r="W2267">
        <v>82.8</v>
      </c>
      <c r="X2267">
        <v>23.1</v>
      </c>
      <c r="Y2267">
        <v>25.3</v>
      </c>
      <c r="Z2267">
        <v>9053300</v>
      </c>
      <c r="AA2267">
        <v>31.046050999999999</v>
      </c>
      <c r="AB2267">
        <v>34.851612000000003</v>
      </c>
    </row>
    <row r="2268" spans="1:28" hidden="1">
      <c r="A2268">
        <v>2259</v>
      </c>
      <c r="B2268">
        <v>1200</v>
      </c>
      <c r="C2268" t="s">
        <v>221</v>
      </c>
      <c r="D2268" t="s">
        <v>4275</v>
      </c>
      <c r="E2268">
        <v>57</v>
      </c>
      <c r="G2268" t="s">
        <v>127</v>
      </c>
      <c r="H2268" t="s">
        <v>128</v>
      </c>
      <c r="I2268" t="s">
        <v>223</v>
      </c>
      <c r="J2268" t="s">
        <v>221</v>
      </c>
      <c r="K2268" t="s">
        <v>127</v>
      </c>
      <c r="M2268" t="b">
        <v>0</v>
      </c>
      <c r="N2268" t="s">
        <v>42</v>
      </c>
      <c r="O2268" t="s">
        <v>88</v>
      </c>
      <c r="Q2268">
        <v>116.76</v>
      </c>
      <c r="R2268">
        <v>1.9</v>
      </c>
      <c r="S2268" t="s">
        <v>132</v>
      </c>
      <c r="T2268">
        <v>68.900000000000006</v>
      </c>
      <c r="V2268">
        <v>100.9</v>
      </c>
      <c r="W2268">
        <v>81.900000000000006</v>
      </c>
      <c r="X2268">
        <v>12.8</v>
      </c>
      <c r="Y2268">
        <v>24.5</v>
      </c>
      <c r="Z2268">
        <v>36991981</v>
      </c>
      <c r="AA2268">
        <v>56.130366000000002</v>
      </c>
      <c r="AB2268">
        <v>-106.346771</v>
      </c>
    </row>
    <row r="2269" spans="1:28" hidden="1">
      <c r="A2269">
        <v>2259</v>
      </c>
      <c r="B2269">
        <v>1200</v>
      </c>
      <c r="C2269" t="s">
        <v>221</v>
      </c>
      <c r="D2269" t="s">
        <v>4276</v>
      </c>
      <c r="E2269">
        <v>62</v>
      </c>
      <c r="G2269" t="s">
        <v>127</v>
      </c>
      <c r="H2269" t="s">
        <v>1129</v>
      </c>
      <c r="I2269" t="s">
        <v>223</v>
      </c>
      <c r="J2269" t="s">
        <v>221</v>
      </c>
      <c r="K2269" t="s">
        <v>127</v>
      </c>
      <c r="M2269" t="b">
        <v>0</v>
      </c>
      <c r="N2269" t="s">
        <v>42</v>
      </c>
      <c r="O2269" t="s">
        <v>88</v>
      </c>
      <c r="Q2269">
        <v>116.76</v>
      </c>
      <c r="R2269">
        <v>1.9</v>
      </c>
      <c r="S2269" t="s">
        <v>132</v>
      </c>
      <c r="T2269">
        <v>68.900000000000006</v>
      </c>
      <c r="V2269">
        <v>100.9</v>
      </c>
      <c r="W2269">
        <v>81.900000000000006</v>
      </c>
      <c r="X2269">
        <v>12.8</v>
      </c>
      <c r="Y2269">
        <v>24.5</v>
      </c>
      <c r="Z2269">
        <v>36991981</v>
      </c>
      <c r="AA2269">
        <v>56.130366000000002</v>
      </c>
      <c r="AB2269">
        <v>-106.346771</v>
      </c>
    </row>
    <row r="2270" spans="1:28" hidden="1">
      <c r="A2270">
        <v>2259</v>
      </c>
      <c r="B2270">
        <v>1200</v>
      </c>
      <c r="C2270" t="s">
        <v>250</v>
      </c>
      <c r="D2270" t="s">
        <v>4277</v>
      </c>
      <c r="E2270">
        <v>59</v>
      </c>
      <c r="G2270" t="s">
        <v>103</v>
      </c>
      <c r="H2270" t="s">
        <v>633</v>
      </c>
      <c r="I2270" t="s">
        <v>4278</v>
      </c>
      <c r="J2270" t="s">
        <v>250</v>
      </c>
      <c r="K2270" t="s">
        <v>103</v>
      </c>
      <c r="M2270" t="b">
        <v>1</v>
      </c>
      <c r="N2270" t="s">
        <v>42</v>
      </c>
      <c r="O2270" t="s">
        <v>33</v>
      </c>
      <c r="Q2270">
        <v>125.08</v>
      </c>
      <c r="R2270">
        <v>2.9</v>
      </c>
      <c r="S2270" t="s">
        <v>106</v>
      </c>
      <c r="T2270">
        <v>50.6</v>
      </c>
      <c r="V2270">
        <v>100.2</v>
      </c>
      <c r="W2270">
        <v>77</v>
      </c>
      <c r="X2270">
        <v>9.4</v>
      </c>
      <c r="Y2270">
        <v>59.2</v>
      </c>
      <c r="Z2270">
        <v>1397715000</v>
      </c>
      <c r="AA2270">
        <v>35.861660000000001</v>
      </c>
      <c r="AB2270">
        <v>104.195397</v>
      </c>
    </row>
    <row r="2271" spans="1:28" hidden="1">
      <c r="A2271">
        <v>2259</v>
      </c>
      <c r="B2271">
        <v>1200</v>
      </c>
      <c r="C2271" t="s">
        <v>54</v>
      </c>
      <c r="D2271" t="s">
        <v>4279</v>
      </c>
      <c r="E2271">
        <v>86</v>
      </c>
      <c r="G2271" t="s">
        <v>38</v>
      </c>
      <c r="H2271" t="s">
        <v>4100</v>
      </c>
      <c r="I2271" t="s">
        <v>1000</v>
      </c>
      <c r="J2271" t="s">
        <v>54</v>
      </c>
      <c r="K2271" t="s">
        <v>38</v>
      </c>
      <c r="M2271" t="b">
        <v>1</v>
      </c>
      <c r="N2271" t="s">
        <v>419</v>
      </c>
      <c r="O2271" t="s">
        <v>33</v>
      </c>
      <c r="Q2271">
        <v>117.24</v>
      </c>
      <c r="R2271">
        <v>7.5</v>
      </c>
      <c r="S2271" t="s">
        <v>44</v>
      </c>
      <c r="T2271">
        <v>88.2</v>
      </c>
      <c r="V2271">
        <v>101.8</v>
      </c>
      <c r="W2271">
        <v>78.5</v>
      </c>
      <c r="X2271">
        <v>9.6</v>
      </c>
      <c r="Y2271">
        <v>36.6</v>
      </c>
      <c r="Z2271">
        <v>328239523</v>
      </c>
      <c r="AA2271">
        <v>37.090240000000001</v>
      </c>
      <c r="AB2271">
        <v>-95.712890999999999</v>
      </c>
    </row>
    <row r="2272" spans="1:28" hidden="1">
      <c r="A2272">
        <v>2259</v>
      </c>
      <c r="B2272">
        <v>1200</v>
      </c>
      <c r="C2272" t="s">
        <v>288</v>
      </c>
      <c r="D2272" t="s">
        <v>4280</v>
      </c>
      <c r="E2272">
        <v>46</v>
      </c>
      <c r="G2272" t="s">
        <v>148</v>
      </c>
      <c r="H2272" t="s">
        <v>2681</v>
      </c>
      <c r="I2272" t="s">
        <v>2682</v>
      </c>
      <c r="J2272" t="s">
        <v>288</v>
      </c>
      <c r="K2272" t="s">
        <v>148</v>
      </c>
      <c r="M2272" t="b">
        <v>0</v>
      </c>
      <c r="N2272" t="s">
        <v>42</v>
      </c>
      <c r="O2272" t="s">
        <v>33</v>
      </c>
      <c r="Q2272">
        <v>112.85</v>
      </c>
      <c r="R2272">
        <v>1.4</v>
      </c>
      <c r="S2272" t="s">
        <v>151</v>
      </c>
      <c r="T2272">
        <v>70.2</v>
      </c>
      <c r="V2272">
        <v>104</v>
      </c>
      <c r="W2272">
        <v>80.900000000000006</v>
      </c>
      <c r="X2272">
        <v>11.5</v>
      </c>
      <c r="Y2272">
        <v>48.8</v>
      </c>
      <c r="Z2272">
        <v>83132799</v>
      </c>
      <c r="AA2272">
        <v>51.165691000000002</v>
      </c>
      <c r="AB2272">
        <v>10.451525999999999</v>
      </c>
    </row>
    <row r="2273" spans="1:28" hidden="1">
      <c r="A2273">
        <v>2259</v>
      </c>
      <c r="B2273">
        <v>1200</v>
      </c>
      <c r="C2273" t="s">
        <v>288</v>
      </c>
      <c r="D2273" t="s">
        <v>4281</v>
      </c>
      <c r="E2273">
        <v>36</v>
      </c>
      <c r="G2273" t="s">
        <v>148</v>
      </c>
      <c r="H2273" t="s">
        <v>2681</v>
      </c>
      <c r="I2273" t="s">
        <v>2682</v>
      </c>
      <c r="J2273" t="s">
        <v>288</v>
      </c>
      <c r="K2273" t="s">
        <v>148</v>
      </c>
      <c r="M2273" t="b">
        <v>0</v>
      </c>
      <c r="N2273" t="s">
        <v>42</v>
      </c>
      <c r="O2273" t="s">
        <v>88</v>
      </c>
      <c r="Q2273">
        <v>112.85</v>
      </c>
      <c r="R2273">
        <v>1.4</v>
      </c>
      <c r="S2273" t="s">
        <v>151</v>
      </c>
      <c r="T2273">
        <v>70.2</v>
      </c>
      <c r="V2273">
        <v>104</v>
      </c>
      <c r="W2273">
        <v>80.900000000000006</v>
      </c>
      <c r="X2273">
        <v>11.5</v>
      </c>
      <c r="Y2273">
        <v>48.8</v>
      </c>
      <c r="Z2273">
        <v>83132799</v>
      </c>
      <c r="AA2273">
        <v>51.165691000000002</v>
      </c>
      <c r="AB2273">
        <v>10.451525999999999</v>
      </c>
    </row>
    <row r="2274" spans="1:28" hidden="1">
      <c r="A2274">
        <v>2259</v>
      </c>
      <c r="B2274">
        <v>1200</v>
      </c>
      <c r="C2274" t="s">
        <v>288</v>
      </c>
      <c r="D2274" t="s">
        <v>4282</v>
      </c>
      <c r="E2274">
        <v>39</v>
      </c>
      <c r="G2274" t="s">
        <v>148</v>
      </c>
      <c r="H2274" t="s">
        <v>2681</v>
      </c>
      <c r="I2274" t="s">
        <v>2682</v>
      </c>
      <c r="J2274" t="s">
        <v>288</v>
      </c>
      <c r="K2274" t="s">
        <v>148</v>
      </c>
      <c r="M2274" t="b">
        <v>0</v>
      </c>
      <c r="N2274" t="s">
        <v>419</v>
      </c>
      <c r="O2274" t="s">
        <v>88</v>
      </c>
      <c r="Q2274">
        <v>112.85</v>
      </c>
      <c r="R2274">
        <v>1.4</v>
      </c>
      <c r="S2274" t="s">
        <v>151</v>
      </c>
      <c r="T2274">
        <v>70.2</v>
      </c>
      <c r="V2274">
        <v>104</v>
      </c>
      <c r="W2274">
        <v>80.900000000000006</v>
      </c>
      <c r="X2274">
        <v>11.5</v>
      </c>
      <c r="Y2274">
        <v>48.8</v>
      </c>
      <c r="Z2274">
        <v>83132799</v>
      </c>
      <c r="AA2274">
        <v>51.165691000000002</v>
      </c>
      <c r="AB2274">
        <v>10.451525999999999</v>
      </c>
    </row>
    <row r="2275" spans="1:28" hidden="1">
      <c r="A2275">
        <v>2259</v>
      </c>
      <c r="B2275">
        <v>1200</v>
      </c>
      <c r="C2275" t="s">
        <v>221</v>
      </c>
      <c r="D2275" t="s">
        <v>4283</v>
      </c>
      <c r="E2275">
        <v>78</v>
      </c>
      <c r="G2275" t="s">
        <v>512</v>
      </c>
      <c r="H2275" t="s">
        <v>590</v>
      </c>
      <c r="I2275" t="s">
        <v>4284</v>
      </c>
      <c r="J2275" t="s">
        <v>221</v>
      </c>
      <c r="K2275" t="s">
        <v>512</v>
      </c>
      <c r="M2275" t="b">
        <v>1</v>
      </c>
      <c r="N2275" t="s">
        <v>42</v>
      </c>
      <c r="O2275" t="s">
        <v>33</v>
      </c>
      <c r="Q2275">
        <v>121.46</v>
      </c>
      <c r="R2275">
        <v>0.7</v>
      </c>
      <c r="S2275" t="s">
        <v>592</v>
      </c>
      <c r="T2275">
        <v>45.1</v>
      </c>
      <c r="V2275">
        <v>105.3</v>
      </c>
      <c r="W2275">
        <v>76</v>
      </c>
      <c r="X2275">
        <v>12</v>
      </c>
      <c r="Y2275">
        <v>38.700000000000003</v>
      </c>
      <c r="Z2275">
        <v>32447385</v>
      </c>
      <c r="AA2275">
        <v>4.2104840000000001</v>
      </c>
      <c r="AB2275">
        <v>101.97576599999999</v>
      </c>
    </row>
    <row r="2276" spans="1:28" hidden="1">
      <c r="A2276">
        <v>2259</v>
      </c>
      <c r="B2276">
        <v>1200</v>
      </c>
      <c r="C2276" t="s">
        <v>101</v>
      </c>
      <c r="D2276" t="s">
        <v>4285</v>
      </c>
      <c r="E2276">
        <v>63</v>
      </c>
      <c r="G2276" t="s">
        <v>103</v>
      </c>
      <c r="H2276" t="s">
        <v>837</v>
      </c>
      <c r="I2276" t="s">
        <v>1366</v>
      </c>
      <c r="J2276" t="s">
        <v>101</v>
      </c>
      <c r="K2276" t="s">
        <v>103</v>
      </c>
      <c r="M2276" t="b">
        <v>1</v>
      </c>
      <c r="N2276" t="s">
        <v>42</v>
      </c>
      <c r="O2276" t="s">
        <v>33</v>
      </c>
      <c r="Q2276">
        <v>125.08</v>
      </c>
      <c r="R2276">
        <v>2.9</v>
      </c>
      <c r="S2276" t="s">
        <v>106</v>
      </c>
      <c r="T2276">
        <v>50.6</v>
      </c>
      <c r="V2276">
        <v>100.2</v>
      </c>
      <c r="W2276">
        <v>77</v>
      </c>
      <c r="X2276">
        <v>9.4</v>
      </c>
      <c r="Y2276">
        <v>59.2</v>
      </c>
      <c r="Z2276">
        <v>1397715000</v>
      </c>
      <c r="AA2276">
        <v>35.861660000000001</v>
      </c>
      <c r="AB2276">
        <v>104.195397</v>
      </c>
    </row>
    <row r="2277" spans="1:28" hidden="1">
      <c r="A2277">
        <v>2259</v>
      </c>
      <c r="B2277">
        <v>1200</v>
      </c>
      <c r="C2277" t="s">
        <v>288</v>
      </c>
      <c r="D2277" t="s">
        <v>4286</v>
      </c>
      <c r="E2277">
        <v>54</v>
      </c>
      <c r="G2277" t="s">
        <v>103</v>
      </c>
      <c r="H2277" t="s">
        <v>837</v>
      </c>
      <c r="I2277" t="s">
        <v>418</v>
      </c>
      <c r="J2277" t="s">
        <v>288</v>
      </c>
      <c r="K2277" t="s">
        <v>103</v>
      </c>
      <c r="M2277" t="b">
        <v>1</v>
      </c>
      <c r="N2277" t="s">
        <v>42</v>
      </c>
      <c r="O2277" t="s">
        <v>33</v>
      </c>
      <c r="Q2277">
        <v>125.08</v>
      </c>
      <c r="R2277">
        <v>2.9</v>
      </c>
      <c r="S2277" t="s">
        <v>106</v>
      </c>
      <c r="T2277">
        <v>50.6</v>
      </c>
      <c r="V2277">
        <v>100.2</v>
      </c>
      <c r="W2277">
        <v>77</v>
      </c>
      <c r="X2277">
        <v>9.4</v>
      </c>
      <c r="Y2277">
        <v>59.2</v>
      </c>
      <c r="Z2277">
        <v>1397715000</v>
      </c>
      <c r="AA2277">
        <v>35.861660000000001</v>
      </c>
      <c r="AB2277">
        <v>104.195397</v>
      </c>
    </row>
    <row r="2278" spans="1:28">
      <c r="A2278">
        <v>2259</v>
      </c>
      <c r="B2278">
        <v>1200</v>
      </c>
      <c r="C2278" t="s">
        <v>26</v>
      </c>
      <c r="D2278" t="s">
        <v>4287</v>
      </c>
      <c r="E2278">
        <v>54</v>
      </c>
      <c r="F2278" t="s">
        <v>4846</v>
      </c>
      <c r="G2278" t="s">
        <v>611</v>
      </c>
      <c r="H2278" t="s">
        <v>612</v>
      </c>
      <c r="I2278" t="s">
        <v>150</v>
      </c>
      <c r="J2278" t="s">
        <v>26</v>
      </c>
      <c r="K2278" t="s">
        <v>611</v>
      </c>
      <c r="L2278" t="s">
        <v>4288</v>
      </c>
      <c r="M2278" t="b">
        <v>0</v>
      </c>
      <c r="N2278" t="s">
        <v>42</v>
      </c>
      <c r="O2278" t="s">
        <v>33</v>
      </c>
      <c r="Q2278">
        <v>115.16</v>
      </c>
      <c r="R2278">
        <v>0.4</v>
      </c>
      <c r="S2278" t="s">
        <v>615</v>
      </c>
      <c r="T2278">
        <v>94.3</v>
      </c>
      <c r="U2278" t="str">
        <f>IF(T2278&gt;=100,"above 100",IF(T2278&gt;=80,"80-100",IF(T2278&gt;=60,"60-80",IF(T2278&gt;=40,"40-60",IF(T2278&gt;=20,"20-60","0-20")))))</f>
        <v>80-100</v>
      </c>
      <c r="V2278">
        <v>98.1</v>
      </c>
      <c r="W2278">
        <v>82.6</v>
      </c>
      <c r="X2278">
        <v>15.6</v>
      </c>
      <c r="Y2278">
        <v>33.200000000000003</v>
      </c>
      <c r="Z2278">
        <v>51709098</v>
      </c>
      <c r="AA2278">
        <v>35.907756999999997</v>
      </c>
      <c r="AB2278">
        <v>127.76692199999999</v>
      </c>
    </row>
    <row r="2279" spans="1:28" hidden="1">
      <c r="A2279">
        <v>2259</v>
      </c>
      <c r="B2279">
        <v>1200</v>
      </c>
      <c r="C2279" t="s">
        <v>308</v>
      </c>
      <c r="D2279" t="s">
        <v>4289</v>
      </c>
      <c r="E2279">
        <v>82</v>
      </c>
      <c r="G2279" t="s">
        <v>38</v>
      </c>
      <c r="H2279" t="s">
        <v>480</v>
      </c>
      <c r="I2279" t="s">
        <v>572</v>
      </c>
      <c r="J2279" t="s">
        <v>308</v>
      </c>
      <c r="K2279" t="s">
        <v>38</v>
      </c>
      <c r="M2279" t="b">
        <v>1</v>
      </c>
      <c r="N2279" t="s">
        <v>42</v>
      </c>
      <c r="O2279" t="s">
        <v>33</v>
      </c>
      <c r="Q2279">
        <v>117.24</v>
      </c>
      <c r="R2279">
        <v>7.5</v>
      </c>
      <c r="S2279" t="s">
        <v>44</v>
      </c>
      <c r="T2279">
        <v>88.2</v>
      </c>
      <c r="V2279">
        <v>101.8</v>
      </c>
      <c r="W2279">
        <v>78.5</v>
      </c>
      <c r="X2279">
        <v>9.6</v>
      </c>
      <c r="Y2279">
        <v>36.6</v>
      </c>
      <c r="Z2279">
        <v>328239523</v>
      </c>
      <c r="AA2279">
        <v>37.090240000000001</v>
      </c>
      <c r="AB2279">
        <v>-95.712890999999999</v>
      </c>
    </row>
    <row r="2280" spans="1:28" hidden="1">
      <c r="A2280">
        <v>2259</v>
      </c>
      <c r="B2280">
        <v>1200</v>
      </c>
      <c r="C2280" t="s">
        <v>26</v>
      </c>
      <c r="D2280" t="s">
        <v>4290</v>
      </c>
      <c r="E2280">
        <v>69</v>
      </c>
      <c r="G2280" t="s">
        <v>164</v>
      </c>
      <c r="H2280" t="s">
        <v>4291</v>
      </c>
      <c r="I2280" t="s">
        <v>818</v>
      </c>
      <c r="J2280" t="s">
        <v>26</v>
      </c>
      <c r="K2280" t="s">
        <v>164</v>
      </c>
      <c r="M2280" t="b">
        <v>0</v>
      </c>
      <c r="N2280" t="s">
        <v>42</v>
      </c>
      <c r="O2280" t="s">
        <v>33</v>
      </c>
      <c r="Q2280">
        <v>110.62</v>
      </c>
      <c r="R2280">
        <v>0.6</v>
      </c>
      <c r="S2280" t="s">
        <v>539</v>
      </c>
      <c r="T2280">
        <v>61.9</v>
      </c>
      <c r="V2280">
        <v>101.9</v>
      </c>
      <c r="W2280">
        <v>82.9</v>
      </c>
      <c r="X2280">
        <v>24.3</v>
      </c>
      <c r="Y2280">
        <v>59.1</v>
      </c>
      <c r="Z2280">
        <v>60297396</v>
      </c>
      <c r="AA2280">
        <v>41.871940000000002</v>
      </c>
      <c r="AB2280">
        <v>12.56738</v>
      </c>
    </row>
    <row r="2281" spans="1:28" hidden="1">
      <c r="A2281">
        <v>2259</v>
      </c>
      <c r="B2281">
        <v>1200</v>
      </c>
      <c r="C2281" t="s">
        <v>217</v>
      </c>
      <c r="D2281" t="s">
        <v>4292</v>
      </c>
      <c r="E2281">
        <v>71</v>
      </c>
      <c r="G2281" t="s">
        <v>77</v>
      </c>
      <c r="H2281" t="s">
        <v>4293</v>
      </c>
      <c r="I2281" t="s">
        <v>4294</v>
      </c>
      <c r="J2281" t="s">
        <v>217</v>
      </c>
      <c r="K2281" t="s">
        <v>77</v>
      </c>
      <c r="M2281" t="b">
        <v>1</v>
      </c>
      <c r="N2281" t="s">
        <v>192</v>
      </c>
      <c r="O2281" t="s">
        <v>33</v>
      </c>
      <c r="Q2281">
        <v>180.44</v>
      </c>
      <c r="R2281">
        <v>7.7</v>
      </c>
      <c r="S2281" t="s">
        <v>81</v>
      </c>
      <c r="T2281">
        <v>28.1</v>
      </c>
      <c r="V2281">
        <v>113</v>
      </c>
      <c r="W2281">
        <v>69.400000000000006</v>
      </c>
      <c r="X2281">
        <v>11.2</v>
      </c>
      <c r="Y2281">
        <v>49.7</v>
      </c>
      <c r="Z2281">
        <v>1366417754</v>
      </c>
      <c r="AA2281">
        <v>20.593684</v>
      </c>
      <c r="AB2281">
        <v>78.962879999999998</v>
      </c>
    </row>
    <row r="2282" spans="1:28" hidden="1">
      <c r="A2282">
        <v>2259</v>
      </c>
      <c r="B2282">
        <v>1200</v>
      </c>
      <c r="C2282" t="s">
        <v>63</v>
      </c>
      <c r="D2282" t="s">
        <v>4295</v>
      </c>
      <c r="E2282">
        <v>71</v>
      </c>
      <c r="G2282" t="s">
        <v>203</v>
      </c>
      <c r="H2282" t="s">
        <v>204</v>
      </c>
      <c r="I2282" t="s">
        <v>1626</v>
      </c>
      <c r="J2282" t="s">
        <v>63</v>
      </c>
      <c r="K2282" t="s">
        <v>203</v>
      </c>
      <c r="M2282" t="b">
        <v>1</v>
      </c>
      <c r="N2282" t="s">
        <v>42</v>
      </c>
      <c r="O2282" t="s">
        <v>33</v>
      </c>
      <c r="Q2282">
        <v>119.62</v>
      </c>
      <c r="R2282">
        <v>1.7</v>
      </c>
      <c r="S2282" t="s">
        <v>206</v>
      </c>
      <c r="T2282">
        <v>60</v>
      </c>
      <c r="V2282">
        <v>101.2</v>
      </c>
      <c r="W2282">
        <v>81.3</v>
      </c>
      <c r="X2282">
        <v>25.5</v>
      </c>
      <c r="Y2282">
        <v>30.6</v>
      </c>
      <c r="Z2282">
        <v>66834405</v>
      </c>
      <c r="AA2282">
        <v>55.378050999999999</v>
      </c>
      <c r="AB2282">
        <v>-3.4359730000000002</v>
      </c>
    </row>
    <row r="2283" spans="1:28" hidden="1">
      <c r="A2283">
        <v>2259</v>
      </c>
      <c r="B2283">
        <v>1200</v>
      </c>
      <c r="C2283" t="s">
        <v>26</v>
      </c>
      <c r="D2283" t="s">
        <v>4296</v>
      </c>
      <c r="E2283">
        <v>52</v>
      </c>
      <c r="G2283" t="s">
        <v>103</v>
      </c>
      <c r="H2283" t="s">
        <v>791</v>
      </c>
      <c r="I2283" t="s">
        <v>4297</v>
      </c>
      <c r="J2283" t="s">
        <v>26</v>
      </c>
      <c r="K2283" t="s">
        <v>103</v>
      </c>
      <c r="M2283" t="b">
        <v>0</v>
      </c>
      <c r="N2283" t="s">
        <v>42</v>
      </c>
      <c r="O2283" t="s">
        <v>33</v>
      </c>
      <c r="Q2283">
        <v>125.08</v>
      </c>
      <c r="R2283">
        <v>2.9</v>
      </c>
      <c r="S2283" t="s">
        <v>106</v>
      </c>
      <c r="T2283">
        <v>50.6</v>
      </c>
      <c r="V2283">
        <v>100.2</v>
      </c>
      <c r="W2283">
        <v>77</v>
      </c>
      <c r="X2283">
        <v>9.4</v>
      </c>
      <c r="Y2283">
        <v>59.2</v>
      </c>
      <c r="Z2283">
        <v>1397715000</v>
      </c>
      <c r="AA2283">
        <v>35.861660000000001</v>
      </c>
      <c r="AB2283">
        <v>104.195397</v>
      </c>
    </row>
    <row r="2284" spans="1:28" hidden="1">
      <c r="A2284">
        <v>2259</v>
      </c>
      <c r="B2284">
        <v>1200</v>
      </c>
      <c r="C2284" t="s">
        <v>26</v>
      </c>
      <c r="D2284" t="s">
        <v>4298</v>
      </c>
      <c r="E2284">
        <v>85</v>
      </c>
      <c r="G2284" t="s">
        <v>1267</v>
      </c>
      <c r="H2284" t="s">
        <v>1268</v>
      </c>
      <c r="I2284" t="s">
        <v>200</v>
      </c>
      <c r="J2284" t="s">
        <v>26</v>
      </c>
      <c r="K2284" t="s">
        <v>1267</v>
      </c>
      <c r="M2284" t="b">
        <v>1</v>
      </c>
      <c r="N2284" t="s">
        <v>32</v>
      </c>
      <c r="O2284" t="s">
        <v>33</v>
      </c>
      <c r="Q2284">
        <v>234.44</v>
      </c>
      <c r="R2284">
        <v>15.2</v>
      </c>
      <c r="S2284" t="s">
        <v>1270</v>
      </c>
      <c r="T2284">
        <v>23.9</v>
      </c>
      <c r="V2284">
        <v>93.2</v>
      </c>
      <c r="W2284">
        <v>77.400000000000006</v>
      </c>
      <c r="X2284">
        <v>17.899999999999999</v>
      </c>
      <c r="Y2284">
        <v>42.3</v>
      </c>
      <c r="Z2284">
        <v>83429615</v>
      </c>
      <c r="AA2284">
        <v>38.963745000000003</v>
      </c>
      <c r="AB2284">
        <v>35.243321999999999</v>
      </c>
    </row>
    <row r="2285" spans="1:28" hidden="1">
      <c r="A2285">
        <v>2259</v>
      </c>
      <c r="B2285">
        <v>1200</v>
      </c>
      <c r="C2285" t="s">
        <v>63</v>
      </c>
      <c r="D2285" t="s">
        <v>4299</v>
      </c>
      <c r="E2285">
        <v>60</v>
      </c>
      <c r="G2285" t="s">
        <v>148</v>
      </c>
      <c r="H2285" t="s">
        <v>4300</v>
      </c>
      <c r="I2285" t="s">
        <v>129</v>
      </c>
      <c r="J2285" t="s">
        <v>63</v>
      </c>
      <c r="K2285" t="s">
        <v>148</v>
      </c>
      <c r="M2285" t="b">
        <v>0</v>
      </c>
      <c r="N2285" t="s">
        <v>42</v>
      </c>
      <c r="O2285" t="s">
        <v>33</v>
      </c>
      <c r="Q2285">
        <v>112.85</v>
      </c>
      <c r="R2285">
        <v>1.4</v>
      </c>
      <c r="S2285" t="s">
        <v>151</v>
      </c>
      <c r="T2285">
        <v>70.2</v>
      </c>
      <c r="V2285">
        <v>104</v>
      </c>
      <c r="W2285">
        <v>80.900000000000006</v>
      </c>
      <c r="X2285">
        <v>11.5</v>
      </c>
      <c r="Y2285">
        <v>48.8</v>
      </c>
      <c r="Z2285">
        <v>83132799</v>
      </c>
      <c r="AA2285">
        <v>51.165691000000002</v>
      </c>
      <c r="AB2285">
        <v>10.451525999999999</v>
      </c>
    </row>
    <row r="2286" spans="1:28" hidden="1">
      <c r="A2286">
        <v>2259</v>
      </c>
      <c r="B2286">
        <v>1200</v>
      </c>
      <c r="C2286" t="s">
        <v>217</v>
      </c>
      <c r="D2286" t="s">
        <v>4301</v>
      </c>
      <c r="E2286">
        <v>84</v>
      </c>
      <c r="G2286" t="s">
        <v>38</v>
      </c>
      <c r="H2286" t="s">
        <v>548</v>
      </c>
      <c r="I2286" t="s">
        <v>631</v>
      </c>
      <c r="J2286" t="s">
        <v>217</v>
      </c>
      <c r="K2286" t="s">
        <v>38</v>
      </c>
      <c r="M2286" t="b">
        <v>1</v>
      </c>
      <c r="N2286" t="s">
        <v>192</v>
      </c>
      <c r="O2286" t="s">
        <v>33</v>
      </c>
      <c r="Q2286">
        <v>117.24</v>
      </c>
      <c r="R2286">
        <v>7.5</v>
      </c>
      <c r="S2286" t="s">
        <v>44</v>
      </c>
      <c r="T2286">
        <v>88.2</v>
      </c>
      <c r="V2286">
        <v>101.8</v>
      </c>
      <c r="W2286">
        <v>78.5</v>
      </c>
      <c r="X2286">
        <v>9.6</v>
      </c>
      <c r="Y2286">
        <v>36.6</v>
      </c>
      <c r="Z2286">
        <v>328239523</v>
      </c>
      <c r="AA2286">
        <v>37.090240000000001</v>
      </c>
      <c r="AB2286">
        <v>-95.712890999999999</v>
      </c>
    </row>
    <row r="2287" spans="1:28" hidden="1">
      <c r="A2287">
        <v>2259</v>
      </c>
      <c r="B2287">
        <v>1200</v>
      </c>
      <c r="C2287" t="s">
        <v>75</v>
      </c>
      <c r="D2287" t="s">
        <v>4302</v>
      </c>
      <c r="E2287">
        <v>65</v>
      </c>
      <c r="G2287" t="s">
        <v>384</v>
      </c>
      <c r="H2287" t="s">
        <v>562</v>
      </c>
      <c r="I2287" t="s">
        <v>75</v>
      </c>
      <c r="J2287" t="s">
        <v>75</v>
      </c>
      <c r="K2287" t="s">
        <v>384</v>
      </c>
      <c r="M2287" t="b">
        <v>0</v>
      </c>
      <c r="N2287" t="s">
        <v>42</v>
      </c>
      <c r="O2287" t="s">
        <v>33</v>
      </c>
      <c r="Q2287">
        <v>167.4</v>
      </c>
      <c r="R2287">
        <v>3.7</v>
      </c>
      <c r="S2287" t="s">
        <v>563</v>
      </c>
      <c r="T2287">
        <v>51.3</v>
      </c>
      <c r="V2287">
        <v>115.4</v>
      </c>
      <c r="W2287">
        <v>75.7</v>
      </c>
      <c r="X2287">
        <v>14.2</v>
      </c>
      <c r="Y2287">
        <v>65.099999999999994</v>
      </c>
      <c r="Z2287">
        <v>212559417</v>
      </c>
      <c r="AA2287">
        <v>-14.235004</v>
      </c>
      <c r="AB2287">
        <v>-51.925280000000001</v>
      </c>
    </row>
    <row r="2288" spans="1:28" hidden="1">
      <c r="A2288">
        <v>2259</v>
      </c>
      <c r="B2288">
        <v>1200</v>
      </c>
      <c r="C2288" t="s">
        <v>75</v>
      </c>
      <c r="D2288" t="s">
        <v>4303</v>
      </c>
      <c r="E2288">
        <v>70</v>
      </c>
      <c r="G2288" t="s">
        <v>384</v>
      </c>
      <c r="H2288" t="s">
        <v>562</v>
      </c>
      <c r="I2288" t="s">
        <v>75</v>
      </c>
      <c r="J2288" t="s">
        <v>75</v>
      </c>
      <c r="K2288" t="s">
        <v>384</v>
      </c>
      <c r="M2288" t="b">
        <v>0</v>
      </c>
      <c r="N2288" t="s">
        <v>42</v>
      </c>
      <c r="O2288" t="s">
        <v>33</v>
      </c>
      <c r="Q2288">
        <v>167.4</v>
      </c>
      <c r="R2288">
        <v>3.7</v>
      </c>
      <c r="S2288" t="s">
        <v>563</v>
      </c>
      <c r="T2288">
        <v>51.3</v>
      </c>
      <c r="V2288">
        <v>115.4</v>
      </c>
      <c r="W2288">
        <v>75.7</v>
      </c>
      <c r="X2288">
        <v>14.2</v>
      </c>
      <c r="Y2288">
        <v>65.099999999999994</v>
      </c>
      <c r="Z2288">
        <v>212559417</v>
      </c>
      <c r="AA2288">
        <v>-14.235004</v>
      </c>
      <c r="AB2288">
        <v>-51.925280000000001</v>
      </c>
    </row>
    <row r="2289" spans="1:28" hidden="1">
      <c r="A2289">
        <v>2259</v>
      </c>
      <c r="B2289">
        <v>1200</v>
      </c>
      <c r="C2289" t="s">
        <v>217</v>
      </c>
      <c r="D2289" t="s">
        <v>4304</v>
      </c>
      <c r="E2289">
        <v>56</v>
      </c>
      <c r="G2289" t="s">
        <v>103</v>
      </c>
      <c r="H2289" t="s">
        <v>4305</v>
      </c>
      <c r="I2289" t="s">
        <v>280</v>
      </c>
      <c r="J2289" t="s">
        <v>217</v>
      </c>
      <c r="K2289" t="s">
        <v>103</v>
      </c>
      <c r="M2289" t="b">
        <v>1</v>
      </c>
      <c r="N2289" t="s">
        <v>42</v>
      </c>
      <c r="O2289" t="s">
        <v>33</v>
      </c>
      <c r="Q2289">
        <v>125.08</v>
      </c>
      <c r="R2289">
        <v>2.9</v>
      </c>
      <c r="S2289" t="s">
        <v>106</v>
      </c>
      <c r="T2289">
        <v>50.6</v>
      </c>
      <c r="V2289">
        <v>100.2</v>
      </c>
      <c r="W2289">
        <v>77</v>
      </c>
      <c r="X2289">
        <v>9.4</v>
      </c>
      <c r="Y2289">
        <v>59.2</v>
      </c>
      <c r="Z2289">
        <v>1397715000</v>
      </c>
      <c r="AA2289">
        <v>35.861660000000001</v>
      </c>
      <c r="AB2289">
        <v>104.195397</v>
      </c>
    </row>
    <row r="2290" spans="1:28" hidden="1">
      <c r="A2290">
        <v>2259</v>
      </c>
      <c r="B2290">
        <v>1200</v>
      </c>
      <c r="C2290" t="s">
        <v>217</v>
      </c>
      <c r="D2290" t="s">
        <v>4306</v>
      </c>
      <c r="E2290">
        <v>66</v>
      </c>
      <c r="G2290" t="s">
        <v>384</v>
      </c>
      <c r="H2290" t="s">
        <v>4267</v>
      </c>
      <c r="I2290" t="s">
        <v>4307</v>
      </c>
      <c r="J2290" t="s">
        <v>217</v>
      </c>
      <c r="K2290" t="s">
        <v>384</v>
      </c>
      <c r="M2290" t="b">
        <v>0</v>
      </c>
      <c r="N2290" t="s">
        <v>42</v>
      </c>
      <c r="O2290" t="s">
        <v>33</v>
      </c>
      <c r="Q2290">
        <v>167.4</v>
      </c>
      <c r="R2290">
        <v>3.7</v>
      </c>
      <c r="S2290" t="s">
        <v>563</v>
      </c>
      <c r="T2290">
        <v>51.3</v>
      </c>
      <c r="V2290">
        <v>115.4</v>
      </c>
      <c r="W2290">
        <v>75.7</v>
      </c>
      <c r="X2290">
        <v>14.2</v>
      </c>
      <c r="Y2290">
        <v>65.099999999999994</v>
      </c>
      <c r="Z2290">
        <v>212559417</v>
      </c>
      <c r="AA2290">
        <v>-14.235004</v>
      </c>
      <c r="AB2290">
        <v>-51.925280000000001</v>
      </c>
    </row>
    <row r="2291" spans="1:28" hidden="1">
      <c r="A2291">
        <v>2259</v>
      </c>
      <c r="B2291">
        <v>1200</v>
      </c>
      <c r="C2291" t="s">
        <v>217</v>
      </c>
      <c r="D2291" t="s">
        <v>4308</v>
      </c>
      <c r="E2291">
        <v>51</v>
      </c>
      <c r="G2291" t="s">
        <v>3736</v>
      </c>
      <c r="I2291" t="s">
        <v>217</v>
      </c>
      <c r="J2291" t="s">
        <v>217</v>
      </c>
      <c r="K2291" t="s">
        <v>3736</v>
      </c>
      <c r="M2291" t="b">
        <v>1</v>
      </c>
      <c r="N2291" t="s">
        <v>192</v>
      </c>
      <c r="O2291" t="s">
        <v>33</v>
      </c>
      <c r="Q2291">
        <v>121.64</v>
      </c>
      <c r="R2291">
        <v>3.3</v>
      </c>
      <c r="S2291" t="s">
        <v>3739</v>
      </c>
      <c r="T2291">
        <v>48.5</v>
      </c>
      <c r="V2291">
        <v>100.8</v>
      </c>
      <c r="W2291">
        <v>75.8</v>
      </c>
      <c r="X2291">
        <v>23</v>
      </c>
      <c r="Y2291">
        <v>37.9</v>
      </c>
      <c r="Z2291">
        <v>9769949</v>
      </c>
      <c r="AA2291">
        <v>47.162494000000002</v>
      </c>
      <c r="AB2291">
        <v>19.503304</v>
      </c>
    </row>
    <row r="2292" spans="1:28" hidden="1">
      <c r="A2292">
        <v>2259</v>
      </c>
      <c r="B2292">
        <v>1200</v>
      </c>
      <c r="C2292" t="s">
        <v>26</v>
      </c>
      <c r="D2292" t="s">
        <v>4309</v>
      </c>
      <c r="E2292">
        <v>30</v>
      </c>
      <c r="G2292" t="s">
        <v>203</v>
      </c>
      <c r="H2292" t="s">
        <v>2100</v>
      </c>
      <c r="I2292" t="s">
        <v>4310</v>
      </c>
      <c r="J2292" t="s">
        <v>26</v>
      </c>
      <c r="K2292" t="s">
        <v>203</v>
      </c>
      <c r="M2292" t="b">
        <v>1</v>
      </c>
      <c r="N2292" t="s">
        <v>192</v>
      </c>
      <c r="O2292" t="s">
        <v>33</v>
      </c>
      <c r="Q2292">
        <v>119.62</v>
      </c>
      <c r="R2292">
        <v>1.7</v>
      </c>
      <c r="S2292" t="s">
        <v>206</v>
      </c>
      <c r="T2292">
        <v>60</v>
      </c>
      <c r="V2292">
        <v>101.2</v>
      </c>
      <c r="W2292">
        <v>81.3</v>
      </c>
      <c r="X2292">
        <v>25.5</v>
      </c>
      <c r="Y2292">
        <v>30.6</v>
      </c>
      <c r="Z2292">
        <v>66834405</v>
      </c>
      <c r="AA2292">
        <v>55.378050999999999</v>
      </c>
      <c r="AB2292">
        <v>-3.4359730000000002</v>
      </c>
    </row>
    <row r="2293" spans="1:28" hidden="1">
      <c r="A2293">
        <v>2259</v>
      </c>
      <c r="B2293">
        <v>1200</v>
      </c>
      <c r="C2293" t="s">
        <v>26</v>
      </c>
      <c r="D2293" t="s">
        <v>4311</v>
      </c>
      <c r="E2293">
        <v>65</v>
      </c>
      <c r="G2293" t="s">
        <v>38</v>
      </c>
      <c r="H2293" t="s">
        <v>4312</v>
      </c>
      <c r="I2293" t="s">
        <v>4313</v>
      </c>
      <c r="J2293" t="s">
        <v>26</v>
      </c>
      <c r="K2293" t="s">
        <v>38</v>
      </c>
      <c r="M2293" t="b">
        <v>1</v>
      </c>
      <c r="N2293" t="s">
        <v>42</v>
      </c>
      <c r="O2293" t="s">
        <v>33</v>
      </c>
      <c r="Q2293">
        <v>117.24</v>
      </c>
      <c r="R2293">
        <v>7.5</v>
      </c>
      <c r="S2293" t="s">
        <v>44</v>
      </c>
      <c r="T2293">
        <v>88.2</v>
      </c>
      <c r="V2293">
        <v>101.8</v>
      </c>
      <c r="W2293">
        <v>78.5</v>
      </c>
      <c r="X2293">
        <v>9.6</v>
      </c>
      <c r="Y2293">
        <v>36.6</v>
      </c>
      <c r="Z2293">
        <v>328239523</v>
      </c>
      <c r="AA2293">
        <v>37.090240000000001</v>
      </c>
      <c r="AB2293">
        <v>-95.712890999999999</v>
      </c>
    </row>
    <row r="2294" spans="1:28" hidden="1">
      <c r="A2294">
        <v>2259</v>
      </c>
      <c r="B2294">
        <v>1200</v>
      </c>
      <c r="C2294" t="s">
        <v>236</v>
      </c>
      <c r="D2294" t="s">
        <v>4314</v>
      </c>
      <c r="E2294">
        <v>49</v>
      </c>
      <c r="G2294" t="s">
        <v>342</v>
      </c>
      <c r="H2294" t="s">
        <v>4315</v>
      </c>
      <c r="I2294" t="s">
        <v>240</v>
      </c>
      <c r="J2294" t="s">
        <v>236</v>
      </c>
      <c r="K2294" t="s">
        <v>342</v>
      </c>
      <c r="M2294" t="b">
        <v>0</v>
      </c>
      <c r="N2294" t="s">
        <v>419</v>
      </c>
      <c r="O2294" t="s">
        <v>33</v>
      </c>
      <c r="Q2294">
        <v>108.15</v>
      </c>
      <c r="R2294">
        <v>0.8</v>
      </c>
      <c r="S2294" t="s">
        <v>532</v>
      </c>
      <c r="T2294">
        <v>63.4</v>
      </c>
      <c r="V2294">
        <v>104.9</v>
      </c>
      <c r="W2294">
        <v>82.8</v>
      </c>
      <c r="X2294">
        <v>23.1</v>
      </c>
      <c r="Y2294">
        <v>25.3</v>
      </c>
      <c r="Z2294">
        <v>9053300</v>
      </c>
      <c r="AA2294">
        <v>31.046050999999999</v>
      </c>
      <c r="AB2294">
        <v>34.851612000000003</v>
      </c>
    </row>
    <row r="2295" spans="1:28" hidden="1">
      <c r="A2295">
        <v>2259</v>
      </c>
      <c r="B2295">
        <v>1200</v>
      </c>
      <c r="C2295" t="s">
        <v>217</v>
      </c>
      <c r="D2295" t="s">
        <v>4316</v>
      </c>
      <c r="E2295">
        <v>56</v>
      </c>
      <c r="G2295" t="s">
        <v>77</v>
      </c>
      <c r="H2295" t="s">
        <v>78</v>
      </c>
      <c r="I2295" t="s">
        <v>3959</v>
      </c>
      <c r="J2295" t="s">
        <v>217</v>
      </c>
      <c r="K2295" t="s">
        <v>77</v>
      </c>
      <c r="M2295" t="b">
        <v>1</v>
      </c>
      <c r="N2295" t="s">
        <v>42</v>
      </c>
      <c r="O2295" t="s">
        <v>33</v>
      </c>
      <c r="Q2295">
        <v>180.44</v>
      </c>
      <c r="R2295">
        <v>7.7</v>
      </c>
      <c r="S2295" t="s">
        <v>81</v>
      </c>
      <c r="T2295">
        <v>28.1</v>
      </c>
      <c r="V2295">
        <v>113</v>
      </c>
      <c r="W2295">
        <v>69.400000000000006</v>
      </c>
      <c r="X2295">
        <v>11.2</v>
      </c>
      <c r="Y2295">
        <v>49.7</v>
      </c>
      <c r="Z2295">
        <v>1366417754</v>
      </c>
      <c r="AA2295">
        <v>20.593684</v>
      </c>
      <c r="AB2295">
        <v>78.962879999999998</v>
      </c>
    </row>
    <row r="2296" spans="1:28" hidden="1">
      <c r="A2296">
        <v>2259</v>
      </c>
      <c r="B2296">
        <v>1200</v>
      </c>
      <c r="C2296" t="s">
        <v>54</v>
      </c>
      <c r="D2296" t="s">
        <v>4317</v>
      </c>
      <c r="E2296">
        <v>63</v>
      </c>
      <c r="G2296" t="s">
        <v>38</v>
      </c>
      <c r="H2296" t="s">
        <v>65</v>
      </c>
      <c r="I2296" t="s">
        <v>613</v>
      </c>
      <c r="J2296" t="s">
        <v>54</v>
      </c>
      <c r="K2296" t="s">
        <v>38</v>
      </c>
      <c r="M2296" t="b">
        <v>1</v>
      </c>
      <c r="N2296" t="s">
        <v>419</v>
      </c>
      <c r="O2296" t="s">
        <v>33</v>
      </c>
      <c r="P2296" t="s">
        <v>468</v>
      </c>
      <c r="Q2296">
        <v>117.24</v>
      </c>
      <c r="R2296">
        <v>7.5</v>
      </c>
      <c r="S2296" t="s">
        <v>44</v>
      </c>
      <c r="T2296">
        <v>88.2</v>
      </c>
      <c r="V2296">
        <v>101.8</v>
      </c>
      <c r="W2296">
        <v>78.5</v>
      </c>
      <c r="X2296">
        <v>9.6</v>
      </c>
      <c r="Y2296">
        <v>36.6</v>
      </c>
      <c r="Z2296">
        <v>328239523</v>
      </c>
      <c r="AA2296">
        <v>37.090240000000001</v>
      </c>
      <c r="AB2296">
        <v>-95.712890999999999</v>
      </c>
    </row>
    <row r="2297" spans="1:28" hidden="1">
      <c r="A2297">
        <v>2259</v>
      </c>
      <c r="B2297">
        <v>1200</v>
      </c>
      <c r="C2297" t="s">
        <v>217</v>
      </c>
      <c r="D2297" t="s">
        <v>4318</v>
      </c>
      <c r="E2297">
        <v>72</v>
      </c>
      <c r="G2297" t="s">
        <v>77</v>
      </c>
      <c r="H2297" t="s">
        <v>248</v>
      </c>
      <c r="I2297" t="s">
        <v>4319</v>
      </c>
      <c r="J2297" t="s">
        <v>217</v>
      </c>
      <c r="K2297" t="s">
        <v>77</v>
      </c>
      <c r="M2297" t="b">
        <v>1</v>
      </c>
      <c r="N2297" t="s">
        <v>192</v>
      </c>
      <c r="O2297" t="s">
        <v>88</v>
      </c>
      <c r="Q2297">
        <v>180.44</v>
      </c>
      <c r="R2297">
        <v>7.7</v>
      </c>
      <c r="S2297" t="s">
        <v>81</v>
      </c>
      <c r="T2297">
        <v>28.1</v>
      </c>
      <c r="V2297">
        <v>113</v>
      </c>
      <c r="W2297">
        <v>69.400000000000006</v>
      </c>
      <c r="X2297">
        <v>11.2</v>
      </c>
      <c r="Y2297">
        <v>49.7</v>
      </c>
      <c r="Z2297">
        <v>1366417754</v>
      </c>
      <c r="AA2297">
        <v>20.593684</v>
      </c>
      <c r="AB2297">
        <v>78.962879999999998</v>
      </c>
    </row>
    <row r="2298" spans="1:28" hidden="1">
      <c r="A2298">
        <v>2259</v>
      </c>
      <c r="B2298">
        <v>1200</v>
      </c>
      <c r="C2298" t="s">
        <v>45</v>
      </c>
      <c r="D2298" t="s">
        <v>4320</v>
      </c>
      <c r="E2298">
        <v>67</v>
      </c>
      <c r="G2298" t="s">
        <v>238</v>
      </c>
      <c r="H2298" t="s">
        <v>534</v>
      </c>
      <c r="I2298" t="s">
        <v>45</v>
      </c>
      <c r="J2298" t="s">
        <v>45</v>
      </c>
      <c r="K2298" t="s">
        <v>238</v>
      </c>
      <c r="M2298" t="b">
        <v>1</v>
      </c>
      <c r="N2298" t="s">
        <v>192</v>
      </c>
      <c r="O2298" t="s">
        <v>33</v>
      </c>
      <c r="Q2298">
        <v>119.8</v>
      </c>
      <c r="R2298">
        <v>1.6</v>
      </c>
      <c r="S2298" t="s">
        <v>243</v>
      </c>
      <c r="T2298">
        <v>113.1</v>
      </c>
      <c r="V2298">
        <v>100.3</v>
      </c>
      <c r="W2298">
        <v>82.7</v>
      </c>
      <c r="X2298">
        <v>23</v>
      </c>
      <c r="Y2298">
        <v>47.4</v>
      </c>
      <c r="Z2298">
        <v>25766605</v>
      </c>
      <c r="AA2298">
        <v>-25.274398000000001</v>
      </c>
      <c r="AB2298">
        <v>133.775136</v>
      </c>
    </row>
    <row r="2299" spans="1:28" hidden="1">
      <c r="A2299">
        <v>2259</v>
      </c>
      <c r="B2299">
        <v>1200</v>
      </c>
      <c r="C2299" t="s">
        <v>469</v>
      </c>
      <c r="D2299" t="s">
        <v>4321</v>
      </c>
      <c r="E2299">
        <v>42</v>
      </c>
      <c r="G2299" t="s">
        <v>203</v>
      </c>
      <c r="H2299" t="s">
        <v>204</v>
      </c>
      <c r="I2299" t="s">
        <v>876</v>
      </c>
      <c r="J2299" t="s">
        <v>469</v>
      </c>
      <c r="K2299" t="s">
        <v>2367</v>
      </c>
      <c r="M2299" t="b">
        <v>0</v>
      </c>
      <c r="N2299" t="s">
        <v>419</v>
      </c>
      <c r="O2299" t="s">
        <v>33</v>
      </c>
      <c r="Q2299">
        <v>119.62</v>
      </c>
      <c r="R2299">
        <v>1.7</v>
      </c>
      <c r="S2299" t="s">
        <v>206</v>
      </c>
      <c r="T2299">
        <v>60</v>
      </c>
      <c r="V2299">
        <v>101.2</v>
      </c>
      <c r="W2299">
        <v>81.3</v>
      </c>
      <c r="X2299">
        <v>25.5</v>
      </c>
      <c r="Y2299">
        <v>30.6</v>
      </c>
      <c r="Z2299">
        <v>66834405</v>
      </c>
      <c r="AA2299">
        <v>55.378050999999999</v>
      </c>
      <c r="AB2299">
        <v>-3.4359730000000002</v>
      </c>
    </row>
    <row r="2300" spans="1:28">
      <c r="A2300">
        <v>2259</v>
      </c>
      <c r="B2300">
        <v>1200</v>
      </c>
      <c r="C2300" t="s">
        <v>26</v>
      </c>
      <c r="D2300" t="s">
        <v>4322</v>
      </c>
      <c r="E2300">
        <v>75</v>
      </c>
      <c r="F2300" t="str">
        <f>IF(E2300&gt;=90,"90-100",IF(E2300&gt;=80,"80-90",IF(E2300&gt;=70,"70-80",IF(E2300&gt;=60,"60-70",IF(E2300&gt;=50,"50-60",IF(E2300&gt;=40,"40-50",IF(E2300&gt;=30,"30-40","20-30")))))))</f>
        <v>70-80</v>
      </c>
      <c r="G2300" t="s">
        <v>38</v>
      </c>
      <c r="H2300" t="s">
        <v>640</v>
      </c>
      <c r="I2300" t="s">
        <v>4323</v>
      </c>
      <c r="J2300" t="s">
        <v>26</v>
      </c>
      <c r="K2300" t="s">
        <v>38</v>
      </c>
      <c r="L2300" t="s">
        <v>4324</v>
      </c>
      <c r="M2300" t="b">
        <v>1</v>
      </c>
      <c r="N2300" t="s">
        <v>419</v>
      </c>
      <c r="O2300" t="s">
        <v>4867</v>
      </c>
      <c r="P2300" t="s">
        <v>4325</v>
      </c>
      <c r="Q2300">
        <v>117.24</v>
      </c>
      <c r="R2300">
        <v>7.5</v>
      </c>
      <c r="S2300" t="s">
        <v>44</v>
      </c>
      <c r="T2300">
        <v>88.2</v>
      </c>
      <c r="U2300" t="str">
        <f>IF(T2300&gt;=100,"above 100",IF(T2300&gt;=80,"80-100",IF(T2300&gt;=60,"60-80",IF(T2300&gt;=40,"40-60",IF(T2300&gt;=20,"20-60","0-20")))))</f>
        <v>80-100</v>
      </c>
      <c r="V2300">
        <v>101.8</v>
      </c>
      <c r="W2300">
        <v>78.5</v>
      </c>
      <c r="X2300">
        <v>9.6</v>
      </c>
      <c r="Y2300">
        <v>36.6</v>
      </c>
      <c r="Z2300">
        <v>328239523</v>
      </c>
      <c r="AA2300">
        <v>37.090240000000001</v>
      </c>
      <c r="AB2300">
        <v>-95.712890999999999</v>
      </c>
    </row>
    <row r="2301" spans="1:28" hidden="1">
      <c r="A2301">
        <v>2259</v>
      </c>
      <c r="B2301">
        <v>1200</v>
      </c>
      <c r="C2301" t="s">
        <v>54</v>
      </c>
      <c r="D2301" t="s">
        <v>4326</v>
      </c>
      <c r="E2301">
        <v>73</v>
      </c>
      <c r="G2301" t="s">
        <v>238</v>
      </c>
      <c r="H2301" t="s">
        <v>534</v>
      </c>
      <c r="I2301" t="s">
        <v>1466</v>
      </c>
      <c r="J2301" t="s">
        <v>54</v>
      </c>
      <c r="K2301" t="s">
        <v>238</v>
      </c>
      <c r="M2301" t="b">
        <v>1</v>
      </c>
      <c r="N2301" t="s">
        <v>419</v>
      </c>
      <c r="O2301" t="s">
        <v>33</v>
      </c>
      <c r="Q2301">
        <v>119.8</v>
      </c>
      <c r="R2301">
        <v>1.6</v>
      </c>
      <c r="S2301" t="s">
        <v>243</v>
      </c>
      <c r="T2301">
        <v>113.1</v>
      </c>
      <c r="V2301">
        <v>100.3</v>
      </c>
      <c r="W2301">
        <v>82.7</v>
      </c>
      <c r="X2301">
        <v>23</v>
      </c>
      <c r="Y2301">
        <v>47.4</v>
      </c>
      <c r="Z2301">
        <v>25766605</v>
      </c>
      <c r="AA2301">
        <v>-25.274398000000001</v>
      </c>
      <c r="AB2301">
        <v>133.775136</v>
      </c>
    </row>
    <row r="2302" spans="1:28">
      <c r="A2302">
        <v>2259</v>
      </c>
      <c r="B2302">
        <v>1200</v>
      </c>
      <c r="C2302" t="s">
        <v>45</v>
      </c>
      <c r="D2302" t="s">
        <v>4327</v>
      </c>
      <c r="E2302">
        <v>43</v>
      </c>
      <c r="F2302" t="str">
        <f>IF(E2302&gt;=90,"90-100",IF(E2302&gt;=80,"80-90",IF(E2302&gt;=70,"70-80",IF(E2302&gt;=60,"60-70",IF(E2302&gt;=50,"50-60",IF(E2302&gt;=40,"40-50",IF(E2302&gt;=30,"30-40","20-30")))))))</f>
        <v>40-50</v>
      </c>
      <c r="G2302" t="s">
        <v>38</v>
      </c>
      <c r="H2302" t="s">
        <v>269</v>
      </c>
      <c r="I2302" t="s">
        <v>572</v>
      </c>
      <c r="J2302" t="s">
        <v>45</v>
      </c>
      <c r="K2302" t="s">
        <v>38</v>
      </c>
      <c r="L2302" t="s">
        <v>4328</v>
      </c>
      <c r="M2302" t="b">
        <v>1</v>
      </c>
      <c r="N2302" t="s">
        <v>42</v>
      </c>
      <c r="O2302" t="s">
        <v>4867</v>
      </c>
      <c r="P2302" t="s">
        <v>43</v>
      </c>
      <c r="Q2302">
        <v>117.24</v>
      </c>
      <c r="R2302">
        <v>7.5</v>
      </c>
      <c r="S2302" t="s">
        <v>44</v>
      </c>
      <c r="T2302">
        <v>88.2</v>
      </c>
      <c r="U2302" t="str">
        <f>IF(T2302&gt;=100,"above 100",IF(T2302&gt;=80,"80-100",IF(T2302&gt;=60,"60-80",IF(T2302&gt;=40,"40-60",IF(T2302&gt;=20,"20-60","0-20")))))</f>
        <v>80-100</v>
      </c>
      <c r="V2302">
        <v>101.8</v>
      </c>
      <c r="W2302">
        <v>78.5</v>
      </c>
      <c r="X2302">
        <v>9.6</v>
      </c>
      <c r="Y2302">
        <v>36.6</v>
      </c>
      <c r="Z2302">
        <v>328239523</v>
      </c>
      <c r="AA2302">
        <v>37.090240000000001</v>
      </c>
      <c r="AB2302">
        <v>-95.712890999999999</v>
      </c>
    </row>
    <row r="2303" spans="1:28" hidden="1">
      <c r="A2303">
        <v>2259</v>
      </c>
      <c r="B2303">
        <v>1200</v>
      </c>
      <c r="C2303" t="s">
        <v>179</v>
      </c>
      <c r="D2303" t="s">
        <v>4329</v>
      </c>
      <c r="E2303">
        <v>46</v>
      </c>
      <c r="G2303" t="s">
        <v>172</v>
      </c>
      <c r="H2303" t="s">
        <v>172</v>
      </c>
      <c r="I2303" t="s">
        <v>182</v>
      </c>
      <c r="J2303" t="s">
        <v>179</v>
      </c>
      <c r="K2303" t="s">
        <v>172</v>
      </c>
      <c r="M2303" t="b">
        <v>0</v>
      </c>
      <c r="N2303" t="s">
        <v>853</v>
      </c>
      <c r="O2303" t="s">
        <v>33</v>
      </c>
    </row>
    <row r="2304" spans="1:28" hidden="1">
      <c r="A2304">
        <v>2259</v>
      </c>
      <c r="B2304">
        <v>1200</v>
      </c>
      <c r="C2304" t="s">
        <v>26</v>
      </c>
      <c r="D2304" t="s">
        <v>4330</v>
      </c>
      <c r="E2304">
        <v>58</v>
      </c>
      <c r="G2304" t="s">
        <v>103</v>
      </c>
      <c r="H2304" t="s">
        <v>633</v>
      </c>
      <c r="I2304" t="s">
        <v>867</v>
      </c>
      <c r="J2304" t="s">
        <v>26</v>
      </c>
      <c r="K2304" t="s">
        <v>103</v>
      </c>
      <c r="M2304" t="b">
        <v>1</v>
      </c>
      <c r="N2304" t="s">
        <v>42</v>
      </c>
      <c r="O2304" t="s">
        <v>33</v>
      </c>
      <c r="Q2304">
        <v>125.08</v>
      </c>
      <c r="R2304">
        <v>2.9</v>
      </c>
      <c r="S2304" t="s">
        <v>106</v>
      </c>
      <c r="T2304">
        <v>50.6</v>
      </c>
      <c r="V2304">
        <v>100.2</v>
      </c>
      <c r="W2304">
        <v>77</v>
      </c>
      <c r="X2304">
        <v>9.4</v>
      </c>
      <c r="Y2304">
        <v>59.2</v>
      </c>
      <c r="Z2304">
        <v>1397715000</v>
      </c>
      <c r="AA2304">
        <v>35.861660000000001</v>
      </c>
      <c r="AB2304">
        <v>104.195397</v>
      </c>
    </row>
    <row r="2305" spans="1:28" hidden="1">
      <c r="A2305">
        <v>2259</v>
      </c>
      <c r="B2305">
        <v>1200</v>
      </c>
      <c r="C2305" t="s">
        <v>45</v>
      </c>
      <c r="D2305" t="s">
        <v>4331</v>
      </c>
      <c r="E2305">
        <v>68</v>
      </c>
      <c r="G2305" t="s">
        <v>238</v>
      </c>
      <c r="H2305" t="s">
        <v>534</v>
      </c>
      <c r="I2305" t="s">
        <v>45</v>
      </c>
      <c r="J2305" t="s">
        <v>45</v>
      </c>
      <c r="K2305" t="s">
        <v>238</v>
      </c>
      <c r="M2305" t="b">
        <v>1</v>
      </c>
      <c r="N2305" t="s">
        <v>192</v>
      </c>
      <c r="O2305" t="s">
        <v>33</v>
      </c>
      <c r="Q2305">
        <v>119.8</v>
      </c>
      <c r="R2305">
        <v>1.6</v>
      </c>
      <c r="S2305" t="s">
        <v>243</v>
      </c>
      <c r="T2305">
        <v>113.1</v>
      </c>
      <c r="V2305">
        <v>100.3</v>
      </c>
      <c r="W2305">
        <v>82.7</v>
      </c>
      <c r="X2305">
        <v>23</v>
      </c>
      <c r="Y2305">
        <v>47.4</v>
      </c>
      <c r="Z2305">
        <v>25766605</v>
      </c>
      <c r="AA2305">
        <v>-25.274398000000001</v>
      </c>
      <c r="AB2305">
        <v>133.775136</v>
      </c>
    </row>
    <row r="2306" spans="1:28">
      <c r="A2306">
        <v>2259</v>
      </c>
      <c r="B2306">
        <v>1200</v>
      </c>
      <c r="C2306" t="s">
        <v>68</v>
      </c>
      <c r="D2306" t="s">
        <v>4332</v>
      </c>
      <c r="E2306">
        <v>76</v>
      </c>
      <c r="F2306" t="str">
        <f>IF(E2306&gt;=90,"90-100",IF(E2306&gt;=80,"80-90",IF(E2306&gt;=70,"70-80",IF(E2306&gt;=60,"60-70",IF(E2306&gt;=50,"50-60",IF(E2306&gt;=40,"40-50",IF(E2306&gt;=30,"30-40","20-30")))))))</f>
        <v>70-80</v>
      </c>
      <c r="G2306" t="s">
        <v>203</v>
      </c>
      <c r="H2306" t="s">
        <v>204</v>
      </c>
      <c r="I2306" t="s">
        <v>4333</v>
      </c>
      <c r="J2306" t="s">
        <v>68</v>
      </c>
      <c r="K2306" t="s">
        <v>203</v>
      </c>
      <c r="L2306" t="s">
        <v>4334</v>
      </c>
      <c r="M2306" t="b">
        <v>1</v>
      </c>
      <c r="N2306" t="s">
        <v>419</v>
      </c>
      <c r="O2306" t="s">
        <v>4867</v>
      </c>
      <c r="P2306" t="s">
        <v>146</v>
      </c>
      <c r="Q2306">
        <v>119.62</v>
      </c>
      <c r="R2306">
        <v>1.7</v>
      </c>
      <c r="S2306" t="s">
        <v>206</v>
      </c>
      <c r="T2306">
        <v>60</v>
      </c>
      <c r="U2306" t="str">
        <f>IF(T2306&gt;=100,"above 100",IF(T2306&gt;=80,"80-100",IF(T2306&gt;=60,"60-80",IF(T2306&gt;=40,"40-60",IF(T2306&gt;=20,"20-60","0-20")))))</f>
        <v>60-80</v>
      </c>
      <c r="V2306">
        <v>101.2</v>
      </c>
      <c r="W2306">
        <v>81.3</v>
      </c>
      <c r="X2306">
        <v>25.5</v>
      </c>
      <c r="Y2306">
        <v>30.6</v>
      </c>
      <c r="Z2306">
        <v>66834405</v>
      </c>
      <c r="AA2306">
        <v>55.378050999999999</v>
      </c>
      <c r="AB2306">
        <v>-3.4359730000000002</v>
      </c>
    </row>
    <row r="2307" spans="1:28" hidden="1">
      <c r="A2307">
        <v>2259</v>
      </c>
      <c r="B2307">
        <v>1200</v>
      </c>
      <c r="C2307" t="s">
        <v>101</v>
      </c>
      <c r="D2307" t="s">
        <v>4335</v>
      </c>
      <c r="E2307">
        <v>66</v>
      </c>
      <c r="G2307" t="s">
        <v>810</v>
      </c>
      <c r="H2307" t="s">
        <v>3253</v>
      </c>
      <c r="I2307" t="s">
        <v>4336</v>
      </c>
      <c r="J2307" t="s">
        <v>101</v>
      </c>
      <c r="K2307" t="s">
        <v>810</v>
      </c>
      <c r="M2307" t="b">
        <v>0</v>
      </c>
      <c r="N2307" t="s">
        <v>419</v>
      </c>
      <c r="O2307" t="s">
        <v>88</v>
      </c>
    </row>
    <row r="2308" spans="1:28" hidden="1">
      <c r="A2308">
        <v>2259</v>
      </c>
      <c r="B2308">
        <v>1200</v>
      </c>
      <c r="C2308" t="s">
        <v>54</v>
      </c>
      <c r="D2308" t="s">
        <v>4337</v>
      </c>
      <c r="E2308">
        <v>55</v>
      </c>
      <c r="G2308" t="s">
        <v>38</v>
      </c>
      <c r="H2308" t="s">
        <v>635</v>
      </c>
      <c r="I2308" t="s">
        <v>1152</v>
      </c>
      <c r="J2308" t="s">
        <v>54</v>
      </c>
      <c r="K2308" t="s">
        <v>38</v>
      </c>
      <c r="M2308" t="b">
        <v>1</v>
      </c>
      <c r="N2308" t="s">
        <v>192</v>
      </c>
      <c r="O2308" t="s">
        <v>33</v>
      </c>
      <c r="Q2308">
        <v>117.24</v>
      </c>
      <c r="R2308">
        <v>7.5</v>
      </c>
      <c r="S2308" t="s">
        <v>44</v>
      </c>
      <c r="T2308">
        <v>88.2</v>
      </c>
      <c r="V2308">
        <v>101.8</v>
      </c>
      <c r="W2308">
        <v>78.5</v>
      </c>
      <c r="X2308">
        <v>9.6</v>
      </c>
      <c r="Y2308">
        <v>36.6</v>
      </c>
      <c r="Z2308">
        <v>328239523</v>
      </c>
      <c r="AA2308">
        <v>37.090240000000001</v>
      </c>
      <c r="AB2308">
        <v>-95.712890999999999</v>
      </c>
    </row>
    <row r="2309" spans="1:28" hidden="1">
      <c r="A2309">
        <v>2259</v>
      </c>
      <c r="B2309">
        <v>1200</v>
      </c>
      <c r="C2309" t="s">
        <v>26</v>
      </c>
      <c r="D2309" t="s">
        <v>4338</v>
      </c>
      <c r="E2309">
        <v>42</v>
      </c>
      <c r="G2309" t="s">
        <v>38</v>
      </c>
      <c r="H2309" t="s">
        <v>4339</v>
      </c>
      <c r="I2309" t="s">
        <v>4340</v>
      </c>
      <c r="J2309" t="s">
        <v>26</v>
      </c>
      <c r="K2309" t="s">
        <v>38</v>
      </c>
      <c r="M2309" t="b">
        <v>1</v>
      </c>
      <c r="N2309" t="s">
        <v>42</v>
      </c>
      <c r="O2309" t="s">
        <v>88</v>
      </c>
      <c r="P2309" t="s">
        <v>4341</v>
      </c>
      <c r="Q2309">
        <v>117.24</v>
      </c>
      <c r="R2309">
        <v>7.5</v>
      </c>
      <c r="S2309" t="s">
        <v>44</v>
      </c>
      <c r="T2309">
        <v>88.2</v>
      </c>
      <c r="V2309">
        <v>101.8</v>
      </c>
      <c r="W2309">
        <v>78.5</v>
      </c>
      <c r="X2309">
        <v>9.6</v>
      </c>
      <c r="Y2309">
        <v>36.6</v>
      </c>
      <c r="Z2309">
        <v>328239523</v>
      </c>
      <c r="AA2309">
        <v>37.090240000000001</v>
      </c>
      <c r="AB2309">
        <v>-95.712890999999999</v>
      </c>
    </row>
    <row r="2310" spans="1:28" hidden="1">
      <c r="A2310">
        <v>2259</v>
      </c>
      <c r="B2310">
        <v>1200</v>
      </c>
      <c r="C2310" t="s">
        <v>217</v>
      </c>
      <c r="D2310" t="s">
        <v>4342</v>
      </c>
      <c r="E2310">
        <v>57</v>
      </c>
      <c r="G2310" t="s">
        <v>103</v>
      </c>
      <c r="H2310" t="s">
        <v>215</v>
      </c>
      <c r="I2310" t="s">
        <v>506</v>
      </c>
      <c r="J2310" t="s">
        <v>217</v>
      </c>
      <c r="K2310" t="s">
        <v>103</v>
      </c>
      <c r="M2310" t="b">
        <v>1</v>
      </c>
      <c r="N2310" t="s">
        <v>32</v>
      </c>
      <c r="O2310" t="s">
        <v>33</v>
      </c>
      <c r="Q2310">
        <v>125.08</v>
      </c>
      <c r="R2310">
        <v>2.9</v>
      </c>
      <c r="S2310" t="s">
        <v>106</v>
      </c>
      <c r="T2310">
        <v>50.6</v>
      </c>
      <c r="V2310">
        <v>100.2</v>
      </c>
      <c r="W2310">
        <v>77</v>
      </c>
      <c r="X2310">
        <v>9.4</v>
      </c>
      <c r="Y2310">
        <v>59.2</v>
      </c>
      <c r="Z2310">
        <v>1397715000</v>
      </c>
      <c r="AA2310">
        <v>35.861660000000001</v>
      </c>
      <c r="AB2310">
        <v>104.195397</v>
      </c>
    </row>
    <row r="2311" spans="1:28" hidden="1">
      <c r="A2311">
        <v>2259</v>
      </c>
      <c r="B2311">
        <v>1200</v>
      </c>
      <c r="C2311" t="s">
        <v>288</v>
      </c>
      <c r="D2311" t="s">
        <v>4343</v>
      </c>
      <c r="E2311">
        <v>56</v>
      </c>
      <c r="G2311" t="s">
        <v>103</v>
      </c>
      <c r="H2311" t="s">
        <v>489</v>
      </c>
      <c r="I2311" t="s">
        <v>2549</v>
      </c>
      <c r="J2311" t="s">
        <v>288</v>
      </c>
      <c r="K2311" t="s">
        <v>103</v>
      </c>
      <c r="M2311" t="b">
        <v>1</v>
      </c>
      <c r="N2311" t="s">
        <v>32</v>
      </c>
      <c r="O2311" t="s">
        <v>33</v>
      </c>
      <c r="Q2311">
        <v>125.08</v>
      </c>
      <c r="R2311">
        <v>2.9</v>
      </c>
      <c r="S2311" t="s">
        <v>106</v>
      </c>
      <c r="T2311">
        <v>50.6</v>
      </c>
      <c r="V2311">
        <v>100.2</v>
      </c>
      <c r="W2311">
        <v>77</v>
      </c>
      <c r="X2311">
        <v>9.4</v>
      </c>
      <c r="Y2311">
        <v>59.2</v>
      </c>
      <c r="Z2311">
        <v>1397715000</v>
      </c>
      <c r="AA2311">
        <v>35.861660000000001</v>
      </c>
      <c r="AB2311">
        <v>104.195397</v>
      </c>
    </row>
    <row r="2312" spans="1:28" hidden="1">
      <c r="A2312">
        <v>2259</v>
      </c>
      <c r="B2312">
        <v>1200</v>
      </c>
      <c r="C2312" t="s">
        <v>221</v>
      </c>
      <c r="D2312" t="s">
        <v>4344</v>
      </c>
      <c r="E2312">
        <v>55</v>
      </c>
      <c r="G2312" t="s">
        <v>263</v>
      </c>
      <c r="H2312" t="s">
        <v>274</v>
      </c>
      <c r="I2312" t="s">
        <v>223</v>
      </c>
      <c r="J2312" t="s">
        <v>221</v>
      </c>
      <c r="K2312" t="s">
        <v>263</v>
      </c>
      <c r="M2312" t="b">
        <v>1</v>
      </c>
      <c r="N2312" t="s">
        <v>853</v>
      </c>
      <c r="O2312" t="s">
        <v>33</v>
      </c>
      <c r="Q2312">
        <v>180.75</v>
      </c>
      <c r="R2312">
        <v>4.5</v>
      </c>
      <c r="S2312" t="s">
        <v>276</v>
      </c>
      <c r="T2312">
        <v>81.900000000000006</v>
      </c>
      <c r="V2312">
        <v>102.6</v>
      </c>
      <c r="W2312">
        <v>72.7</v>
      </c>
      <c r="X2312">
        <v>11.4</v>
      </c>
      <c r="Y2312">
        <v>46.2</v>
      </c>
      <c r="Z2312">
        <v>144373535</v>
      </c>
      <c r="AA2312">
        <v>61.524009999999997</v>
      </c>
      <c r="AB2312">
        <v>105.31875599999999</v>
      </c>
    </row>
    <row r="2313" spans="1:28" hidden="1">
      <c r="A2313">
        <v>2259</v>
      </c>
      <c r="B2313">
        <v>1200</v>
      </c>
      <c r="C2313" t="s">
        <v>217</v>
      </c>
      <c r="D2313" t="s">
        <v>4345</v>
      </c>
      <c r="G2313" t="s">
        <v>148</v>
      </c>
      <c r="H2313" t="s">
        <v>2186</v>
      </c>
      <c r="I2313" t="s">
        <v>2394</v>
      </c>
      <c r="J2313" t="s">
        <v>217</v>
      </c>
      <c r="K2313" t="s">
        <v>148</v>
      </c>
      <c r="M2313" t="b">
        <v>0</v>
      </c>
      <c r="N2313" t="s">
        <v>42</v>
      </c>
      <c r="O2313" t="s">
        <v>88</v>
      </c>
      <c r="Q2313">
        <v>112.85</v>
      </c>
      <c r="R2313">
        <v>1.4</v>
      </c>
      <c r="S2313" t="s">
        <v>151</v>
      </c>
      <c r="T2313">
        <v>70.2</v>
      </c>
      <c r="V2313">
        <v>104</v>
      </c>
      <c r="W2313">
        <v>80.900000000000006</v>
      </c>
      <c r="X2313">
        <v>11.5</v>
      </c>
      <c r="Y2313">
        <v>48.8</v>
      </c>
      <c r="Z2313">
        <v>83132799</v>
      </c>
      <c r="AA2313">
        <v>51.165691000000002</v>
      </c>
      <c r="AB2313">
        <v>10.451525999999999</v>
      </c>
    </row>
    <row r="2314" spans="1:28" hidden="1">
      <c r="A2314">
        <v>2259</v>
      </c>
      <c r="B2314">
        <v>1200</v>
      </c>
      <c r="C2314" t="s">
        <v>217</v>
      </c>
      <c r="D2314" t="s">
        <v>4346</v>
      </c>
      <c r="G2314" t="s">
        <v>148</v>
      </c>
      <c r="H2314" t="s">
        <v>4347</v>
      </c>
      <c r="I2314" t="s">
        <v>2394</v>
      </c>
      <c r="J2314" t="s">
        <v>217</v>
      </c>
      <c r="K2314" t="s">
        <v>148</v>
      </c>
      <c r="M2314" t="b">
        <v>0</v>
      </c>
      <c r="N2314" t="s">
        <v>42</v>
      </c>
      <c r="O2314" t="s">
        <v>33</v>
      </c>
      <c r="Q2314">
        <v>112.85</v>
      </c>
      <c r="R2314">
        <v>1.4</v>
      </c>
      <c r="S2314" t="s">
        <v>151</v>
      </c>
      <c r="T2314">
        <v>70.2</v>
      </c>
      <c r="V2314">
        <v>104</v>
      </c>
      <c r="W2314">
        <v>80.900000000000006</v>
      </c>
      <c r="X2314">
        <v>11.5</v>
      </c>
      <c r="Y2314">
        <v>48.8</v>
      </c>
      <c r="Z2314">
        <v>83132799</v>
      </c>
      <c r="AA2314">
        <v>51.165691000000002</v>
      </c>
      <c r="AB2314">
        <v>10.451525999999999</v>
      </c>
    </row>
    <row r="2315" spans="1:28" hidden="1">
      <c r="A2315">
        <v>2259</v>
      </c>
      <c r="B2315">
        <v>1200</v>
      </c>
      <c r="C2315" t="s">
        <v>36</v>
      </c>
      <c r="D2315" t="s">
        <v>4348</v>
      </c>
      <c r="E2315">
        <v>86</v>
      </c>
      <c r="G2315" t="s">
        <v>77</v>
      </c>
      <c r="H2315" t="s">
        <v>2709</v>
      </c>
      <c r="I2315" t="s">
        <v>506</v>
      </c>
      <c r="J2315" t="s">
        <v>36</v>
      </c>
      <c r="K2315" t="s">
        <v>77</v>
      </c>
      <c r="M2315" t="b">
        <v>0</v>
      </c>
      <c r="N2315" t="s">
        <v>32</v>
      </c>
      <c r="O2315" t="s">
        <v>33</v>
      </c>
      <c r="Q2315">
        <v>180.44</v>
      </c>
      <c r="R2315">
        <v>7.7</v>
      </c>
      <c r="S2315" t="s">
        <v>81</v>
      </c>
      <c r="T2315">
        <v>28.1</v>
      </c>
      <c r="V2315">
        <v>113</v>
      </c>
      <c r="W2315">
        <v>69.400000000000006</v>
      </c>
      <c r="X2315">
        <v>11.2</v>
      </c>
      <c r="Y2315">
        <v>49.7</v>
      </c>
      <c r="Z2315">
        <v>1366417754</v>
      </c>
      <c r="AA2315">
        <v>20.593684</v>
      </c>
      <c r="AB2315">
        <v>78.962879999999998</v>
      </c>
    </row>
    <row r="2316" spans="1:28">
      <c r="A2316">
        <v>2259</v>
      </c>
      <c r="B2316">
        <v>1200</v>
      </c>
      <c r="C2316" t="s">
        <v>63</v>
      </c>
      <c r="D2316" t="s">
        <v>4349</v>
      </c>
      <c r="E2316">
        <v>63</v>
      </c>
      <c r="F2316" t="str">
        <f>IF(E2316&gt;=90,"90-100",IF(E2316&gt;=80,"80-90",IF(E2316&gt;=70,"70-80",IF(E2316&gt;=60,"60-70",IF(E2316&gt;=50,"50-60",IF(E2316&gt;=40,"40-50",IF(E2316&gt;=30,"30-40","20-30")))))))</f>
        <v>60-70</v>
      </c>
      <c r="G2316" t="s">
        <v>127</v>
      </c>
      <c r="H2316" t="s">
        <v>1129</v>
      </c>
      <c r="I2316" t="s">
        <v>4350</v>
      </c>
      <c r="J2316" t="s">
        <v>63</v>
      </c>
      <c r="K2316" t="s">
        <v>127</v>
      </c>
      <c r="L2316" t="s">
        <v>4350</v>
      </c>
      <c r="M2316" t="b">
        <v>1</v>
      </c>
      <c r="N2316" t="s">
        <v>419</v>
      </c>
      <c r="O2316" t="s">
        <v>4867</v>
      </c>
      <c r="P2316" t="s">
        <v>1742</v>
      </c>
      <c r="Q2316">
        <v>116.76</v>
      </c>
      <c r="R2316">
        <v>1.9</v>
      </c>
      <c r="S2316" t="s">
        <v>132</v>
      </c>
      <c r="T2316">
        <v>68.900000000000006</v>
      </c>
      <c r="U2316" t="str">
        <f>IF(T2316&gt;=100,"above 100",IF(T2316&gt;=80,"80-100",IF(T2316&gt;=60,"60-80",IF(T2316&gt;=40,"40-60",IF(T2316&gt;=20,"20-60","0-20")))))</f>
        <v>60-80</v>
      </c>
      <c r="V2316">
        <v>100.9</v>
      </c>
      <c r="W2316">
        <v>81.900000000000006</v>
      </c>
      <c r="X2316">
        <v>12.8</v>
      </c>
      <c r="Y2316">
        <v>24.5</v>
      </c>
      <c r="Z2316">
        <v>36991981</v>
      </c>
      <c r="AA2316">
        <v>56.130366000000002</v>
      </c>
      <c r="AB2316">
        <v>-106.346771</v>
      </c>
    </row>
    <row r="2317" spans="1:28" hidden="1">
      <c r="A2317">
        <v>2259</v>
      </c>
      <c r="B2317">
        <v>1200</v>
      </c>
      <c r="C2317" t="s">
        <v>45</v>
      </c>
      <c r="D2317" t="s">
        <v>4351</v>
      </c>
      <c r="E2317">
        <v>45</v>
      </c>
      <c r="G2317" t="s">
        <v>611</v>
      </c>
      <c r="I2317" t="s">
        <v>4352</v>
      </c>
      <c r="J2317" t="s">
        <v>45</v>
      </c>
      <c r="K2317" t="s">
        <v>611</v>
      </c>
      <c r="M2317" t="b">
        <v>1</v>
      </c>
      <c r="N2317" t="s">
        <v>192</v>
      </c>
      <c r="O2317" t="s">
        <v>33</v>
      </c>
      <c r="Q2317">
        <v>115.16</v>
      </c>
      <c r="R2317">
        <v>0.4</v>
      </c>
      <c r="S2317" t="s">
        <v>615</v>
      </c>
      <c r="T2317">
        <v>94.3</v>
      </c>
      <c r="V2317">
        <v>98.1</v>
      </c>
      <c r="W2317">
        <v>82.6</v>
      </c>
      <c r="X2317">
        <v>15.6</v>
      </c>
      <c r="Y2317">
        <v>33.200000000000003</v>
      </c>
      <c r="Z2317">
        <v>51709098</v>
      </c>
      <c r="AA2317">
        <v>35.907756999999997</v>
      </c>
      <c r="AB2317">
        <v>127.76692199999999</v>
      </c>
    </row>
    <row r="2318" spans="1:28" hidden="1">
      <c r="A2318">
        <v>2259</v>
      </c>
      <c r="B2318">
        <v>1200</v>
      </c>
      <c r="C2318" t="s">
        <v>217</v>
      </c>
      <c r="D2318" t="s">
        <v>4353</v>
      </c>
      <c r="E2318">
        <v>53</v>
      </c>
      <c r="G2318" t="s">
        <v>103</v>
      </c>
      <c r="H2318" t="s">
        <v>104</v>
      </c>
      <c r="I2318" t="s">
        <v>4354</v>
      </c>
      <c r="J2318" t="s">
        <v>217</v>
      </c>
      <c r="K2318" t="s">
        <v>103</v>
      </c>
      <c r="M2318" t="b">
        <v>1</v>
      </c>
      <c r="N2318" t="s">
        <v>42</v>
      </c>
      <c r="O2318" t="s">
        <v>33</v>
      </c>
      <c r="Q2318">
        <v>125.08</v>
      </c>
      <c r="R2318">
        <v>2.9</v>
      </c>
      <c r="S2318" t="s">
        <v>106</v>
      </c>
      <c r="T2318">
        <v>50.6</v>
      </c>
      <c r="V2318">
        <v>100.2</v>
      </c>
      <c r="W2318">
        <v>77</v>
      </c>
      <c r="X2318">
        <v>9.4</v>
      </c>
      <c r="Y2318">
        <v>59.2</v>
      </c>
      <c r="Z2318">
        <v>1397715000</v>
      </c>
      <c r="AA2318">
        <v>35.861660000000001</v>
      </c>
      <c r="AB2318">
        <v>104.195397</v>
      </c>
    </row>
    <row r="2319" spans="1:28" hidden="1">
      <c r="A2319">
        <v>2259</v>
      </c>
      <c r="B2319">
        <v>1200</v>
      </c>
      <c r="C2319" t="s">
        <v>288</v>
      </c>
      <c r="D2319" t="s">
        <v>2303</v>
      </c>
      <c r="E2319">
        <v>59</v>
      </c>
      <c r="G2319" t="s">
        <v>103</v>
      </c>
      <c r="H2319" t="s">
        <v>176</v>
      </c>
      <c r="I2319" t="s">
        <v>418</v>
      </c>
      <c r="J2319" t="s">
        <v>288</v>
      </c>
      <c r="K2319" t="s">
        <v>103</v>
      </c>
      <c r="M2319" t="b">
        <v>1</v>
      </c>
      <c r="N2319" t="s">
        <v>42</v>
      </c>
      <c r="O2319" t="s">
        <v>33</v>
      </c>
      <c r="Q2319">
        <v>125.08</v>
      </c>
      <c r="R2319">
        <v>2.9</v>
      </c>
      <c r="S2319" t="s">
        <v>106</v>
      </c>
      <c r="T2319">
        <v>50.6</v>
      </c>
      <c r="V2319">
        <v>100.2</v>
      </c>
      <c r="W2319">
        <v>77</v>
      </c>
      <c r="X2319">
        <v>9.4</v>
      </c>
      <c r="Y2319">
        <v>59.2</v>
      </c>
      <c r="Z2319">
        <v>1397715000</v>
      </c>
      <c r="AA2319">
        <v>35.861660000000001</v>
      </c>
      <c r="AB2319">
        <v>104.195397</v>
      </c>
    </row>
    <row r="2320" spans="1:28" hidden="1">
      <c r="A2320">
        <v>2259</v>
      </c>
      <c r="B2320">
        <v>1200</v>
      </c>
      <c r="C2320" t="s">
        <v>288</v>
      </c>
      <c r="D2320" t="s">
        <v>4355</v>
      </c>
      <c r="E2320">
        <v>43</v>
      </c>
      <c r="G2320" t="s">
        <v>103</v>
      </c>
      <c r="H2320" t="s">
        <v>143</v>
      </c>
      <c r="I2320" t="s">
        <v>4356</v>
      </c>
      <c r="J2320" t="s">
        <v>288</v>
      </c>
      <c r="K2320" t="s">
        <v>103</v>
      </c>
      <c r="M2320" t="b">
        <v>1</v>
      </c>
      <c r="N2320" t="s">
        <v>42</v>
      </c>
      <c r="O2320" t="s">
        <v>33</v>
      </c>
      <c r="Q2320">
        <v>125.08</v>
      </c>
      <c r="R2320">
        <v>2.9</v>
      </c>
      <c r="S2320" t="s">
        <v>106</v>
      </c>
      <c r="T2320">
        <v>50.6</v>
      </c>
      <c r="V2320">
        <v>100.2</v>
      </c>
      <c r="W2320">
        <v>77</v>
      </c>
      <c r="X2320">
        <v>9.4</v>
      </c>
      <c r="Y2320">
        <v>59.2</v>
      </c>
      <c r="Z2320">
        <v>1397715000</v>
      </c>
      <c r="AA2320">
        <v>35.861660000000001</v>
      </c>
      <c r="AB2320">
        <v>104.195397</v>
      </c>
    </row>
    <row r="2321" spans="1:28" hidden="1">
      <c r="A2321">
        <v>2259</v>
      </c>
      <c r="B2321">
        <v>1200</v>
      </c>
      <c r="C2321" t="s">
        <v>217</v>
      </c>
      <c r="D2321" t="s">
        <v>4357</v>
      </c>
      <c r="E2321">
        <v>59</v>
      </c>
      <c r="G2321" t="s">
        <v>103</v>
      </c>
      <c r="H2321" t="s">
        <v>837</v>
      </c>
      <c r="I2321" t="s">
        <v>965</v>
      </c>
      <c r="J2321" t="s">
        <v>217</v>
      </c>
      <c r="K2321" t="s">
        <v>103</v>
      </c>
      <c r="M2321" t="b">
        <v>1</v>
      </c>
      <c r="N2321" t="s">
        <v>42</v>
      </c>
      <c r="O2321" t="s">
        <v>33</v>
      </c>
      <c r="Q2321">
        <v>125.08</v>
      </c>
      <c r="R2321">
        <v>2.9</v>
      </c>
      <c r="S2321" t="s">
        <v>106</v>
      </c>
      <c r="T2321">
        <v>50.6</v>
      </c>
      <c r="V2321">
        <v>100.2</v>
      </c>
      <c r="W2321">
        <v>77</v>
      </c>
      <c r="X2321">
        <v>9.4</v>
      </c>
      <c r="Y2321">
        <v>59.2</v>
      </c>
      <c r="Z2321">
        <v>1397715000</v>
      </c>
      <c r="AA2321">
        <v>35.861660000000001</v>
      </c>
      <c r="AB2321">
        <v>104.195397</v>
      </c>
    </row>
    <row r="2322" spans="1:28" hidden="1">
      <c r="A2322">
        <v>2259</v>
      </c>
      <c r="B2322">
        <v>1200</v>
      </c>
      <c r="C2322" t="s">
        <v>217</v>
      </c>
      <c r="D2322" t="s">
        <v>4358</v>
      </c>
      <c r="E2322">
        <v>59</v>
      </c>
      <c r="G2322" t="s">
        <v>103</v>
      </c>
      <c r="H2322" t="s">
        <v>176</v>
      </c>
      <c r="I2322" t="s">
        <v>1671</v>
      </c>
      <c r="J2322" t="s">
        <v>217</v>
      </c>
      <c r="K2322" t="s">
        <v>103</v>
      </c>
      <c r="M2322" t="b">
        <v>1</v>
      </c>
      <c r="N2322" t="s">
        <v>42</v>
      </c>
      <c r="O2322" t="s">
        <v>33</v>
      </c>
      <c r="Q2322">
        <v>125.08</v>
      </c>
      <c r="R2322">
        <v>2.9</v>
      </c>
      <c r="S2322" t="s">
        <v>106</v>
      </c>
      <c r="T2322">
        <v>50.6</v>
      </c>
      <c r="V2322">
        <v>100.2</v>
      </c>
      <c r="W2322">
        <v>77</v>
      </c>
      <c r="X2322">
        <v>9.4</v>
      </c>
      <c r="Y2322">
        <v>59.2</v>
      </c>
      <c r="Z2322">
        <v>1397715000</v>
      </c>
      <c r="AA2322">
        <v>35.861660000000001</v>
      </c>
      <c r="AB2322">
        <v>104.195397</v>
      </c>
    </row>
    <row r="2323" spans="1:28" hidden="1">
      <c r="A2323">
        <v>2259</v>
      </c>
      <c r="B2323">
        <v>1200</v>
      </c>
      <c r="C2323" t="s">
        <v>250</v>
      </c>
      <c r="D2323" t="s">
        <v>4359</v>
      </c>
      <c r="E2323">
        <v>60</v>
      </c>
      <c r="G2323" t="s">
        <v>172</v>
      </c>
      <c r="H2323" t="s">
        <v>172</v>
      </c>
      <c r="I2323" t="s">
        <v>1091</v>
      </c>
      <c r="J2323" t="s">
        <v>250</v>
      </c>
      <c r="K2323" t="s">
        <v>103</v>
      </c>
      <c r="M2323" t="b">
        <v>1</v>
      </c>
      <c r="N2323" t="s">
        <v>42</v>
      </c>
      <c r="O2323" t="s">
        <v>33</v>
      </c>
    </row>
    <row r="2324" spans="1:28">
      <c r="A2324">
        <v>2259</v>
      </c>
      <c r="B2324">
        <v>1200</v>
      </c>
      <c r="C2324" t="s">
        <v>45</v>
      </c>
      <c r="D2324" t="s">
        <v>4360</v>
      </c>
      <c r="E2324">
        <v>68</v>
      </c>
      <c r="F2324" t="str">
        <f>IF(E2324&gt;=90,"90-100",IF(E2324&gt;=80,"80-90",IF(E2324&gt;=70,"70-80",IF(E2324&gt;=60,"60-70",IF(E2324&gt;=50,"50-60",IF(E2324&gt;=40,"40-50",IF(E2324&gt;=30,"30-40","20-30")))))))</f>
        <v>60-70</v>
      </c>
      <c r="G2324" t="s">
        <v>38</v>
      </c>
      <c r="H2324" t="s">
        <v>1521</v>
      </c>
      <c r="I2324" t="s">
        <v>572</v>
      </c>
      <c r="J2324" t="s">
        <v>45</v>
      </c>
      <c r="K2324" t="s">
        <v>38</v>
      </c>
      <c r="L2324" t="s">
        <v>4361</v>
      </c>
      <c r="M2324" t="b">
        <v>1</v>
      </c>
      <c r="N2324" t="s">
        <v>42</v>
      </c>
      <c r="O2324" t="s">
        <v>4867</v>
      </c>
      <c r="P2324" t="s">
        <v>4362</v>
      </c>
      <c r="Q2324">
        <v>117.24</v>
      </c>
      <c r="R2324">
        <v>7.5</v>
      </c>
      <c r="S2324" t="s">
        <v>44</v>
      </c>
      <c r="T2324">
        <v>88.2</v>
      </c>
      <c r="U2324" t="str">
        <f>IF(T2324&gt;=100,"above 100",IF(T2324&gt;=80,"80-100",IF(T2324&gt;=60,"60-80",IF(T2324&gt;=40,"40-60",IF(T2324&gt;=20,"20-60","0-20")))))</f>
        <v>80-100</v>
      </c>
      <c r="V2324">
        <v>101.8</v>
      </c>
      <c r="W2324">
        <v>78.5</v>
      </c>
      <c r="X2324">
        <v>9.6</v>
      </c>
      <c r="Y2324">
        <v>36.6</v>
      </c>
      <c r="Z2324">
        <v>328239523</v>
      </c>
      <c r="AA2324">
        <v>37.090240000000001</v>
      </c>
      <c r="AB2324">
        <v>-95.712890999999999</v>
      </c>
    </row>
    <row r="2325" spans="1:28" hidden="1">
      <c r="A2325">
        <v>2259</v>
      </c>
      <c r="B2325">
        <v>1200</v>
      </c>
      <c r="C2325" t="s">
        <v>101</v>
      </c>
      <c r="D2325" t="s">
        <v>4363</v>
      </c>
      <c r="E2325">
        <v>63</v>
      </c>
      <c r="G2325" t="s">
        <v>38</v>
      </c>
      <c r="H2325" t="s">
        <v>4364</v>
      </c>
      <c r="I2325" t="s">
        <v>959</v>
      </c>
      <c r="J2325" t="s">
        <v>101</v>
      </c>
      <c r="K2325" t="s">
        <v>38</v>
      </c>
      <c r="M2325" t="b">
        <v>0</v>
      </c>
      <c r="N2325" t="s">
        <v>42</v>
      </c>
      <c r="O2325" t="s">
        <v>33</v>
      </c>
      <c r="Q2325">
        <v>117.24</v>
      </c>
      <c r="R2325">
        <v>7.5</v>
      </c>
      <c r="S2325" t="s">
        <v>44</v>
      </c>
      <c r="T2325">
        <v>88.2</v>
      </c>
      <c r="V2325">
        <v>101.8</v>
      </c>
      <c r="W2325">
        <v>78.5</v>
      </c>
      <c r="X2325">
        <v>9.6</v>
      </c>
      <c r="Y2325">
        <v>36.6</v>
      </c>
      <c r="Z2325">
        <v>328239523</v>
      </c>
      <c r="AA2325">
        <v>37.090240000000001</v>
      </c>
      <c r="AB2325">
        <v>-95.712890999999999</v>
      </c>
    </row>
    <row r="2326" spans="1:28" hidden="1">
      <c r="A2326">
        <v>2259</v>
      </c>
      <c r="B2326">
        <v>1200</v>
      </c>
      <c r="C2326" t="s">
        <v>101</v>
      </c>
      <c r="D2326" t="s">
        <v>4365</v>
      </c>
      <c r="E2326">
        <v>73</v>
      </c>
      <c r="G2326" t="s">
        <v>38</v>
      </c>
      <c r="H2326" t="s">
        <v>4366</v>
      </c>
      <c r="I2326" t="s">
        <v>959</v>
      </c>
      <c r="J2326" t="s">
        <v>101</v>
      </c>
      <c r="K2326" t="s">
        <v>38</v>
      </c>
      <c r="M2326" t="b">
        <v>0</v>
      </c>
      <c r="N2326" t="s">
        <v>42</v>
      </c>
      <c r="O2326" t="s">
        <v>33</v>
      </c>
      <c r="Q2326">
        <v>117.24</v>
      </c>
      <c r="R2326">
        <v>7.5</v>
      </c>
      <c r="S2326" t="s">
        <v>44</v>
      </c>
      <c r="T2326">
        <v>88.2</v>
      </c>
      <c r="V2326">
        <v>101.8</v>
      </c>
      <c r="W2326">
        <v>78.5</v>
      </c>
      <c r="X2326">
        <v>9.6</v>
      </c>
      <c r="Y2326">
        <v>36.6</v>
      </c>
      <c r="Z2326">
        <v>328239523</v>
      </c>
      <c r="AA2326">
        <v>37.090240000000001</v>
      </c>
      <c r="AB2326">
        <v>-95.712890999999999</v>
      </c>
    </row>
    <row r="2327" spans="1:28" hidden="1">
      <c r="A2327">
        <v>2259</v>
      </c>
      <c r="B2327">
        <v>1200</v>
      </c>
      <c r="C2327" t="s">
        <v>101</v>
      </c>
      <c r="D2327" t="s">
        <v>4367</v>
      </c>
      <c r="E2327">
        <v>71</v>
      </c>
      <c r="G2327" t="s">
        <v>38</v>
      </c>
      <c r="H2327" t="s">
        <v>4368</v>
      </c>
      <c r="I2327" t="s">
        <v>959</v>
      </c>
      <c r="J2327" t="s">
        <v>101</v>
      </c>
      <c r="K2327" t="s">
        <v>38</v>
      </c>
      <c r="M2327" t="b">
        <v>0</v>
      </c>
      <c r="N2327" t="s">
        <v>42</v>
      </c>
      <c r="O2327" t="s">
        <v>88</v>
      </c>
      <c r="Q2327">
        <v>117.24</v>
      </c>
      <c r="R2327">
        <v>7.5</v>
      </c>
      <c r="S2327" t="s">
        <v>44</v>
      </c>
      <c r="T2327">
        <v>88.2</v>
      </c>
      <c r="V2327">
        <v>101.8</v>
      </c>
      <c r="W2327">
        <v>78.5</v>
      </c>
      <c r="X2327">
        <v>9.6</v>
      </c>
      <c r="Y2327">
        <v>36.6</v>
      </c>
      <c r="Z2327">
        <v>328239523</v>
      </c>
      <c r="AA2327">
        <v>37.090240000000001</v>
      </c>
      <c r="AB2327">
        <v>-95.712890999999999</v>
      </c>
    </row>
    <row r="2328" spans="1:28" hidden="1">
      <c r="A2328">
        <v>2259</v>
      </c>
      <c r="B2328">
        <v>1200</v>
      </c>
      <c r="C2328" t="s">
        <v>101</v>
      </c>
      <c r="D2328" t="s">
        <v>4369</v>
      </c>
      <c r="E2328">
        <v>68</v>
      </c>
      <c r="G2328" t="s">
        <v>38</v>
      </c>
      <c r="H2328" t="s">
        <v>4370</v>
      </c>
      <c r="I2328" t="s">
        <v>959</v>
      </c>
      <c r="J2328" t="s">
        <v>101</v>
      </c>
      <c r="K2328" t="s">
        <v>38</v>
      </c>
      <c r="M2328" t="b">
        <v>0</v>
      </c>
      <c r="N2328" t="s">
        <v>42</v>
      </c>
      <c r="O2328" t="s">
        <v>33</v>
      </c>
      <c r="Q2328">
        <v>117.24</v>
      </c>
      <c r="R2328">
        <v>7.5</v>
      </c>
      <c r="S2328" t="s">
        <v>44</v>
      </c>
      <c r="T2328">
        <v>88.2</v>
      </c>
      <c r="V2328">
        <v>101.8</v>
      </c>
      <c r="W2328">
        <v>78.5</v>
      </c>
      <c r="X2328">
        <v>9.6</v>
      </c>
      <c r="Y2328">
        <v>36.6</v>
      </c>
      <c r="Z2328">
        <v>328239523</v>
      </c>
      <c r="AA2328">
        <v>37.090240000000001</v>
      </c>
      <c r="AB2328">
        <v>-95.712890999999999</v>
      </c>
    </row>
    <row r="2329" spans="1:28" hidden="1">
      <c r="A2329">
        <v>2259</v>
      </c>
      <c r="B2329">
        <v>1200</v>
      </c>
      <c r="C2329" t="s">
        <v>75</v>
      </c>
      <c r="D2329" t="s">
        <v>4371</v>
      </c>
      <c r="E2329">
        <v>99</v>
      </c>
      <c r="G2329" t="s">
        <v>77</v>
      </c>
      <c r="H2329" t="s">
        <v>78</v>
      </c>
      <c r="I2329" t="s">
        <v>75</v>
      </c>
      <c r="J2329" t="s">
        <v>75</v>
      </c>
      <c r="K2329" t="s">
        <v>77</v>
      </c>
      <c r="M2329" t="b">
        <v>0</v>
      </c>
      <c r="N2329" t="s">
        <v>853</v>
      </c>
      <c r="O2329" t="s">
        <v>33</v>
      </c>
      <c r="Q2329">
        <v>180.44</v>
      </c>
      <c r="R2329">
        <v>7.7</v>
      </c>
      <c r="S2329" t="s">
        <v>81</v>
      </c>
      <c r="T2329">
        <v>28.1</v>
      </c>
      <c r="V2329">
        <v>113</v>
      </c>
      <c r="W2329">
        <v>69.400000000000006</v>
      </c>
      <c r="X2329">
        <v>11.2</v>
      </c>
      <c r="Y2329">
        <v>49.7</v>
      </c>
      <c r="Z2329">
        <v>1366417754</v>
      </c>
      <c r="AA2329">
        <v>20.593684</v>
      </c>
      <c r="AB2329">
        <v>78.962879999999998</v>
      </c>
    </row>
    <row r="2330" spans="1:28" hidden="1">
      <c r="A2330">
        <v>2259</v>
      </c>
      <c r="B2330">
        <v>1200</v>
      </c>
      <c r="C2330" t="s">
        <v>217</v>
      </c>
      <c r="D2330" t="s">
        <v>4372</v>
      </c>
      <c r="E2330">
        <v>60</v>
      </c>
      <c r="G2330" t="s">
        <v>103</v>
      </c>
      <c r="H2330" t="s">
        <v>463</v>
      </c>
      <c r="I2330" t="s">
        <v>217</v>
      </c>
      <c r="J2330" t="s">
        <v>217</v>
      </c>
      <c r="K2330" t="s">
        <v>103</v>
      </c>
      <c r="M2330" t="b">
        <v>1</v>
      </c>
      <c r="N2330" t="s">
        <v>42</v>
      </c>
      <c r="O2330" t="s">
        <v>33</v>
      </c>
      <c r="Q2330">
        <v>125.08</v>
      </c>
      <c r="R2330">
        <v>2.9</v>
      </c>
      <c r="S2330" t="s">
        <v>106</v>
      </c>
      <c r="T2330">
        <v>50.6</v>
      </c>
      <c r="V2330">
        <v>100.2</v>
      </c>
      <c r="W2330">
        <v>77</v>
      </c>
      <c r="X2330">
        <v>9.4</v>
      </c>
      <c r="Y2330">
        <v>59.2</v>
      </c>
      <c r="Z2330">
        <v>1397715000</v>
      </c>
      <c r="AA2330">
        <v>35.861660000000001</v>
      </c>
      <c r="AB2330">
        <v>104.195397</v>
      </c>
    </row>
    <row r="2331" spans="1:28" hidden="1">
      <c r="A2331">
        <v>2259</v>
      </c>
      <c r="B2331">
        <v>1200</v>
      </c>
      <c r="C2331" t="s">
        <v>469</v>
      </c>
      <c r="D2331" t="s">
        <v>4373</v>
      </c>
      <c r="E2331">
        <v>60</v>
      </c>
      <c r="G2331" t="s">
        <v>38</v>
      </c>
      <c r="H2331" t="s">
        <v>184</v>
      </c>
      <c r="I2331" t="s">
        <v>1528</v>
      </c>
      <c r="J2331" t="s">
        <v>469</v>
      </c>
      <c r="K2331" t="s">
        <v>38</v>
      </c>
      <c r="M2331" t="b">
        <v>0</v>
      </c>
      <c r="N2331" t="s">
        <v>32</v>
      </c>
      <c r="O2331" t="s">
        <v>33</v>
      </c>
      <c r="Q2331">
        <v>117.24</v>
      </c>
      <c r="R2331">
        <v>7.5</v>
      </c>
      <c r="S2331" t="s">
        <v>44</v>
      </c>
      <c r="T2331">
        <v>88.2</v>
      </c>
      <c r="V2331">
        <v>101.8</v>
      </c>
      <c r="W2331">
        <v>78.5</v>
      </c>
      <c r="X2331">
        <v>9.6</v>
      </c>
      <c r="Y2331">
        <v>36.6</v>
      </c>
      <c r="Z2331">
        <v>328239523</v>
      </c>
      <c r="AA2331">
        <v>37.090240000000001</v>
      </c>
      <c r="AB2331">
        <v>-95.712890999999999</v>
      </c>
    </row>
    <row r="2332" spans="1:28" hidden="1">
      <c r="A2332">
        <v>2259</v>
      </c>
      <c r="B2332">
        <v>1200</v>
      </c>
      <c r="C2332" t="s">
        <v>75</v>
      </c>
      <c r="D2332" t="s">
        <v>4374</v>
      </c>
      <c r="E2332">
        <v>57</v>
      </c>
      <c r="G2332" t="s">
        <v>3736</v>
      </c>
      <c r="H2332" t="s">
        <v>4375</v>
      </c>
      <c r="I2332" t="s">
        <v>75</v>
      </c>
      <c r="J2332" t="s">
        <v>75</v>
      </c>
      <c r="K2332" t="s">
        <v>3736</v>
      </c>
      <c r="M2332" t="b">
        <v>1</v>
      </c>
      <c r="N2332" t="s">
        <v>419</v>
      </c>
      <c r="O2332" t="s">
        <v>33</v>
      </c>
      <c r="Q2332">
        <v>121.64</v>
      </c>
      <c r="R2332">
        <v>3.3</v>
      </c>
      <c r="S2332" t="s">
        <v>3739</v>
      </c>
      <c r="T2332">
        <v>48.5</v>
      </c>
      <c r="V2332">
        <v>100.8</v>
      </c>
      <c r="W2332">
        <v>75.8</v>
      </c>
      <c r="X2332">
        <v>23</v>
      </c>
      <c r="Y2332">
        <v>37.9</v>
      </c>
      <c r="Z2332">
        <v>9769949</v>
      </c>
      <c r="AA2332">
        <v>47.162494000000002</v>
      </c>
      <c r="AB2332">
        <v>19.503304</v>
      </c>
    </row>
    <row r="2333" spans="1:28" hidden="1">
      <c r="A2333">
        <v>2259</v>
      </c>
      <c r="B2333">
        <v>1200</v>
      </c>
      <c r="C2333" t="s">
        <v>45</v>
      </c>
      <c r="D2333" t="s">
        <v>4376</v>
      </c>
      <c r="E2333">
        <v>66</v>
      </c>
      <c r="G2333" t="s">
        <v>38</v>
      </c>
      <c r="H2333" t="s">
        <v>4377</v>
      </c>
      <c r="I2333" t="s">
        <v>4378</v>
      </c>
      <c r="J2333" t="s">
        <v>45</v>
      </c>
      <c r="K2333" t="s">
        <v>38</v>
      </c>
      <c r="M2333" t="b">
        <v>1</v>
      </c>
      <c r="N2333" t="s">
        <v>32</v>
      </c>
      <c r="O2333" t="s">
        <v>33</v>
      </c>
      <c r="Q2333">
        <v>117.24</v>
      </c>
      <c r="R2333">
        <v>7.5</v>
      </c>
      <c r="S2333" t="s">
        <v>44</v>
      </c>
      <c r="T2333">
        <v>88.2</v>
      </c>
      <c r="V2333">
        <v>101.8</v>
      </c>
      <c r="W2333">
        <v>78.5</v>
      </c>
      <c r="X2333">
        <v>9.6</v>
      </c>
      <c r="Y2333">
        <v>36.6</v>
      </c>
      <c r="Z2333">
        <v>328239523</v>
      </c>
      <c r="AA2333">
        <v>37.090240000000001</v>
      </c>
      <c r="AB2333">
        <v>-95.712890999999999</v>
      </c>
    </row>
    <row r="2334" spans="1:28" hidden="1">
      <c r="A2334">
        <v>2259</v>
      </c>
      <c r="B2334">
        <v>1200</v>
      </c>
      <c r="C2334" t="s">
        <v>288</v>
      </c>
      <c r="D2334" t="s">
        <v>4379</v>
      </c>
      <c r="E2334">
        <v>85</v>
      </c>
      <c r="G2334" t="s">
        <v>38</v>
      </c>
      <c r="H2334" t="s">
        <v>4380</v>
      </c>
      <c r="I2334" t="s">
        <v>3851</v>
      </c>
      <c r="J2334" t="s">
        <v>288</v>
      </c>
      <c r="K2334" t="s">
        <v>38</v>
      </c>
      <c r="M2334" t="b">
        <v>1</v>
      </c>
      <c r="N2334" t="s">
        <v>42</v>
      </c>
      <c r="O2334" t="s">
        <v>33</v>
      </c>
      <c r="Q2334">
        <v>117.24</v>
      </c>
      <c r="R2334">
        <v>7.5</v>
      </c>
      <c r="S2334" t="s">
        <v>44</v>
      </c>
      <c r="T2334">
        <v>88.2</v>
      </c>
      <c r="V2334">
        <v>101.8</v>
      </c>
      <c r="W2334">
        <v>78.5</v>
      </c>
      <c r="X2334">
        <v>9.6</v>
      </c>
      <c r="Y2334">
        <v>36.6</v>
      </c>
      <c r="Z2334">
        <v>328239523</v>
      </c>
      <c r="AA2334">
        <v>37.090240000000001</v>
      </c>
      <c r="AB2334">
        <v>-95.712890999999999</v>
      </c>
    </row>
    <row r="2335" spans="1:28" hidden="1">
      <c r="A2335">
        <v>2259</v>
      </c>
      <c r="B2335">
        <v>1200</v>
      </c>
      <c r="C2335" t="s">
        <v>36</v>
      </c>
      <c r="D2335" t="s">
        <v>4381</v>
      </c>
      <c r="E2335">
        <v>82</v>
      </c>
      <c r="I2335" t="s">
        <v>4382</v>
      </c>
      <c r="J2335" t="s">
        <v>36</v>
      </c>
      <c r="K2335" t="s">
        <v>189</v>
      </c>
      <c r="M2335" t="b">
        <v>1</v>
      </c>
      <c r="N2335" t="s">
        <v>419</v>
      </c>
      <c r="O2335" t="s">
        <v>33</v>
      </c>
    </row>
    <row r="2336" spans="1:28" hidden="1">
      <c r="A2336">
        <v>2259</v>
      </c>
      <c r="B2336">
        <v>1200</v>
      </c>
      <c r="C2336" t="s">
        <v>75</v>
      </c>
      <c r="D2336" t="s">
        <v>4383</v>
      </c>
      <c r="E2336">
        <v>68</v>
      </c>
      <c r="G2336" t="s">
        <v>384</v>
      </c>
      <c r="H2336" t="s">
        <v>562</v>
      </c>
      <c r="I2336" t="s">
        <v>75</v>
      </c>
      <c r="J2336" t="s">
        <v>75</v>
      </c>
      <c r="K2336" t="s">
        <v>384</v>
      </c>
      <c r="M2336" t="b">
        <v>0</v>
      </c>
      <c r="N2336" t="s">
        <v>42</v>
      </c>
      <c r="O2336" t="s">
        <v>88</v>
      </c>
      <c r="Q2336">
        <v>167.4</v>
      </c>
      <c r="R2336">
        <v>3.7</v>
      </c>
      <c r="S2336" t="s">
        <v>563</v>
      </c>
      <c r="T2336">
        <v>51.3</v>
      </c>
      <c r="V2336">
        <v>115.4</v>
      </c>
      <c r="W2336">
        <v>75.7</v>
      </c>
      <c r="X2336">
        <v>14.2</v>
      </c>
      <c r="Y2336">
        <v>65.099999999999994</v>
      </c>
      <c r="Z2336">
        <v>212559417</v>
      </c>
      <c r="AA2336">
        <v>-14.235004</v>
      </c>
      <c r="AB2336">
        <v>-51.925280000000001</v>
      </c>
    </row>
    <row r="2337" spans="1:28" hidden="1">
      <c r="A2337">
        <v>2259</v>
      </c>
      <c r="B2337">
        <v>1200</v>
      </c>
      <c r="C2337" t="s">
        <v>54</v>
      </c>
      <c r="D2337" t="s">
        <v>4384</v>
      </c>
      <c r="E2337">
        <v>50</v>
      </c>
      <c r="G2337" t="s">
        <v>38</v>
      </c>
      <c r="H2337" t="s">
        <v>65</v>
      </c>
      <c r="I2337" t="s">
        <v>613</v>
      </c>
      <c r="J2337" t="s">
        <v>54</v>
      </c>
      <c r="K2337" t="s">
        <v>38</v>
      </c>
      <c r="M2337" t="b">
        <v>1</v>
      </c>
      <c r="N2337" t="s">
        <v>32</v>
      </c>
      <c r="O2337" t="s">
        <v>33</v>
      </c>
      <c r="Q2337">
        <v>117.24</v>
      </c>
      <c r="R2337">
        <v>7.5</v>
      </c>
      <c r="S2337" t="s">
        <v>44</v>
      </c>
      <c r="T2337">
        <v>88.2</v>
      </c>
      <c r="V2337">
        <v>101.8</v>
      </c>
      <c r="W2337">
        <v>78.5</v>
      </c>
      <c r="X2337">
        <v>9.6</v>
      </c>
      <c r="Y2337">
        <v>36.6</v>
      </c>
      <c r="Z2337">
        <v>328239523</v>
      </c>
      <c r="AA2337">
        <v>37.090240000000001</v>
      </c>
      <c r="AB2337">
        <v>-95.712890999999999</v>
      </c>
    </row>
    <row r="2338" spans="1:28" hidden="1">
      <c r="A2338">
        <v>2259</v>
      </c>
      <c r="B2338">
        <v>1200</v>
      </c>
      <c r="C2338" t="s">
        <v>217</v>
      </c>
      <c r="D2338" t="s">
        <v>4385</v>
      </c>
      <c r="E2338">
        <v>65</v>
      </c>
      <c r="I2338" t="s">
        <v>3357</v>
      </c>
      <c r="J2338" t="s">
        <v>217</v>
      </c>
      <c r="K2338" t="s">
        <v>77</v>
      </c>
      <c r="M2338" t="b">
        <v>0</v>
      </c>
      <c r="N2338" t="s">
        <v>192</v>
      </c>
      <c r="O2338" t="s">
        <v>33</v>
      </c>
    </row>
    <row r="2339" spans="1:28" hidden="1">
      <c r="A2339">
        <v>2259</v>
      </c>
      <c r="B2339">
        <v>1200</v>
      </c>
      <c r="C2339" t="s">
        <v>101</v>
      </c>
      <c r="D2339" t="s">
        <v>4386</v>
      </c>
      <c r="E2339">
        <v>56</v>
      </c>
      <c r="G2339" t="s">
        <v>148</v>
      </c>
      <c r="H2339" t="s">
        <v>2186</v>
      </c>
      <c r="I2339" t="s">
        <v>2453</v>
      </c>
      <c r="J2339" t="s">
        <v>101</v>
      </c>
      <c r="K2339" t="s">
        <v>148</v>
      </c>
      <c r="M2339" t="b">
        <v>0</v>
      </c>
      <c r="N2339" t="s">
        <v>212</v>
      </c>
      <c r="O2339" t="s">
        <v>33</v>
      </c>
      <c r="Q2339">
        <v>112.85</v>
      </c>
      <c r="R2339">
        <v>1.4</v>
      </c>
      <c r="S2339" t="s">
        <v>151</v>
      </c>
      <c r="T2339">
        <v>70.2</v>
      </c>
      <c r="V2339">
        <v>104</v>
      </c>
      <c r="W2339">
        <v>80.900000000000006</v>
      </c>
      <c r="X2339">
        <v>11.5</v>
      </c>
      <c r="Y2339">
        <v>48.8</v>
      </c>
      <c r="Z2339">
        <v>83132799</v>
      </c>
      <c r="AA2339">
        <v>51.165691000000002</v>
      </c>
      <c r="AB2339">
        <v>10.451525999999999</v>
      </c>
    </row>
    <row r="2340" spans="1:28" hidden="1">
      <c r="A2340">
        <v>2259</v>
      </c>
      <c r="B2340">
        <v>1200</v>
      </c>
      <c r="C2340" t="s">
        <v>45</v>
      </c>
      <c r="D2340" t="s">
        <v>4387</v>
      </c>
      <c r="E2340">
        <v>48</v>
      </c>
      <c r="G2340" t="s">
        <v>38</v>
      </c>
      <c r="H2340" t="s">
        <v>789</v>
      </c>
      <c r="I2340" t="s">
        <v>4388</v>
      </c>
      <c r="J2340" t="s">
        <v>45</v>
      </c>
      <c r="K2340" t="s">
        <v>38</v>
      </c>
      <c r="M2340" t="b">
        <v>1</v>
      </c>
      <c r="N2340" t="s">
        <v>42</v>
      </c>
      <c r="O2340" t="s">
        <v>33</v>
      </c>
      <c r="Q2340">
        <v>117.24</v>
      </c>
      <c r="R2340">
        <v>7.5</v>
      </c>
      <c r="S2340" t="s">
        <v>44</v>
      </c>
      <c r="T2340">
        <v>88.2</v>
      </c>
      <c r="V2340">
        <v>101.8</v>
      </c>
      <c r="W2340">
        <v>78.5</v>
      </c>
      <c r="X2340">
        <v>9.6</v>
      </c>
      <c r="Y2340">
        <v>36.6</v>
      </c>
      <c r="Z2340">
        <v>328239523</v>
      </c>
      <c r="AA2340">
        <v>37.090240000000001</v>
      </c>
      <c r="AB2340">
        <v>-95.712890999999999</v>
      </c>
    </row>
    <row r="2341" spans="1:28" hidden="1">
      <c r="A2341">
        <v>2259</v>
      </c>
      <c r="B2341">
        <v>1200</v>
      </c>
      <c r="C2341" t="s">
        <v>101</v>
      </c>
      <c r="D2341" t="s">
        <v>4389</v>
      </c>
      <c r="E2341">
        <v>58</v>
      </c>
      <c r="G2341" t="s">
        <v>263</v>
      </c>
      <c r="H2341" t="s">
        <v>4390</v>
      </c>
      <c r="I2341" t="s">
        <v>4391</v>
      </c>
      <c r="J2341" t="s">
        <v>101</v>
      </c>
      <c r="K2341" t="s">
        <v>263</v>
      </c>
      <c r="M2341" t="b">
        <v>1</v>
      </c>
      <c r="N2341" t="s">
        <v>853</v>
      </c>
      <c r="O2341" t="s">
        <v>33</v>
      </c>
      <c r="Q2341">
        <v>180.75</v>
      </c>
      <c r="R2341">
        <v>4.5</v>
      </c>
      <c r="S2341" t="s">
        <v>276</v>
      </c>
      <c r="T2341">
        <v>81.900000000000006</v>
      </c>
      <c r="V2341">
        <v>102.6</v>
      </c>
      <c r="W2341">
        <v>72.7</v>
      </c>
      <c r="X2341">
        <v>11.4</v>
      </c>
      <c r="Y2341">
        <v>46.2</v>
      </c>
      <c r="Z2341">
        <v>144373535</v>
      </c>
      <c r="AA2341">
        <v>61.524009999999997</v>
      </c>
      <c r="AB2341">
        <v>105.31875599999999</v>
      </c>
    </row>
    <row r="2342" spans="1:28" hidden="1">
      <c r="A2342">
        <v>2259</v>
      </c>
      <c r="B2342">
        <v>1200</v>
      </c>
      <c r="C2342" t="s">
        <v>221</v>
      </c>
      <c r="D2342" t="s">
        <v>4392</v>
      </c>
      <c r="E2342">
        <v>82</v>
      </c>
      <c r="G2342" t="s">
        <v>384</v>
      </c>
      <c r="H2342" t="s">
        <v>1650</v>
      </c>
      <c r="I2342" t="s">
        <v>2015</v>
      </c>
      <c r="J2342" t="s">
        <v>221</v>
      </c>
      <c r="K2342" t="s">
        <v>384</v>
      </c>
      <c r="M2342" t="b">
        <v>1</v>
      </c>
      <c r="N2342" t="s">
        <v>32</v>
      </c>
      <c r="O2342" t="s">
        <v>33</v>
      </c>
      <c r="Q2342">
        <v>167.4</v>
      </c>
      <c r="R2342">
        <v>3.7</v>
      </c>
      <c r="S2342" t="s">
        <v>563</v>
      </c>
      <c r="T2342">
        <v>51.3</v>
      </c>
      <c r="V2342">
        <v>115.4</v>
      </c>
      <c r="W2342">
        <v>75.7</v>
      </c>
      <c r="X2342">
        <v>14.2</v>
      </c>
      <c r="Y2342">
        <v>65.099999999999994</v>
      </c>
      <c r="Z2342">
        <v>212559417</v>
      </c>
      <c r="AA2342">
        <v>-14.235004</v>
      </c>
      <c r="AB2342">
        <v>-51.925280000000001</v>
      </c>
    </row>
    <row r="2343" spans="1:28" hidden="1">
      <c r="A2343">
        <v>2259</v>
      </c>
      <c r="B2343">
        <v>1200</v>
      </c>
      <c r="C2343" t="s">
        <v>63</v>
      </c>
      <c r="D2343" t="s">
        <v>4393</v>
      </c>
      <c r="E2343">
        <v>43</v>
      </c>
      <c r="G2343" t="s">
        <v>397</v>
      </c>
      <c r="H2343" t="s">
        <v>398</v>
      </c>
      <c r="I2343" t="s">
        <v>4394</v>
      </c>
      <c r="J2343" t="s">
        <v>63</v>
      </c>
      <c r="K2343" t="s">
        <v>397</v>
      </c>
      <c r="M2343" t="b">
        <v>1</v>
      </c>
      <c r="N2343" t="s">
        <v>42</v>
      </c>
      <c r="O2343" t="s">
        <v>33</v>
      </c>
      <c r="Q2343">
        <v>110.51</v>
      </c>
      <c r="R2343">
        <v>1.8</v>
      </c>
      <c r="S2343" t="s">
        <v>401</v>
      </c>
      <c r="T2343">
        <v>67</v>
      </c>
      <c r="V2343">
        <v>126.6</v>
      </c>
      <c r="W2343">
        <v>82.5</v>
      </c>
      <c r="X2343">
        <v>27.9</v>
      </c>
      <c r="Y2343">
        <v>49.1</v>
      </c>
      <c r="Z2343">
        <v>10285453</v>
      </c>
      <c r="AA2343">
        <v>60.128160999999999</v>
      </c>
      <c r="AB2343">
        <v>18.643501000000001</v>
      </c>
    </row>
    <row r="2344" spans="1:28">
      <c r="A2344">
        <v>2259</v>
      </c>
      <c r="B2344">
        <v>1200</v>
      </c>
      <c r="C2344" t="s">
        <v>45</v>
      </c>
      <c r="D2344" t="s">
        <v>4395</v>
      </c>
      <c r="E2344">
        <v>57</v>
      </c>
      <c r="F2344" t="str">
        <f>IF(E2344&gt;=90,"90-100",IF(E2344&gt;=80,"80-90",IF(E2344&gt;=70,"70-80",IF(E2344&gt;=60,"60-70",IF(E2344&gt;=50,"50-60",IF(E2344&gt;=40,"40-50",IF(E2344&gt;=30,"30-40","20-30")))))))</f>
        <v>50-60</v>
      </c>
      <c r="G2344" t="s">
        <v>38</v>
      </c>
      <c r="H2344" t="s">
        <v>652</v>
      </c>
      <c r="I2344" t="s">
        <v>245</v>
      </c>
      <c r="J2344" t="s">
        <v>45</v>
      </c>
      <c r="K2344" t="s">
        <v>38</v>
      </c>
      <c r="L2344" t="s">
        <v>4396</v>
      </c>
      <c r="M2344" t="b">
        <v>1</v>
      </c>
      <c r="N2344" t="s">
        <v>42</v>
      </c>
      <c r="O2344" t="s">
        <v>4867</v>
      </c>
      <c r="P2344" t="s">
        <v>131</v>
      </c>
      <c r="Q2344">
        <v>117.24</v>
      </c>
      <c r="R2344">
        <v>7.5</v>
      </c>
      <c r="S2344" t="s">
        <v>44</v>
      </c>
      <c r="T2344">
        <v>88.2</v>
      </c>
      <c r="U2344" t="str">
        <f>IF(T2344&gt;=100,"above 100",IF(T2344&gt;=80,"80-100",IF(T2344&gt;=60,"60-80",IF(T2344&gt;=40,"40-60",IF(T2344&gt;=20,"20-60","0-20")))))</f>
        <v>80-100</v>
      </c>
      <c r="V2344">
        <v>101.8</v>
      </c>
      <c r="W2344">
        <v>78.5</v>
      </c>
      <c r="X2344">
        <v>9.6</v>
      </c>
      <c r="Y2344">
        <v>36.6</v>
      </c>
      <c r="Z2344">
        <v>328239523</v>
      </c>
      <c r="AA2344">
        <v>37.090240000000001</v>
      </c>
      <c r="AB2344">
        <v>-95.712890999999999</v>
      </c>
    </row>
    <row r="2345" spans="1:28" hidden="1">
      <c r="A2345">
        <v>2259</v>
      </c>
      <c r="B2345">
        <v>1200</v>
      </c>
      <c r="C2345" t="s">
        <v>75</v>
      </c>
      <c r="D2345" t="s">
        <v>4397</v>
      </c>
      <c r="E2345">
        <v>82</v>
      </c>
      <c r="G2345" t="s">
        <v>252</v>
      </c>
      <c r="H2345" t="s">
        <v>253</v>
      </c>
      <c r="I2345" t="s">
        <v>75</v>
      </c>
      <c r="J2345" t="s">
        <v>75</v>
      </c>
      <c r="K2345" t="s">
        <v>252</v>
      </c>
      <c r="M2345" t="b">
        <v>0</v>
      </c>
      <c r="N2345" t="s">
        <v>419</v>
      </c>
      <c r="O2345" t="s">
        <v>33</v>
      </c>
      <c r="Q2345">
        <v>151.18</v>
      </c>
      <c r="R2345">
        <v>3</v>
      </c>
      <c r="S2345" t="s">
        <v>255</v>
      </c>
      <c r="T2345">
        <v>36.299999999999997</v>
      </c>
      <c r="V2345">
        <v>106.4</v>
      </c>
      <c r="W2345">
        <v>71.5</v>
      </c>
      <c r="X2345">
        <v>10.199999999999999</v>
      </c>
      <c r="Y2345">
        <v>30.1</v>
      </c>
      <c r="Z2345">
        <v>270203917</v>
      </c>
      <c r="AA2345">
        <v>-0.78927499999999995</v>
      </c>
      <c r="AB2345">
        <v>113.92132700000001</v>
      </c>
    </row>
    <row r="2346" spans="1:28" hidden="1">
      <c r="A2346">
        <v>2259</v>
      </c>
      <c r="B2346">
        <v>1200</v>
      </c>
      <c r="C2346" t="s">
        <v>288</v>
      </c>
      <c r="D2346" t="s">
        <v>4398</v>
      </c>
      <c r="E2346">
        <v>90</v>
      </c>
      <c r="G2346" t="s">
        <v>38</v>
      </c>
      <c r="H2346" t="s">
        <v>4399</v>
      </c>
      <c r="I2346" t="s">
        <v>928</v>
      </c>
      <c r="J2346" t="s">
        <v>288</v>
      </c>
      <c r="K2346" t="s">
        <v>38</v>
      </c>
      <c r="M2346" t="b">
        <v>1</v>
      </c>
      <c r="N2346" t="s">
        <v>42</v>
      </c>
      <c r="O2346" t="s">
        <v>33</v>
      </c>
      <c r="Q2346">
        <v>117.24</v>
      </c>
      <c r="R2346">
        <v>7.5</v>
      </c>
      <c r="S2346" t="s">
        <v>44</v>
      </c>
      <c r="T2346">
        <v>88.2</v>
      </c>
      <c r="V2346">
        <v>101.8</v>
      </c>
      <c r="W2346">
        <v>78.5</v>
      </c>
      <c r="X2346">
        <v>9.6</v>
      </c>
      <c r="Y2346">
        <v>36.6</v>
      </c>
      <c r="Z2346">
        <v>328239523</v>
      </c>
      <c r="AA2346">
        <v>37.090240000000001</v>
      </c>
      <c r="AB2346">
        <v>-95.712890999999999</v>
      </c>
    </row>
    <row r="2347" spans="1:28" hidden="1">
      <c r="A2347">
        <v>2259</v>
      </c>
      <c r="B2347">
        <v>1200</v>
      </c>
      <c r="C2347" t="s">
        <v>101</v>
      </c>
      <c r="D2347" t="s">
        <v>4400</v>
      </c>
      <c r="E2347">
        <v>57</v>
      </c>
      <c r="G2347" t="s">
        <v>103</v>
      </c>
      <c r="H2347" t="s">
        <v>345</v>
      </c>
      <c r="I2347" t="s">
        <v>346</v>
      </c>
      <c r="J2347" t="s">
        <v>101</v>
      </c>
      <c r="K2347" t="s">
        <v>103</v>
      </c>
      <c r="M2347" t="b">
        <v>1</v>
      </c>
      <c r="N2347" t="s">
        <v>42</v>
      </c>
      <c r="O2347" t="s">
        <v>88</v>
      </c>
      <c r="Q2347">
        <v>125.08</v>
      </c>
      <c r="R2347">
        <v>2.9</v>
      </c>
      <c r="S2347" t="s">
        <v>106</v>
      </c>
      <c r="T2347">
        <v>50.6</v>
      </c>
      <c r="V2347">
        <v>100.2</v>
      </c>
      <c r="W2347">
        <v>77</v>
      </c>
      <c r="X2347">
        <v>9.4</v>
      </c>
      <c r="Y2347">
        <v>59.2</v>
      </c>
      <c r="Z2347">
        <v>1397715000</v>
      </c>
      <c r="AA2347">
        <v>35.861660000000001</v>
      </c>
      <c r="AB2347">
        <v>104.195397</v>
      </c>
    </row>
    <row r="2348" spans="1:28" hidden="1">
      <c r="A2348">
        <v>2259</v>
      </c>
      <c r="B2348">
        <v>1200</v>
      </c>
      <c r="C2348" t="s">
        <v>217</v>
      </c>
      <c r="D2348" t="s">
        <v>4401</v>
      </c>
      <c r="E2348">
        <v>76</v>
      </c>
      <c r="G2348" t="s">
        <v>38</v>
      </c>
      <c r="H2348" t="s">
        <v>4402</v>
      </c>
      <c r="I2348" t="s">
        <v>4403</v>
      </c>
      <c r="J2348" t="s">
        <v>217</v>
      </c>
      <c r="K2348" t="s">
        <v>38</v>
      </c>
      <c r="M2348" t="b">
        <v>1</v>
      </c>
      <c r="N2348" t="s">
        <v>192</v>
      </c>
      <c r="O2348" t="s">
        <v>33</v>
      </c>
      <c r="Q2348">
        <v>117.24</v>
      </c>
      <c r="R2348">
        <v>7.5</v>
      </c>
      <c r="S2348" t="s">
        <v>44</v>
      </c>
      <c r="T2348">
        <v>88.2</v>
      </c>
      <c r="V2348">
        <v>101.8</v>
      </c>
      <c r="W2348">
        <v>78.5</v>
      </c>
      <c r="X2348">
        <v>9.6</v>
      </c>
      <c r="Y2348">
        <v>36.6</v>
      </c>
      <c r="Z2348">
        <v>328239523</v>
      </c>
      <c r="AA2348">
        <v>37.090240000000001</v>
      </c>
      <c r="AB2348">
        <v>-95.712890999999999</v>
      </c>
    </row>
    <row r="2349" spans="1:28" hidden="1">
      <c r="A2349">
        <v>2259</v>
      </c>
      <c r="B2349">
        <v>1200</v>
      </c>
      <c r="C2349" t="s">
        <v>54</v>
      </c>
      <c r="D2349" t="s">
        <v>4404</v>
      </c>
      <c r="E2349">
        <v>59</v>
      </c>
      <c r="G2349" t="s">
        <v>156</v>
      </c>
      <c r="H2349" t="s">
        <v>2539</v>
      </c>
      <c r="I2349" t="s">
        <v>231</v>
      </c>
      <c r="J2349" t="s">
        <v>54</v>
      </c>
      <c r="K2349" t="s">
        <v>263</v>
      </c>
      <c r="M2349" t="b">
        <v>1</v>
      </c>
      <c r="N2349" t="s">
        <v>419</v>
      </c>
      <c r="O2349" t="s">
        <v>33</v>
      </c>
      <c r="Q2349">
        <v>99.55</v>
      </c>
      <c r="R2349">
        <v>0.4</v>
      </c>
      <c r="S2349" t="s">
        <v>159</v>
      </c>
      <c r="T2349">
        <v>59.6</v>
      </c>
      <c r="V2349">
        <v>105.2</v>
      </c>
      <c r="W2349">
        <v>83.6</v>
      </c>
      <c r="X2349">
        <v>10.1</v>
      </c>
      <c r="Y2349">
        <v>28.8</v>
      </c>
      <c r="Z2349">
        <v>8574832</v>
      </c>
      <c r="AA2349">
        <v>46.818187999999999</v>
      </c>
      <c r="AB2349">
        <v>8.2275120000000008</v>
      </c>
    </row>
    <row r="2350" spans="1:28" hidden="1">
      <c r="A2350">
        <v>2259</v>
      </c>
      <c r="B2350">
        <v>1200</v>
      </c>
      <c r="C2350" t="s">
        <v>101</v>
      </c>
      <c r="D2350" t="s">
        <v>4405</v>
      </c>
      <c r="G2350" t="s">
        <v>384</v>
      </c>
      <c r="H2350" t="s">
        <v>3993</v>
      </c>
      <c r="I2350" t="s">
        <v>522</v>
      </c>
      <c r="J2350" t="s">
        <v>101</v>
      </c>
      <c r="K2350" t="s">
        <v>384</v>
      </c>
      <c r="M2350" t="b">
        <v>0</v>
      </c>
      <c r="N2350" t="s">
        <v>212</v>
      </c>
      <c r="O2350" t="s">
        <v>33</v>
      </c>
      <c r="P2350" t="s">
        <v>628</v>
      </c>
      <c r="Q2350">
        <v>167.4</v>
      </c>
      <c r="R2350">
        <v>3.7</v>
      </c>
      <c r="S2350" t="s">
        <v>563</v>
      </c>
      <c r="T2350">
        <v>51.3</v>
      </c>
      <c r="V2350">
        <v>115.4</v>
      </c>
      <c r="W2350">
        <v>75.7</v>
      </c>
      <c r="X2350">
        <v>14.2</v>
      </c>
      <c r="Y2350">
        <v>65.099999999999994</v>
      </c>
      <c r="Z2350">
        <v>212559417</v>
      </c>
      <c r="AA2350">
        <v>-14.235004</v>
      </c>
      <c r="AB2350">
        <v>-51.925280000000001</v>
      </c>
    </row>
    <row r="2351" spans="1:28" hidden="1">
      <c r="A2351">
        <v>2259</v>
      </c>
      <c r="B2351">
        <v>1200</v>
      </c>
      <c r="C2351" t="s">
        <v>54</v>
      </c>
      <c r="D2351" t="s">
        <v>4406</v>
      </c>
      <c r="E2351">
        <v>59</v>
      </c>
      <c r="G2351" t="s">
        <v>38</v>
      </c>
      <c r="H2351" t="s">
        <v>635</v>
      </c>
      <c r="I2351" t="s">
        <v>1152</v>
      </c>
      <c r="J2351" t="s">
        <v>54</v>
      </c>
      <c r="K2351" t="s">
        <v>38</v>
      </c>
      <c r="M2351" t="b">
        <v>1</v>
      </c>
      <c r="N2351" t="s">
        <v>192</v>
      </c>
      <c r="O2351" t="s">
        <v>33</v>
      </c>
      <c r="Q2351">
        <v>117.24</v>
      </c>
      <c r="R2351">
        <v>7.5</v>
      </c>
      <c r="S2351" t="s">
        <v>44</v>
      </c>
      <c r="T2351">
        <v>88.2</v>
      </c>
      <c r="V2351">
        <v>101.8</v>
      </c>
      <c r="W2351">
        <v>78.5</v>
      </c>
      <c r="X2351">
        <v>9.6</v>
      </c>
      <c r="Y2351">
        <v>36.6</v>
      </c>
      <c r="Z2351">
        <v>328239523</v>
      </c>
      <c r="AA2351">
        <v>37.090240000000001</v>
      </c>
      <c r="AB2351">
        <v>-95.712890999999999</v>
      </c>
    </row>
    <row r="2352" spans="1:28" hidden="1">
      <c r="A2352">
        <v>2259</v>
      </c>
      <c r="B2352">
        <v>1200</v>
      </c>
      <c r="C2352" t="s">
        <v>221</v>
      </c>
      <c r="D2352" t="s">
        <v>4407</v>
      </c>
      <c r="E2352">
        <v>52</v>
      </c>
      <c r="G2352" t="s">
        <v>77</v>
      </c>
      <c r="H2352" t="s">
        <v>78</v>
      </c>
      <c r="I2352" t="s">
        <v>223</v>
      </c>
      <c r="J2352" t="s">
        <v>221</v>
      </c>
      <c r="K2352" t="s">
        <v>77</v>
      </c>
      <c r="M2352" t="b">
        <v>0</v>
      </c>
      <c r="N2352" t="s">
        <v>192</v>
      </c>
      <c r="O2352" t="s">
        <v>33</v>
      </c>
      <c r="Q2352">
        <v>180.44</v>
      </c>
      <c r="R2352">
        <v>7.7</v>
      </c>
      <c r="S2352" t="s">
        <v>81</v>
      </c>
      <c r="T2352">
        <v>28.1</v>
      </c>
      <c r="V2352">
        <v>113</v>
      </c>
      <c r="W2352">
        <v>69.400000000000006</v>
      </c>
      <c r="X2352">
        <v>11.2</v>
      </c>
      <c r="Y2352">
        <v>49.7</v>
      </c>
      <c r="Z2352">
        <v>1366417754</v>
      </c>
      <c r="AA2352">
        <v>20.593684</v>
      </c>
      <c r="AB2352">
        <v>78.962879999999998</v>
      </c>
    </row>
    <row r="2353" spans="1:28">
      <c r="A2353">
        <v>2259</v>
      </c>
      <c r="B2353">
        <v>1200</v>
      </c>
      <c r="C2353" t="s">
        <v>54</v>
      </c>
      <c r="D2353" t="s">
        <v>4408</v>
      </c>
      <c r="E2353">
        <v>62</v>
      </c>
      <c r="F2353" t="str">
        <f>IF(E2353&gt;=90,"90-100",IF(E2353&gt;=80,"80-90",IF(E2353&gt;=70,"70-80",IF(E2353&gt;=60,"60-70",IF(E2353&gt;=50,"50-60",IF(E2353&gt;=40,"40-50",IF(E2353&gt;=30,"30-40","20-30")))))))</f>
        <v>60-70</v>
      </c>
      <c r="G2353" t="s">
        <v>203</v>
      </c>
      <c r="H2353" t="s">
        <v>204</v>
      </c>
      <c r="I2353" t="s">
        <v>185</v>
      </c>
      <c r="J2353" t="s">
        <v>54</v>
      </c>
      <c r="K2353" t="s">
        <v>397</v>
      </c>
      <c r="L2353" t="s">
        <v>4409</v>
      </c>
      <c r="M2353" t="b">
        <v>1</v>
      </c>
      <c r="N2353" t="s">
        <v>42</v>
      </c>
      <c r="O2353" t="s">
        <v>4867</v>
      </c>
      <c r="P2353" t="s">
        <v>146</v>
      </c>
      <c r="Q2353">
        <v>119.62</v>
      </c>
      <c r="R2353">
        <v>1.7</v>
      </c>
      <c r="S2353" t="s">
        <v>206</v>
      </c>
      <c r="T2353">
        <v>60</v>
      </c>
      <c r="U2353" t="str">
        <f>IF(T2353&gt;=100,"above 100",IF(T2353&gt;=80,"80-100",IF(T2353&gt;=60,"60-80",IF(T2353&gt;=40,"40-60",IF(T2353&gt;=20,"20-60","0-20")))))</f>
        <v>60-80</v>
      </c>
      <c r="V2353">
        <v>101.2</v>
      </c>
      <c r="W2353">
        <v>81.3</v>
      </c>
      <c r="X2353">
        <v>25.5</v>
      </c>
      <c r="Y2353">
        <v>30.6</v>
      </c>
      <c r="Z2353">
        <v>66834405</v>
      </c>
      <c r="AA2353">
        <v>55.378050999999999</v>
      </c>
      <c r="AB2353">
        <v>-3.4359730000000002</v>
      </c>
    </row>
    <row r="2354" spans="1:28" hidden="1">
      <c r="A2354">
        <v>2259</v>
      </c>
      <c r="B2354">
        <v>1200</v>
      </c>
      <c r="C2354" t="s">
        <v>101</v>
      </c>
      <c r="D2354" t="s">
        <v>4410</v>
      </c>
      <c r="G2354" t="s">
        <v>127</v>
      </c>
      <c r="H2354" t="s">
        <v>1129</v>
      </c>
      <c r="I2354" t="s">
        <v>299</v>
      </c>
      <c r="J2354" t="s">
        <v>101</v>
      </c>
      <c r="K2354" t="s">
        <v>127</v>
      </c>
      <c r="M2354" t="b">
        <v>0</v>
      </c>
      <c r="N2354" t="s">
        <v>192</v>
      </c>
      <c r="O2354" t="s">
        <v>33</v>
      </c>
      <c r="Q2354">
        <v>116.76</v>
      </c>
      <c r="R2354">
        <v>1.9</v>
      </c>
      <c r="S2354" t="s">
        <v>132</v>
      </c>
      <c r="T2354">
        <v>68.900000000000006</v>
      </c>
      <c r="V2354">
        <v>100.9</v>
      </c>
      <c r="W2354">
        <v>81.900000000000006</v>
      </c>
      <c r="X2354">
        <v>12.8</v>
      </c>
      <c r="Y2354">
        <v>24.5</v>
      </c>
      <c r="Z2354">
        <v>36991981</v>
      </c>
      <c r="AA2354">
        <v>56.130366000000002</v>
      </c>
      <c r="AB2354">
        <v>-106.346771</v>
      </c>
    </row>
    <row r="2355" spans="1:28" hidden="1">
      <c r="A2355">
        <v>2259</v>
      </c>
      <c r="B2355">
        <v>1200</v>
      </c>
      <c r="C2355" t="s">
        <v>469</v>
      </c>
      <c r="D2355" t="s">
        <v>4411</v>
      </c>
      <c r="E2355">
        <v>78</v>
      </c>
      <c r="G2355" t="s">
        <v>260</v>
      </c>
      <c r="H2355" t="s">
        <v>515</v>
      </c>
      <c r="I2355" t="s">
        <v>4412</v>
      </c>
      <c r="J2355" t="s">
        <v>469</v>
      </c>
      <c r="K2355" t="s">
        <v>77</v>
      </c>
      <c r="M2355" t="b">
        <v>0</v>
      </c>
      <c r="N2355" t="s">
        <v>32</v>
      </c>
      <c r="O2355" t="s">
        <v>33</v>
      </c>
      <c r="Q2355">
        <v>114.52</v>
      </c>
      <c r="R2355">
        <v>-1.9</v>
      </c>
      <c r="S2355" t="s">
        <v>264</v>
      </c>
      <c r="T2355">
        <v>36.799999999999997</v>
      </c>
      <c r="V2355">
        <v>108.4</v>
      </c>
      <c r="W2355">
        <v>77.8</v>
      </c>
      <c r="X2355">
        <v>0.1</v>
      </c>
      <c r="Y2355">
        <v>15.9</v>
      </c>
      <c r="Z2355">
        <v>9770529</v>
      </c>
      <c r="AA2355">
        <v>23.424075999999999</v>
      </c>
      <c r="AB2355">
        <v>53.847817999999997</v>
      </c>
    </row>
    <row r="2356" spans="1:28" hidden="1">
      <c r="A2356">
        <v>2259</v>
      </c>
      <c r="B2356">
        <v>1200</v>
      </c>
      <c r="C2356" t="s">
        <v>54</v>
      </c>
      <c r="D2356" t="s">
        <v>4413</v>
      </c>
      <c r="E2356">
        <v>81</v>
      </c>
      <c r="G2356" t="s">
        <v>127</v>
      </c>
      <c r="H2356" t="s">
        <v>128</v>
      </c>
      <c r="I2356" t="s">
        <v>1152</v>
      </c>
      <c r="J2356" t="s">
        <v>54</v>
      </c>
      <c r="K2356" t="s">
        <v>127</v>
      </c>
      <c r="M2356" t="b">
        <v>1</v>
      </c>
      <c r="N2356" t="s">
        <v>42</v>
      </c>
      <c r="O2356" t="s">
        <v>33</v>
      </c>
      <c r="Q2356">
        <v>116.76</v>
      </c>
      <c r="R2356">
        <v>1.9</v>
      </c>
      <c r="S2356" t="s">
        <v>132</v>
      </c>
      <c r="T2356">
        <v>68.900000000000006</v>
      </c>
      <c r="V2356">
        <v>100.9</v>
      </c>
      <c r="W2356">
        <v>81.900000000000006</v>
      </c>
      <c r="X2356">
        <v>12.8</v>
      </c>
      <c r="Y2356">
        <v>24.5</v>
      </c>
      <c r="Z2356">
        <v>36991981</v>
      </c>
      <c r="AA2356">
        <v>56.130366000000002</v>
      </c>
      <c r="AB2356">
        <v>-106.346771</v>
      </c>
    </row>
    <row r="2357" spans="1:28" hidden="1">
      <c r="A2357">
        <v>2259</v>
      </c>
      <c r="B2357">
        <v>1200</v>
      </c>
      <c r="C2357" t="s">
        <v>26</v>
      </c>
      <c r="D2357" t="s">
        <v>4414</v>
      </c>
      <c r="E2357">
        <v>80</v>
      </c>
      <c r="G2357" t="s">
        <v>203</v>
      </c>
      <c r="H2357" t="s">
        <v>204</v>
      </c>
      <c r="I2357" t="s">
        <v>2158</v>
      </c>
      <c r="J2357" t="s">
        <v>26</v>
      </c>
      <c r="K2357" t="s">
        <v>384</v>
      </c>
      <c r="M2357" t="b">
        <v>1</v>
      </c>
      <c r="N2357" t="s">
        <v>42</v>
      </c>
      <c r="O2357" t="s">
        <v>33</v>
      </c>
      <c r="Q2357">
        <v>119.62</v>
      </c>
      <c r="R2357">
        <v>1.7</v>
      </c>
      <c r="S2357" t="s">
        <v>206</v>
      </c>
      <c r="T2357">
        <v>60</v>
      </c>
      <c r="V2357">
        <v>101.2</v>
      </c>
      <c r="W2357">
        <v>81.3</v>
      </c>
      <c r="X2357">
        <v>25.5</v>
      </c>
      <c r="Y2357">
        <v>30.6</v>
      </c>
      <c r="Z2357">
        <v>66834405</v>
      </c>
      <c r="AA2357">
        <v>55.378050999999999</v>
      </c>
      <c r="AB2357">
        <v>-3.4359730000000002</v>
      </c>
    </row>
    <row r="2358" spans="1:28" hidden="1">
      <c r="A2358">
        <v>2259</v>
      </c>
      <c r="B2358">
        <v>1200</v>
      </c>
      <c r="C2358" t="s">
        <v>45</v>
      </c>
      <c r="D2358" t="s">
        <v>4415</v>
      </c>
      <c r="E2358">
        <v>52</v>
      </c>
      <c r="G2358" t="s">
        <v>103</v>
      </c>
      <c r="H2358" t="s">
        <v>489</v>
      </c>
      <c r="I2358" t="s">
        <v>4416</v>
      </c>
      <c r="J2358" t="s">
        <v>45</v>
      </c>
      <c r="K2358" t="s">
        <v>103</v>
      </c>
      <c r="M2358" t="b">
        <v>1</v>
      </c>
      <c r="N2358" t="s">
        <v>853</v>
      </c>
      <c r="O2358" t="s">
        <v>33</v>
      </c>
      <c r="Q2358">
        <v>125.08</v>
      </c>
      <c r="R2358">
        <v>2.9</v>
      </c>
      <c r="S2358" t="s">
        <v>106</v>
      </c>
      <c r="T2358">
        <v>50.6</v>
      </c>
      <c r="V2358">
        <v>100.2</v>
      </c>
      <c r="W2358">
        <v>77</v>
      </c>
      <c r="X2358">
        <v>9.4</v>
      </c>
      <c r="Y2358">
        <v>59.2</v>
      </c>
      <c r="Z2358">
        <v>1397715000</v>
      </c>
      <c r="AA2358">
        <v>35.861660000000001</v>
      </c>
      <c r="AB2358">
        <v>104.195397</v>
      </c>
    </row>
    <row r="2359" spans="1:28" hidden="1">
      <c r="A2359">
        <v>2259</v>
      </c>
      <c r="B2359">
        <v>1200</v>
      </c>
      <c r="C2359" t="s">
        <v>45</v>
      </c>
      <c r="D2359" t="s">
        <v>4417</v>
      </c>
      <c r="E2359">
        <v>43</v>
      </c>
      <c r="G2359" t="s">
        <v>38</v>
      </c>
      <c r="H2359" t="s">
        <v>652</v>
      </c>
      <c r="I2359" t="s">
        <v>572</v>
      </c>
      <c r="J2359" t="s">
        <v>45</v>
      </c>
      <c r="K2359" t="s">
        <v>438</v>
      </c>
      <c r="M2359" t="b">
        <v>1</v>
      </c>
      <c r="N2359" t="s">
        <v>192</v>
      </c>
      <c r="O2359" t="s">
        <v>33</v>
      </c>
      <c r="Q2359">
        <v>117.24</v>
      </c>
      <c r="R2359">
        <v>7.5</v>
      </c>
      <c r="S2359" t="s">
        <v>44</v>
      </c>
      <c r="T2359">
        <v>88.2</v>
      </c>
      <c r="V2359">
        <v>101.8</v>
      </c>
      <c r="W2359">
        <v>78.5</v>
      </c>
      <c r="X2359">
        <v>9.6</v>
      </c>
      <c r="Y2359">
        <v>36.6</v>
      </c>
      <c r="Z2359">
        <v>328239523</v>
      </c>
      <c r="AA2359">
        <v>37.090240000000001</v>
      </c>
      <c r="AB2359">
        <v>-95.712890999999999</v>
      </c>
    </row>
    <row r="2360" spans="1:28" hidden="1">
      <c r="A2360">
        <v>2259</v>
      </c>
      <c r="B2360">
        <v>1200</v>
      </c>
      <c r="C2360" t="s">
        <v>36</v>
      </c>
      <c r="D2360" t="s">
        <v>4418</v>
      </c>
      <c r="E2360">
        <v>43</v>
      </c>
      <c r="G2360" t="s">
        <v>148</v>
      </c>
      <c r="H2360" t="s">
        <v>1051</v>
      </c>
      <c r="I2360" t="s">
        <v>4419</v>
      </c>
      <c r="J2360" t="s">
        <v>36</v>
      </c>
      <c r="K2360" t="s">
        <v>148</v>
      </c>
      <c r="M2360" t="b">
        <v>0</v>
      </c>
      <c r="N2360" t="s">
        <v>42</v>
      </c>
      <c r="O2360" t="s">
        <v>33</v>
      </c>
      <c r="Q2360">
        <v>112.85</v>
      </c>
      <c r="R2360">
        <v>1.4</v>
      </c>
      <c r="S2360" t="s">
        <v>151</v>
      </c>
      <c r="T2360">
        <v>70.2</v>
      </c>
      <c r="V2360">
        <v>104</v>
      </c>
      <c r="W2360">
        <v>80.900000000000006</v>
      </c>
      <c r="X2360">
        <v>11.5</v>
      </c>
      <c r="Y2360">
        <v>48.8</v>
      </c>
      <c r="Z2360">
        <v>83132799</v>
      </c>
      <c r="AA2360">
        <v>51.165691000000002</v>
      </c>
      <c r="AB2360">
        <v>10.451525999999999</v>
      </c>
    </row>
    <row r="2361" spans="1:28" hidden="1">
      <c r="A2361">
        <v>2259</v>
      </c>
      <c r="B2361">
        <v>1200</v>
      </c>
      <c r="C2361" t="s">
        <v>36</v>
      </c>
      <c r="D2361" t="s">
        <v>4420</v>
      </c>
      <c r="E2361">
        <v>40</v>
      </c>
      <c r="G2361" t="s">
        <v>148</v>
      </c>
      <c r="H2361" t="s">
        <v>1051</v>
      </c>
      <c r="I2361" t="s">
        <v>4419</v>
      </c>
      <c r="J2361" t="s">
        <v>36</v>
      </c>
      <c r="K2361" t="s">
        <v>148</v>
      </c>
      <c r="M2361" t="b">
        <v>0</v>
      </c>
      <c r="N2361" t="s">
        <v>42</v>
      </c>
      <c r="O2361" t="s">
        <v>33</v>
      </c>
      <c r="Q2361">
        <v>112.85</v>
      </c>
      <c r="R2361">
        <v>1.4</v>
      </c>
      <c r="S2361" t="s">
        <v>151</v>
      </c>
      <c r="T2361">
        <v>70.2</v>
      </c>
      <c r="V2361">
        <v>104</v>
      </c>
      <c r="W2361">
        <v>80.900000000000006</v>
      </c>
      <c r="X2361">
        <v>11.5</v>
      </c>
      <c r="Y2361">
        <v>48.8</v>
      </c>
      <c r="Z2361">
        <v>83132799</v>
      </c>
      <c r="AA2361">
        <v>51.165691000000002</v>
      </c>
      <c r="AB2361">
        <v>10.451525999999999</v>
      </c>
    </row>
    <row r="2362" spans="1:28" hidden="1">
      <c r="A2362">
        <v>2259</v>
      </c>
      <c r="B2362">
        <v>1200</v>
      </c>
      <c r="C2362" t="s">
        <v>250</v>
      </c>
      <c r="D2362" t="s">
        <v>4421</v>
      </c>
      <c r="E2362">
        <v>73</v>
      </c>
      <c r="G2362" t="s">
        <v>252</v>
      </c>
      <c r="H2362" t="s">
        <v>253</v>
      </c>
      <c r="I2362" t="s">
        <v>4422</v>
      </c>
      <c r="J2362" t="s">
        <v>250</v>
      </c>
      <c r="K2362" t="s">
        <v>252</v>
      </c>
      <c r="M2362" t="b">
        <v>0</v>
      </c>
      <c r="N2362" t="s">
        <v>42</v>
      </c>
      <c r="O2362" t="s">
        <v>33</v>
      </c>
      <c r="Q2362">
        <v>151.18</v>
      </c>
      <c r="R2362">
        <v>3</v>
      </c>
      <c r="S2362" t="s">
        <v>255</v>
      </c>
      <c r="T2362">
        <v>36.299999999999997</v>
      </c>
      <c r="V2362">
        <v>106.4</v>
      </c>
      <c r="W2362">
        <v>71.5</v>
      </c>
      <c r="X2362">
        <v>10.199999999999999</v>
      </c>
      <c r="Y2362">
        <v>30.1</v>
      </c>
      <c r="Z2362">
        <v>270203917</v>
      </c>
      <c r="AA2362">
        <v>-0.78927499999999995</v>
      </c>
      <c r="AB2362">
        <v>113.92132700000001</v>
      </c>
    </row>
    <row r="2363" spans="1:28" hidden="1">
      <c r="A2363">
        <v>2259</v>
      </c>
      <c r="B2363">
        <v>1200</v>
      </c>
      <c r="C2363" t="s">
        <v>288</v>
      </c>
      <c r="D2363" t="s">
        <v>4423</v>
      </c>
      <c r="E2363">
        <v>49</v>
      </c>
      <c r="G2363" t="s">
        <v>77</v>
      </c>
      <c r="H2363" t="s">
        <v>78</v>
      </c>
      <c r="I2363" t="s">
        <v>288</v>
      </c>
      <c r="J2363" t="s">
        <v>288</v>
      </c>
      <c r="K2363" t="s">
        <v>77</v>
      </c>
      <c r="M2363" t="b">
        <v>1</v>
      </c>
      <c r="N2363" t="s">
        <v>192</v>
      </c>
      <c r="O2363" t="s">
        <v>33</v>
      </c>
      <c r="Q2363">
        <v>180.44</v>
      </c>
      <c r="R2363">
        <v>7.7</v>
      </c>
      <c r="S2363" t="s">
        <v>81</v>
      </c>
      <c r="T2363">
        <v>28.1</v>
      </c>
      <c r="V2363">
        <v>113</v>
      </c>
      <c r="W2363">
        <v>69.400000000000006</v>
      </c>
      <c r="X2363">
        <v>11.2</v>
      </c>
      <c r="Y2363">
        <v>49.7</v>
      </c>
      <c r="Z2363">
        <v>1366417754</v>
      </c>
      <c r="AA2363">
        <v>20.593684</v>
      </c>
      <c r="AB2363">
        <v>78.962879999999998</v>
      </c>
    </row>
    <row r="2364" spans="1:28">
      <c r="A2364">
        <v>2259</v>
      </c>
      <c r="B2364">
        <v>1200</v>
      </c>
      <c r="C2364" t="s">
        <v>45</v>
      </c>
      <c r="D2364" t="s">
        <v>4424</v>
      </c>
      <c r="E2364">
        <v>52</v>
      </c>
      <c r="F2364" t="str">
        <f>IF(E2364&gt;=90,"90-100",IF(E2364&gt;=80,"80-90",IF(E2364&gt;=70,"70-80",IF(E2364&gt;=60,"60-70",IF(E2364&gt;=50,"50-60",IF(E2364&gt;=40,"40-50",IF(E2364&gt;=30,"30-40","20-30")))))))</f>
        <v>50-60</v>
      </c>
      <c r="G2364" t="s">
        <v>203</v>
      </c>
      <c r="H2364" t="s">
        <v>204</v>
      </c>
      <c r="I2364" t="s">
        <v>572</v>
      </c>
      <c r="J2364" t="s">
        <v>45</v>
      </c>
      <c r="K2364" t="s">
        <v>38</v>
      </c>
      <c r="L2364" t="s">
        <v>4425</v>
      </c>
      <c r="M2364" t="b">
        <v>1</v>
      </c>
      <c r="N2364" t="s">
        <v>32</v>
      </c>
      <c r="O2364" t="s">
        <v>4867</v>
      </c>
      <c r="P2364" t="s">
        <v>4426</v>
      </c>
      <c r="Q2364">
        <v>119.62</v>
      </c>
      <c r="R2364">
        <v>1.7</v>
      </c>
      <c r="S2364" t="s">
        <v>206</v>
      </c>
      <c r="T2364">
        <v>60</v>
      </c>
      <c r="U2364" t="str">
        <f>IF(T2364&gt;=100,"above 100",IF(T2364&gt;=80,"80-100",IF(T2364&gt;=60,"60-80",IF(T2364&gt;=40,"40-60",IF(T2364&gt;=20,"20-60","0-20")))))</f>
        <v>60-80</v>
      </c>
      <c r="V2364">
        <v>101.2</v>
      </c>
      <c r="W2364">
        <v>81.3</v>
      </c>
      <c r="X2364">
        <v>25.5</v>
      </c>
      <c r="Y2364">
        <v>30.6</v>
      </c>
      <c r="Z2364">
        <v>66834405</v>
      </c>
      <c r="AA2364">
        <v>55.378050999999999</v>
      </c>
      <c r="AB2364">
        <v>-3.4359730000000002</v>
      </c>
    </row>
    <row r="2365" spans="1:28" hidden="1">
      <c r="A2365">
        <v>2259</v>
      </c>
      <c r="B2365">
        <v>1200</v>
      </c>
      <c r="C2365" t="s">
        <v>469</v>
      </c>
      <c r="D2365" t="s">
        <v>4427</v>
      </c>
      <c r="E2365">
        <v>51</v>
      </c>
      <c r="G2365" t="s">
        <v>164</v>
      </c>
      <c r="H2365" t="s">
        <v>538</v>
      </c>
      <c r="I2365" t="s">
        <v>4135</v>
      </c>
      <c r="J2365" t="s">
        <v>469</v>
      </c>
      <c r="K2365" t="s">
        <v>164</v>
      </c>
      <c r="M2365" t="b">
        <v>0</v>
      </c>
      <c r="N2365" t="s">
        <v>42</v>
      </c>
      <c r="O2365" t="s">
        <v>33</v>
      </c>
      <c r="Q2365">
        <v>110.62</v>
      </c>
      <c r="R2365">
        <v>0.6</v>
      </c>
      <c r="S2365" t="s">
        <v>539</v>
      </c>
      <c r="T2365">
        <v>61.9</v>
      </c>
      <c r="V2365">
        <v>101.9</v>
      </c>
      <c r="W2365">
        <v>82.9</v>
      </c>
      <c r="X2365">
        <v>24.3</v>
      </c>
      <c r="Y2365">
        <v>59.1</v>
      </c>
      <c r="Z2365">
        <v>60297396</v>
      </c>
      <c r="AA2365">
        <v>41.871940000000002</v>
      </c>
      <c r="AB2365">
        <v>12.56738</v>
      </c>
    </row>
    <row r="2366" spans="1:28" hidden="1">
      <c r="A2366">
        <v>2259</v>
      </c>
      <c r="B2366">
        <v>1200</v>
      </c>
      <c r="C2366" t="s">
        <v>469</v>
      </c>
      <c r="D2366" t="s">
        <v>4428</v>
      </c>
      <c r="E2366">
        <v>51</v>
      </c>
      <c r="G2366" t="s">
        <v>164</v>
      </c>
      <c r="H2366" t="s">
        <v>538</v>
      </c>
      <c r="I2366" t="s">
        <v>4135</v>
      </c>
      <c r="J2366" t="s">
        <v>469</v>
      </c>
      <c r="K2366" t="s">
        <v>164</v>
      </c>
      <c r="M2366" t="b">
        <v>0</v>
      </c>
      <c r="N2366" t="s">
        <v>42</v>
      </c>
      <c r="O2366" t="s">
        <v>88</v>
      </c>
      <c r="Q2366">
        <v>110.62</v>
      </c>
      <c r="R2366">
        <v>0.6</v>
      </c>
      <c r="S2366" t="s">
        <v>539</v>
      </c>
      <c r="T2366">
        <v>61.9</v>
      </c>
      <c r="V2366">
        <v>101.9</v>
      </c>
      <c r="W2366">
        <v>82.9</v>
      </c>
      <c r="X2366">
        <v>24.3</v>
      </c>
      <c r="Y2366">
        <v>59.1</v>
      </c>
      <c r="Z2366">
        <v>60297396</v>
      </c>
      <c r="AA2366">
        <v>41.871940000000002</v>
      </c>
      <c r="AB2366">
        <v>12.56738</v>
      </c>
    </row>
    <row r="2367" spans="1:28" hidden="1">
      <c r="A2367">
        <v>2259</v>
      </c>
      <c r="B2367">
        <v>1200</v>
      </c>
      <c r="C2367" t="s">
        <v>54</v>
      </c>
      <c r="D2367" t="s">
        <v>4429</v>
      </c>
      <c r="E2367">
        <v>82</v>
      </c>
      <c r="G2367" t="s">
        <v>38</v>
      </c>
      <c r="H2367" t="s">
        <v>4430</v>
      </c>
      <c r="I2367" t="s">
        <v>185</v>
      </c>
      <c r="J2367" t="s">
        <v>54</v>
      </c>
      <c r="K2367" t="s">
        <v>38</v>
      </c>
      <c r="M2367" t="b">
        <v>1</v>
      </c>
      <c r="N2367" t="s">
        <v>419</v>
      </c>
      <c r="O2367" t="s">
        <v>33</v>
      </c>
      <c r="Q2367">
        <v>117.24</v>
      </c>
      <c r="R2367">
        <v>7.5</v>
      </c>
      <c r="S2367" t="s">
        <v>44</v>
      </c>
      <c r="T2367">
        <v>88.2</v>
      </c>
      <c r="V2367">
        <v>101.8</v>
      </c>
      <c r="W2367">
        <v>78.5</v>
      </c>
      <c r="X2367">
        <v>9.6</v>
      </c>
      <c r="Y2367">
        <v>36.6</v>
      </c>
      <c r="Z2367">
        <v>328239523</v>
      </c>
      <c r="AA2367">
        <v>37.090240000000001</v>
      </c>
      <c r="AB2367">
        <v>-95.712890999999999</v>
      </c>
    </row>
    <row r="2368" spans="1:28" hidden="1">
      <c r="A2368">
        <v>2259</v>
      </c>
      <c r="B2368">
        <v>1200</v>
      </c>
      <c r="C2368" t="s">
        <v>45</v>
      </c>
      <c r="D2368" t="s">
        <v>4431</v>
      </c>
      <c r="E2368">
        <v>58</v>
      </c>
      <c r="G2368" t="s">
        <v>38</v>
      </c>
      <c r="H2368" t="s">
        <v>2711</v>
      </c>
      <c r="I2368" t="s">
        <v>3938</v>
      </c>
      <c r="J2368" t="s">
        <v>45</v>
      </c>
      <c r="K2368" t="s">
        <v>3144</v>
      </c>
      <c r="M2368" t="b">
        <v>1</v>
      </c>
      <c r="N2368" t="s">
        <v>42</v>
      </c>
      <c r="O2368" t="s">
        <v>33</v>
      </c>
      <c r="Q2368">
        <v>117.24</v>
      </c>
      <c r="R2368">
        <v>7.5</v>
      </c>
      <c r="S2368" t="s">
        <v>44</v>
      </c>
      <c r="T2368">
        <v>88.2</v>
      </c>
      <c r="V2368">
        <v>101.8</v>
      </c>
      <c r="W2368">
        <v>78.5</v>
      </c>
      <c r="X2368">
        <v>9.6</v>
      </c>
      <c r="Y2368">
        <v>36.6</v>
      </c>
      <c r="Z2368">
        <v>328239523</v>
      </c>
      <c r="AA2368">
        <v>37.090240000000001</v>
      </c>
      <c r="AB2368">
        <v>-95.712890999999999</v>
      </c>
    </row>
    <row r="2369" spans="1:28" hidden="1">
      <c r="A2369">
        <v>2259</v>
      </c>
      <c r="B2369">
        <v>1200</v>
      </c>
      <c r="C2369" t="s">
        <v>236</v>
      </c>
      <c r="D2369" t="s">
        <v>4432</v>
      </c>
      <c r="E2369">
        <v>77</v>
      </c>
      <c r="G2369" t="s">
        <v>252</v>
      </c>
      <c r="H2369" t="s">
        <v>253</v>
      </c>
      <c r="I2369" t="s">
        <v>254</v>
      </c>
      <c r="J2369" t="s">
        <v>236</v>
      </c>
      <c r="K2369" t="s">
        <v>252</v>
      </c>
      <c r="M2369" t="b">
        <v>1</v>
      </c>
      <c r="N2369" t="s">
        <v>192</v>
      </c>
      <c r="O2369" t="s">
        <v>33</v>
      </c>
      <c r="Q2369">
        <v>151.18</v>
      </c>
      <c r="R2369">
        <v>3</v>
      </c>
      <c r="S2369" t="s">
        <v>255</v>
      </c>
      <c r="T2369">
        <v>36.299999999999997</v>
      </c>
      <c r="V2369">
        <v>106.4</v>
      </c>
      <c r="W2369">
        <v>71.5</v>
      </c>
      <c r="X2369">
        <v>10.199999999999999</v>
      </c>
      <c r="Y2369">
        <v>30.1</v>
      </c>
      <c r="Z2369">
        <v>270203917</v>
      </c>
      <c r="AA2369">
        <v>-0.78927499999999995</v>
      </c>
      <c r="AB2369">
        <v>113.92132700000001</v>
      </c>
    </row>
    <row r="2370" spans="1:28" hidden="1">
      <c r="A2370">
        <v>2259</v>
      </c>
      <c r="B2370">
        <v>1200</v>
      </c>
      <c r="C2370" t="s">
        <v>217</v>
      </c>
      <c r="D2370" t="s">
        <v>4433</v>
      </c>
      <c r="E2370">
        <v>61</v>
      </c>
      <c r="G2370" t="s">
        <v>161</v>
      </c>
      <c r="H2370" t="s">
        <v>4434</v>
      </c>
      <c r="I2370" t="s">
        <v>4435</v>
      </c>
      <c r="J2370" t="s">
        <v>217</v>
      </c>
      <c r="K2370" t="s">
        <v>161</v>
      </c>
      <c r="M2370" t="b">
        <v>1</v>
      </c>
      <c r="N2370" t="s">
        <v>419</v>
      </c>
      <c r="O2370" t="s">
        <v>33</v>
      </c>
      <c r="Q2370">
        <v>117.11</v>
      </c>
      <c r="R2370">
        <v>1.4</v>
      </c>
      <c r="S2370" t="s">
        <v>165</v>
      </c>
      <c r="T2370">
        <v>79.7</v>
      </c>
      <c r="V2370">
        <v>103.9</v>
      </c>
      <c r="W2370">
        <v>81.599999999999994</v>
      </c>
      <c r="X2370">
        <v>24</v>
      </c>
      <c r="Y2370">
        <v>55.4</v>
      </c>
      <c r="Z2370">
        <v>11484055</v>
      </c>
      <c r="AA2370">
        <v>50.503886999999999</v>
      </c>
      <c r="AB2370">
        <v>4.4699359999999997</v>
      </c>
    </row>
    <row r="2371" spans="1:28" hidden="1">
      <c r="A2371">
        <v>2259</v>
      </c>
      <c r="B2371">
        <v>1200</v>
      </c>
      <c r="C2371" t="s">
        <v>101</v>
      </c>
      <c r="D2371" t="s">
        <v>4436</v>
      </c>
      <c r="E2371">
        <v>70</v>
      </c>
      <c r="G2371" t="s">
        <v>726</v>
      </c>
      <c r="H2371" t="s">
        <v>727</v>
      </c>
      <c r="I2371" t="s">
        <v>1366</v>
      </c>
      <c r="J2371" t="s">
        <v>101</v>
      </c>
      <c r="K2371" t="s">
        <v>726</v>
      </c>
      <c r="M2371" t="b">
        <v>1</v>
      </c>
      <c r="N2371" t="s">
        <v>42</v>
      </c>
      <c r="O2371" t="s">
        <v>33</v>
      </c>
      <c r="Q2371">
        <v>129.61000000000001</v>
      </c>
      <c r="R2371">
        <v>2.5</v>
      </c>
      <c r="S2371" t="s">
        <v>728</v>
      </c>
      <c r="T2371">
        <v>35.5</v>
      </c>
      <c r="V2371">
        <v>107.5</v>
      </c>
      <c r="W2371">
        <v>71.099999999999994</v>
      </c>
      <c r="X2371">
        <v>14</v>
      </c>
      <c r="Y2371">
        <v>43.1</v>
      </c>
      <c r="Z2371">
        <v>108116615</v>
      </c>
      <c r="AA2371">
        <v>12.879721</v>
      </c>
      <c r="AB2371">
        <v>121.774017</v>
      </c>
    </row>
    <row r="2372" spans="1:28" hidden="1">
      <c r="A2372">
        <v>2259</v>
      </c>
      <c r="B2372">
        <v>1200</v>
      </c>
      <c r="C2372" t="s">
        <v>217</v>
      </c>
      <c r="D2372" t="s">
        <v>4437</v>
      </c>
      <c r="E2372">
        <v>59</v>
      </c>
      <c r="G2372" t="s">
        <v>103</v>
      </c>
      <c r="H2372" t="s">
        <v>463</v>
      </c>
      <c r="I2372" t="s">
        <v>217</v>
      </c>
      <c r="J2372" t="s">
        <v>217</v>
      </c>
      <c r="K2372" t="s">
        <v>103</v>
      </c>
      <c r="M2372" t="b">
        <v>1</v>
      </c>
      <c r="N2372" t="s">
        <v>32</v>
      </c>
      <c r="O2372" t="s">
        <v>33</v>
      </c>
      <c r="Q2372">
        <v>125.08</v>
      </c>
      <c r="R2372">
        <v>2.9</v>
      </c>
      <c r="S2372" t="s">
        <v>106</v>
      </c>
      <c r="T2372">
        <v>50.6</v>
      </c>
      <c r="V2372">
        <v>100.2</v>
      </c>
      <c r="W2372">
        <v>77</v>
      </c>
      <c r="X2372">
        <v>9.4</v>
      </c>
      <c r="Y2372">
        <v>59.2</v>
      </c>
      <c r="Z2372">
        <v>1397715000</v>
      </c>
      <c r="AA2372">
        <v>35.861660000000001</v>
      </c>
      <c r="AB2372">
        <v>104.195397</v>
      </c>
    </row>
    <row r="2373" spans="1:28" hidden="1">
      <c r="A2373">
        <v>2259</v>
      </c>
      <c r="B2373">
        <v>1200</v>
      </c>
      <c r="C2373" t="s">
        <v>221</v>
      </c>
      <c r="D2373" t="s">
        <v>4438</v>
      </c>
      <c r="E2373">
        <v>78</v>
      </c>
      <c r="G2373" t="s">
        <v>238</v>
      </c>
      <c r="H2373" t="s">
        <v>534</v>
      </c>
      <c r="I2373" t="s">
        <v>223</v>
      </c>
      <c r="J2373" t="s">
        <v>221</v>
      </c>
      <c r="K2373" t="s">
        <v>238</v>
      </c>
      <c r="M2373" t="b">
        <v>1</v>
      </c>
      <c r="N2373" t="s">
        <v>419</v>
      </c>
      <c r="O2373" t="s">
        <v>33</v>
      </c>
      <c r="Q2373">
        <v>119.8</v>
      </c>
      <c r="R2373">
        <v>1.6</v>
      </c>
      <c r="S2373" t="s">
        <v>243</v>
      </c>
      <c r="T2373">
        <v>113.1</v>
      </c>
      <c r="V2373">
        <v>100.3</v>
      </c>
      <c r="W2373">
        <v>82.7</v>
      </c>
      <c r="X2373">
        <v>23</v>
      </c>
      <c r="Y2373">
        <v>47.4</v>
      </c>
      <c r="Z2373">
        <v>25766605</v>
      </c>
      <c r="AA2373">
        <v>-25.274398000000001</v>
      </c>
      <c r="AB2373">
        <v>133.775136</v>
      </c>
    </row>
    <row r="2374" spans="1:28" hidden="1">
      <c r="A2374">
        <v>2259</v>
      </c>
      <c r="B2374">
        <v>1200</v>
      </c>
      <c r="C2374" t="s">
        <v>54</v>
      </c>
      <c r="D2374" t="s">
        <v>4439</v>
      </c>
      <c r="E2374">
        <v>75</v>
      </c>
      <c r="G2374" t="s">
        <v>164</v>
      </c>
      <c r="H2374" t="s">
        <v>4440</v>
      </c>
      <c r="I2374" t="s">
        <v>1466</v>
      </c>
      <c r="J2374" t="s">
        <v>54</v>
      </c>
      <c r="K2374" t="s">
        <v>164</v>
      </c>
      <c r="M2374" t="b">
        <v>0</v>
      </c>
      <c r="N2374" t="s">
        <v>42</v>
      </c>
      <c r="O2374" t="s">
        <v>88</v>
      </c>
      <c r="Q2374">
        <v>110.62</v>
      </c>
      <c r="R2374">
        <v>0.6</v>
      </c>
      <c r="S2374" t="s">
        <v>539</v>
      </c>
      <c r="T2374">
        <v>61.9</v>
      </c>
      <c r="V2374">
        <v>101.9</v>
      </c>
      <c r="W2374">
        <v>82.9</v>
      </c>
      <c r="X2374">
        <v>24.3</v>
      </c>
      <c r="Y2374">
        <v>59.1</v>
      </c>
      <c r="Z2374">
        <v>60297396</v>
      </c>
      <c r="AA2374">
        <v>41.871940000000002</v>
      </c>
      <c r="AB2374">
        <v>12.56738</v>
      </c>
    </row>
    <row r="2375" spans="1:28" hidden="1">
      <c r="A2375">
        <v>2259</v>
      </c>
      <c r="B2375">
        <v>1200</v>
      </c>
      <c r="C2375" t="s">
        <v>217</v>
      </c>
      <c r="D2375" t="s">
        <v>4441</v>
      </c>
      <c r="E2375">
        <v>60</v>
      </c>
      <c r="G2375" t="s">
        <v>103</v>
      </c>
      <c r="H2375" t="s">
        <v>3550</v>
      </c>
      <c r="I2375" t="s">
        <v>217</v>
      </c>
      <c r="J2375" t="s">
        <v>217</v>
      </c>
      <c r="K2375" t="s">
        <v>103</v>
      </c>
      <c r="M2375" t="b">
        <v>1</v>
      </c>
      <c r="N2375" t="s">
        <v>42</v>
      </c>
      <c r="O2375" t="s">
        <v>33</v>
      </c>
      <c r="Q2375">
        <v>125.08</v>
      </c>
      <c r="R2375">
        <v>2.9</v>
      </c>
      <c r="S2375" t="s">
        <v>106</v>
      </c>
      <c r="T2375">
        <v>50.6</v>
      </c>
      <c r="V2375">
        <v>100.2</v>
      </c>
      <c r="W2375">
        <v>77</v>
      </c>
      <c r="X2375">
        <v>9.4</v>
      </c>
      <c r="Y2375">
        <v>59.2</v>
      </c>
      <c r="Z2375">
        <v>1397715000</v>
      </c>
      <c r="AA2375">
        <v>35.861660000000001</v>
      </c>
      <c r="AB2375">
        <v>104.195397</v>
      </c>
    </row>
    <row r="2376" spans="1:28" hidden="1">
      <c r="A2376">
        <v>2259</v>
      </c>
      <c r="B2376">
        <v>1200</v>
      </c>
      <c r="C2376" t="s">
        <v>63</v>
      </c>
      <c r="D2376" t="s">
        <v>4442</v>
      </c>
      <c r="E2376">
        <v>81</v>
      </c>
      <c r="G2376" t="s">
        <v>438</v>
      </c>
      <c r="H2376" t="s">
        <v>4443</v>
      </c>
      <c r="I2376" t="s">
        <v>2666</v>
      </c>
      <c r="J2376" t="s">
        <v>63</v>
      </c>
      <c r="K2376" t="s">
        <v>438</v>
      </c>
      <c r="M2376" t="b">
        <v>1</v>
      </c>
      <c r="N2376" t="s">
        <v>42</v>
      </c>
      <c r="O2376" t="s">
        <v>33</v>
      </c>
      <c r="Q2376">
        <v>115.91</v>
      </c>
      <c r="R2376">
        <v>2.6</v>
      </c>
      <c r="S2376" t="s">
        <v>1101</v>
      </c>
      <c r="T2376">
        <v>85</v>
      </c>
      <c r="V2376">
        <v>104.2</v>
      </c>
      <c r="W2376">
        <v>81.8</v>
      </c>
      <c r="X2376">
        <v>23</v>
      </c>
      <c r="Y2376">
        <v>41.2</v>
      </c>
      <c r="Z2376">
        <v>17332850</v>
      </c>
      <c r="AA2376">
        <v>52.132632999999998</v>
      </c>
      <c r="AB2376">
        <v>5.2912660000000002</v>
      </c>
    </row>
    <row r="2377" spans="1:28" hidden="1">
      <c r="A2377">
        <v>2259</v>
      </c>
      <c r="B2377">
        <v>1200</v>
      </c>
      <c r="C2377" t="s">
        <v>54</v>
      </c>
      <c r="D2377" t="s">
        <v>4444</v>
      </c>
      <c r="E2377">
        <v>54</v>
      </c>
      <c r="G2377" t="s">
        <v>4445</v>
      </c>
      <c r="H2377" t="s">
        <v>4446</v>
      </c>
      <c r="I2377" t="s">
        <v>2118</v>
      </c>
      <c r="J2377" t="s">
        <v>54</v>
      </c>
      <c r="K2377" t="s">
        <v>4445</v>
      </c>
      <c r="M2377" t="b">
        <v>1</v>
      </c>
      <c r="N2377" t="s">
        <v>853</v>
      </c>
      <c r="O2377" t="s">
        <v>33</v>
      </c>
      <c r="Q2377">
        <v>129.18</v>
      </c>
      <c r="R2377">
        <v>1.4</v>
      </c>
      <c r="S2377" t="s">
        <v>4447</v>
      </c>
      <c r="T2377">
        <v>54.6</v>
      </c>
      <c r="V2377">
        <v>92.7</v>
      </c>
      <c r="W2377">
        <v>74.900000000000006</v>
      </c>
      <c r="X2377">
        <v>20.9</v>
      </c>
      <c r="Y2377">
        <v>22.6</v>
      </c>
      <c r="Z2377">
        <v>2957731</v>
      </c>
      <c r="AA2377">
        <v>40.069099000000001</v>
      </c>
      <c r="AB2377">
        <v>45.038189000000003</v>
      </c>
    </row>
    <row r="2378" spans="1:28" hidden="1">
      <c r="A2378">
        <v>2259</v>
      </c>
      <c r="B2378">
        <v>1200</v>
      </c>
      <c r="C2378" t="s">
        <v>26</v>
      </c>
      <c r="D2378" t="s">
        <v>4448</v>
      </c>
      <c r="E2378">
        <v>63</v>
      </c>
      <c r="G2378" t="s">
        <v>164</v>
      </c>
      <c r="H2378" t="s">
        <v>538</v>
      </c>
      <c r="I2378" t="s">
        <v>2062</v>
      </c>
      <c r="J2378" t="s">
        <v>26</v>
      </c>
      <c r="K2378" t="s">
        <v>164</v>
      </c>
      <c r="M2378" t="b">
        <v>1</v>
      </c>
      <c r="N2378" t="s">
        <v>42</v>
      </c>
      <c r="O2378" t="s">
        <v>33</v>
      </c>
      <c r="Q2378">
        <v>110.62</v>
      </c>
      <c r="R2378">
        <v>0.6</v>
      </c>
      <c r="S2378" t="s">
        <v>539</v>
      </c>
      <c r="T2378">
        <v>61.9</v>
      </c>
      <c r="V2378">
        <v>101.9</v>
      </c>
      <c r="W2378">
        <v>82.9</v>
      </c>
      <c r="X2378">
        <v>24.3</v>
      </c>
      <c r="Y2378">
        <v>59.1</v>
      </c>
      <c r="Z2378">
        <v>60297396</v>
      </c>
      <c r="AA2378">
        <v>41.871940000000002</v>
      </c>
      <c r="AB2378">
        <v>12.56738</v>
      </c>
    </row>
    <row r="2379" spans="1:28" hidden="1">
      <c r="A2379">
        <v>2259</v>
      </c>
      <c r="B2379">
        <v>1200</v>
      </c>
      <c r="C2379" t="s">
        <v>221</v>
      </c>
      <c r="D2379" t="s">
        <v>4449</v>
      </c>
      <c r="E2379">
        <v>65</v>
      </c>
      <c r="G2379" t="s">
        <v>429</v>
      </c>
      <c r="H2379" t="s">
        <v>430</v>
      </c>
      <c r="I2379" t="s">
        <v>223</v>
      </c>
      <c r="J2379" t="s">
        <v>221</v>
      </c>
      <c r="K2379" t="s">
        <v>429</v>
      </c>
      <c r="M2379" t="b">
        <v>1</v>
      </c>
      <c r="N2379" t="s">
        <v>419</v>
      </c>
      <c r="O2379" t="s">
        <v>33</v>
      </c>
      <c r="Q2379">
        <v>113.27</v>
      </c>
      <c r="R2379">
        <v>0.7</v>
      </c>
      <c r="S2379" t="s">
        <v>431</v>
      </c>
      <c r="T2379">
        <v>49.3</v>
      </c>
      <c r="V2379">
        <v>99.8</v>
      </c>
      <c r="W2379">
        <v>76.900000000000006</v>
      </c>
      <c r="X2379">
        <v>14.9</v>
      </c>
      <c r="Y2379">
        <v>29.5</v>
      </c>
      <c r="Z2379">
        <v>69625582</v>
      </c>
      <c r="AA2379">
        <v>15.870032</v>
      </c>
      <c r="AB2379">
        <v>100.992541</v>
      </c>
    </row>
    <row r="2380" spans="1:28" hidden="1">
      <c r="A2380">
        <v>2259</v>
      </c>
      <c r="B2380">
        <v>1200</v>
      </c>
      <c r="C2380" t="s">
        <v>54</v>
      </c>
      <c r="D2380" t="s">
        <v>4450</v>
      </c>
      <c r="E2380">
        <v>57</v>
      </c>
      <c r="G2380" t="s">
        <v>172</v>
      </c>
      <c r="H2380" t="s">
        <v>172</v>
      </c>
      <c r="I2380" t="s">
        <v>4143</v>
      </c>
      <c r="J2380" t="s">
        <v>54</v>
      </c>
      <c r="K2380" t="s">
        <v>397</v>
      </c>
      <c r="M2380" t="b">
        <v>1</v>
      </c>
      <c r="N2380" t="s">
        <v>42</v>
      </c>
      <c r="O2380" t="s">
        <v>33</v>
      </c>
    </row>
    <row r="2381" spans="1:28" hidden="1">
      <c r="A2381">
        <v>2259</v>
      </c>
      <c r="B2381">
        <v>1200</v>
      </c>
      <c r="C2381" t="s">
        <v>288</v>
      </c>
      <c r="D2381" t="s">
        <v>4451</v>
      </c>
      <c r="G2381" t="s">
        <v>103</v>
      </c>
      <c r="H2381" t="s">
        <v>4452</v>
      </c>
      <c r="I2381" t="s">
        <v>418</v>
      </c>
      <c r="J2381" t="s">
        <v>288</v>
      </c>
      <c r="K2381" t="s">
        <v>103</v>
      </c>
      <c r="M2381" t="b">
        <v>1</v>
      </c>
      <c r="N2381" t="s">
        <v>42</v>
      </c>
      <c r="O2381" t="s">
        <v>33</v>
      </c>
      <c r="Q2381">
        <v>125.08</v>
      </c>
      <c r="R2381">
        <v>2.9</v>
      </c>
      <c r="S2381" t="s">
        <v>106</v>
      </c>
      <c r="T2381">
        <v>50.6</v>
      </c>
      <c r="V2381">
        <v>100.2</v>
      </c>
      <c r="W2381">
        <v>77</v>
      </c>
      <c r="X2381">
        <v>9.4</v>
      </c>
      <c r="Y2381">
        <v>59.2</v>
      </c>
      <c r="Z2381">
        <v>1397715000</v>
      </c>
      <c r="AA2381">
        <v>35.861660000000001</v>
      </c>
      <c r="AB2381">
        <v>104.195397</v>
      </c>
    </row>
    <row r="2382" spans="1:28" hidden="1">
      <c r="A2382">
        <v>2259</v>
      </c>
      <c r="B2382">
        <v>1200</v>
      </c>
      <c r="C2382" t="s">
        <v>217</v>
      </c>
      <c r="D2382" t="s">
        <v>4453</v>
      </c>
      <c r="E2382">
        <v>61</v>
      </c>
      <c r="G2382" t="s">
        <v>810</v>
      </c>
      <c r="H2382" t="s">
        <v>811</v>
      </c>
      <c r="I2382" t="s">
        <v>4454</v>
      </c>
      <c r="J2382" t="s">
        <v>217</v>
      </c>
      <c r="K2382" t="s">
        <v>810</v>
      </c>
      <c r="M2382" t="b">
        <v>1</v>
      </c>
      <c r="N2382" t="s">
        <v>192</v>
      </c>
      <c r="O2382" t="s">
        <v>33</v>
      </c>
    </row>
    <row r="2383" spans="1:28" hidden="1">
      <c r="A2383">
        <v>2259</v>
      </c>
      <c r="B2383">
        <v>1200</v>
      </c>
      <c r="C2383" t="s">
        <v>217</v>
      </c>
      <c r="D2383" t="s">
        <v>4455</v>
      </c>
      <c r="E2383">
        <v>54</v>
      </c>
      <c r="G2383" t="s">
        <v>103</v>
      </c>
      <c r="H2383" t="s">
        <v>4456</v>
      </c>
      <c r="I2383" t="s">
        <v>2091</v>
      </c>
      <c r="J2383" t="s">
        <v>217</v>
      </c>
      <c r="K2383" t="s">
        <v>103</v>
      </c>
      <c r="M2383" t="b">
        <v>1</v>
      </c>
      <c r="N2383" t="s">
        <v>42</v>
      </c>
      <c r="O2383" t="s">
        <v>33</v>
      </c>
      <c r="Q2383">
        <v>125.08</v>
      </c>
      <c r="R2383">
        <v>2.9</v>
      </c>
      <c r="S2383" t="s">
        <v>106</v>
      </c>
      <c r="T2383">
        <v>50.6</v>
      </c>
      <c r="V2383">
        <v>100.2</v>
      </c>
      <c r="W2383">
        <v>77</v>
      </c>
      <c r="X2383">
        <v>9.4</v>
      </c>
      <c r="Y2383">
        <v>59.2</v>
      </c>
      <c r="Z2383">
        <v>1397715000</v>
      </c>
      <c r="AA2383">
        <v>35.861660000000001</v>
      </c>
      <c r="AB2383">
        <v>104.195397</v>
      </c>
    </row>
    <row r="2384" spans="1:28" hidden="1">
      <c r="A2384">
        <v>2259</v>
      </c>
      <c r="B2384">
        <v>1200</v>
      </c>
      <c r="C2384" t="s">
        <v>75</v>
      </c>
      <c r="D2384" t="s">
        <v>4457</v>
      </c>
      <c r="E2384">
        <v>87</v>
      </c>
      <c r="G2384" t="s">
        <v>38</v>
      </c>
      <c r="H2384" t="s">
        <v>4458</v>
      </c>
      <c r="I2384" t="s">
        <v>818</v>
      </c>
      <c r="J2384" t="s">
        <v>75</v>
      </c>
      <c r="K2384" t="s">
        <v>38</v>
      </c>
      <c r="M2384" t="b">
        <v>1</v>
      </c>
      <c r="N2384" t="s">
        <v>419</v>
      </c>
      <c r="O2384" t="s">
        <v>33</v>
      </c>
      <c r="Q2384">
        <v>117.24</v>
      </c>
      <c r="R2384">
        <v>7.5</v>
      </c>
      <c r="S2384" t="s">
        <v>44</v>
      </c>
      <c r="T2384">
        <v>88.2</v>
      </c>
      <c r="V2384">
        <v>101.8</v>
      </c>
      <c r="W2384">
        <v>78.5</v>
      </c>
      <c r="X2384">
        <v>9.6</v>
      </c>
      <c r="Y2384">
        <v>36.6</v>
      </c>
      <c r="Z2384">
        <v>328239523</v>
      </c>
      <c r="AA2384">
        <v>37.090240000000001</v>
      </c>
      <c r="AB2384">
        <v>-95.712890999999999</v>
      </c>
    </row>
    <row r="2385" spans="1:28" hidden="1">
      <c r="A2385">
        <v>2259</v>
      </c>
      <c r="B2385">
        <v>1200</v>
      </c>
      <c r="C2385" t="s">
        <v>101</v>
      </c>
      <c r="D2385" t="s">
        <v>4459</v>
      </c>
      <c r="E2385">
        <v>67</v>
      </c>
      <c r="G2385" t="s">
        <v>342</v>
      </c>
      <c r="H2385" t="s">
        <v>4460</v>
      </c>
      <c r="I2385" t="s">
        <v>4461</v>
      </c>
      <c r="J2385" t="s">
        <v>101</v>
      </c>
      <c r="K2385" t="s">
        <v>342</v>
      </c>
      <c r="M2385" t="b">
        <v>0</v>
      </c>
      <c r="N2385" t="s">
        <v>42</v>
      </c>
      <c r="O2385" t="s">
        <v>88</v>
      </c>
      <c r="Q2385">
        <v>108.15</v>
      </c>
      <c r="R2385">
        <v>0.8</v>
      </c>
      <c r="S2385" t="s">
        <v>532</v>
      </c>
      <c r="T2385">
        <v>63.4</v>
      </c>
      <c r="V2385">
        <v>104.9</v>
      </c>
      <c r="W2385">
        <v>82.8</v>
      </c>
      <c r="X2385">
        <v>23.1</v>
      </c>
      <c r="Y2385">
        <v>25.3</v>
      </c>
      <c r="Z2385">
        <v>9053300</v>
      </c>
      <c r="AA2385">
        <v>31.046050999999999</v>
      </c>
      <c r="AB2385">
        <v>34.851612000000003</v>
      </c>
    </row>
    <row r="2386" spans="1:28" hidden="1">
      <c r="A2386">
        <v>2259</v>
      </c>
      <c r="B2386">
        <v>1200</v>
      </c>
      <c r="C2386" t="s">
        <v>54</v>
      </c>
      <c r="D2386" t="s">
        <v>4462</v>
      </c>
      <c r="E2386">
        <v>41</v>
      </c>
      <c r="G2386" t="s">
        <v>38</v>
      </c>
      <c r="H2386" t="s">
        <v>65</v>
      </c>
      <c r="I2386" t="s">
        <v>2712</v>
      </c>
      <c r="J2386" t="s">
        <v>54</v>
      </c>
      <c r="K2386" t="s">
        <v>38</v>
      </c>
      <c r="M2386" t="b">
        <v>1</v>
      </c>
      <c r="N2386" t="s">
        <v>42</v>
      </c>
      <c r="O2386" t="s">
        <v>33</v>
      </c>
      <c r="Q2386">
        <v>117.24</v>
      </c>
      <c r="R2386">
        <v>7.5</v>
      </c>
      <c r="S2386" t="s">
        <v>44</v>
      </c>
      <c r="T2386">
        <v>88.2</v>
      </c>
      <c r="V2386">
        <v>101.8</v>
      </c>
      <c r="W2386">
        <v>78.5</v>
      </c>
      <c r="X2386">
        <v>9.6</v>
      </c>
      <c r="Y2386">
        <v>36.6</v>
      </c>
      <c r="Z2386">
        <v>328239523</v>
      </c>
      <c r="AA2386">
        <v>37.090240000000001</v>
      </c>
      <c r="AB2386">
        <v>-95.712890999999999</v>
      </c>
    </row>
    <row r="2387" spans="1:28" hidden="1">
      <c r="A2387">
        <v>2259</v>
      </c>
      <c r="B2387">
        <v>1200</v>
      </c>
      <c r="C2387" t="s">
        <v>54</v>
      </c>
      <c r="D2387" t="s">
        <v>4463</v>
      </c>
      <c r="E2387">
        <v>41</v>
      </c>
      <c r="G2387" t="s">
        <v>38</v>
      </c>
      <c r="H2387" t="s">
        <v>65</v>
      </c>
      <c r="I2387" t="s">
        <v>2712</v>
      </c>
      <c r="J2387" t="s">
        <v>54</v>
      </c>
      <c r="K2387" t="s">
        <v>38</v>
      </c>
      <c r="M2387" t="b">
        <v>1</v>
      </c>
      <c r="N2387" t="s">
        <v>42</v>
      </c>
      <c r="O2387" t="s">
        <v>33</v>
      </c>
      <c r="Q2387">
        <v>117.24</v>
      </c>
      <c r="R2387">
        <v>7.5</v>
      </c>
      <c r="S2387" t="s">
        <v>44</v>
      </c>
      <c r="T2387">
        <v>88.2</v>
      </c>
      <c r="V2387">
        <v>101.8</v>
      </c>
      <c r="W2387">
        <v>78.5</v>
      </c>
      <c r="X2387">
        <v>9.6</v>
      </c>
      <c r="Y2387">
        <v>36.6</v>
      </c>
      <c r="Z2387">
        <v>328239523</v>
      </c>
      <c r="AA2387">
        <v>37.090240000000001</v>
      </c>
      <c r="AB2387">
        <v>-95.712890999999999</v>
      </c>
    </row>
    <row r="2388" spans="1:28" hidden="1">
      <c r="A2388">
        <v>2259</v>
      </c>
      <c r="B2388">
        <v>1200</v>
      </c>
      <c r="C2388" t="s">
        <v>217</v>
      </c>
      <c r="D2388" t="s">
        <v>4464</v>
      </c>
      <c r="E2388">
        <v>67</v>
      </c>
      <c r="G2388" t="s">
        <v>810</v>
      </c>
      <c r="H2388" t="s">
        <v>4465</v>
      </c>
      <c r="I2388" t="s">
        <v>217</v>
      </c>
      <c r="J2388" t="s">
        <v>217</v>
      </c>
      <c r="K2388" t="s">
        <v>810</v>
      </c>
      <c r="M2388" t="b">
        <v>0</v>
      </c>
      <c r="N2388" t="s">
        <v>419</v>
      </c>
      <c r="O2388" t="s">
        <v>33</v>
      </c>
    </row>
    <row r="2389" spans="1:28" hidden="1">
      <c r="A2389">
        <v>2259</v>
      </c>
      <c r="B2389">
        <v>1200</v>
      </c>
      <c r="C2389" t="s">
        <v>54</v>
      </c>
      <c r="D2389" t="s">
        <v>4466</v>
      </c>
      <c r="E2389">
        <v>77</v>
      </c>
      <c r="G2389" t="s">
        <v>810</v>
      </c>
      <c r="H2389" t="s">
        <v>811</v>
      </c>
      <c r="I2389" t="s">
        <v>1152</v>
      </c>
      <c r="J2389" t="s">
        <v>54</v>
      </c>
      <c r="K2389" t="s">
        <v>810</v>
      </c>
      <c r="M2389" t="b">
        <v>0</v>
      </c>
      <c r="N2389" t="s">
        <v>42</v>
      </c>
      <c r="O2389" t="s">
        <v>33</v>
      </c>
    </row>
    <row r="2390" spans="1:28" hidden="1">
      <c r="A2390">
        <v>2259</v>
      </c>
      <c r="B2390">
        <v>1200</v>
      </c>
      <c r="C2390" t="s">
        <v>26</v>
      </c>
      <c r="D2390" t="s">
        <v>4467</v>
      </c>
      <c r="E2390">
        <v>52</v>
      </c>
      <c r="G2390" t="s">
        <v>103</v>
      </c>
      <c r="H2390" t="s">
        <v>1785</v>
      </c>
      <c r="I2390" t="s">
        <v>940</v>
      </c>
      <c r="J2390" t="s">
        <v>26</v>
      </c>
      <c r="K2390" t="s">
        <v>103</v>
      </c>
      <c r="M2390" t="b">
        <v>1</v>
      </c>
      <c r="N2390" t="s">
        <v>32</v>
      </c>
      <c r="O2390" t="s">
        <v>33</v>
      </c>
      <c r="Q2390">
        <v>125.08</v>
      </c>
      <c r="R2390">
        <v>2.9</v>
      </c>
      <c r="S2390" t="s">
        <v>106</v>
      </c>
      <c r="T2390">
        <v>50.6</v>
      </c>
      <c r="V2390">
        <v>100.2</v>
      </c>
      <c r="W2390">
        <v>77</v>
      </c>
      <c r="X2390">
        <v>9.4</v>
      </c>
      <c r="Y2390">
        <v>59.2</v>
      </c>
      <c r="Z2390">
        <v>1397715000</v>
      </c>
      <c r="AA2390">
        <v>35.861660000000001</v>
      </c>
      <c r="AB2390">
        <v>104.195397</v>
      </c>
    </row>
    <row r="2391" spans="1:28" hidden="1">
      <c r="A2391">
        <v>2259</v>
      </c>
      <c r="B2391">
        <v>1200</v>
      </c>
      <c r="C2391" t="s">
        <v>217</v>
      </c>
      <c r="D2391" t="s">
        <v>4468</v>
      </c>
      <c r="E2391">
        <v>58</v>
      </c>
      <c r="G2391" t="s">
        <v>103</v>
      </c>
      <c r="H2391" t="s">
        <v>489</v>
      </c>
      <c r="I2391" t="s">
        <v>196</v>
      </c>
      <c r="J2391" t="s">
        <v>217</v>
      </c>
      <c r="K2391" t="s">
        <v>103</v>
      </c>
      <c r="M2391" t="b">
        <v>1</v>
      </c>
      <c r="N2391" t="s">
        <v>32</v>
      </c>
      <c r="O2391" t="s">
        <v>33</v>
      </c>
      <c r="Q2391">
        <v>125.08</v>
      </c>
      <c r="R2391">
        <v>2.9</v>
      </c>
      <c r="S2391" t="s">
        <v>106</v>
      </c>
      <c r="T2391">
        <v>50.6</v>
      </c>
      <c r="V2391">
        <v>100.2</v>
      </c>
      <c r="W2391">
        <v>77</v>
      </c>
      <c r="X2391">
        <v>9.4</v>
      </c>
      <c r="Y2391">
        <v>59.2</v>
      </c>
      <c r="Z2391">
        <v>1397715000</v>
      </c>
      <c r="AA2391">
        <v>35.861660000000001</v>
      </c>
      <c r="AB2391">
        <v>104.195397</v>
      </c>
    </row>
    <row r="2392" spans="1:28" hidden="1">
      <c r="A2392">
        <v>2259</v>
      </c>
      <c r="B2392">
        <v>1200</v>
      </c>
      <c r="C2392" t="s">
        <v>217</v>
      </c>
      <c r="D2392" t="s">
        <v>4469</v>
      </c>
      <c r="E2392">
        <v>60</v>
      </c>
      <c r="G2392" t="s">
        <v>103</v>
      </c>
      <c r="H2392" t="s">
        <v>463</v>
      </c>
      <c r="I2392" t="s">
        <v>217</v>
      </c>
      <c r="J2392" t="s">
        <v>217</v>
      </c>
      <c r="K2392" t="s">
        <v>103</v>
      </c>
      <c r="M2392" t="b">
        <v>1</v>
      </c>
      <c r="N2392" t="s">
        <v>42</v>
      </c>
      <c r="O2392" t="s">
        <v>33</v>
      </c>
      <c r="Q2392">
        <v>125.08</v>
      </c>
      <c r="R2392">
        <v>2.9</v>
      </c>
      <c r="S2392" t="s">
        <v>106</v>
      </c>
      <c r="T2392">
        <v>50.6</v>
      </c>
      <c r="V2392">
        <v>100.2</v>
      </c>
      <c r="W2392">
        <v>77</v>
      </c>
      <c r="X2392">
        <v>9.4</v>
      </c>
      <c r="Y2392">
        <v>59.2</v>
      </c>
      <c r="Z2392">
        <v>1397715000</v>
      </c>
      <c r="AA2392">
        <v>35.861660000000001</v>
      </c>
      <c r="AB2392">
        <v>104.195397</v>
      </c>
    </row>
    <row r="2393" spans="1:28" hidden="1">
      <c r="A2393">
        <v>2259</v>
      </c>
      <c r="B2393">
        <v>1200</v>
      </c>
      <c r="C2393" t="s">
        <v>101</v>
      </c>
      <c r="D2393" t="s">
        <v>4470</v>
      </c>
      <c r="E2393">
        <v>58</v>
      </c>
      <c r="G2393" t="s">
        <v>103</v>
      </c>
      <c r="H2393" t="s">
        <v>4471</v>
      </c>
      <c r="I2393" t="s">
        <v>2130</v>
      </c>
      <c r="J2393" t="s">
        <v>101</v>
      </c>
      <c r="K2393" t="s">
        <v>103</v>
      </c>
      <c r="M2393" t="b">
        <v>1</v>
      </c>
      <c r="N2393" t="s">
        <v>42</v>
      </c>
      <c r="O2393" t="s">
        <v>33</v>
      </c>
      <c r="Q2393">
        <v>125.08</v>
      </c>
      <c r="R2393">
        <v>2.9</v>
      </c>
      <c r="S2393" t="s">
        <v>106</v>
      </c>
      <c r="T2393">
        <v>50.6</v>
      </c>
      <c r="V2393">
        <v>100.2</v>
      </c>
      <c r="W2393">
        <v>77</v>
      </c>
      <c r="X2393">
        <v>9.4</v>
      </c>
      <c r="Y2393">
        <v>59.2</v>
      </c>
      <c r="Z2393">
        <v>1397715000</v>
      </c>
      <c r="AA2393">
        <v>35.861660000000001</v>
      </c>
      <c r="AB2393">
        <v>104.195397</v>
      </c>
    </row>
    <row r="2394" spans="1:28" hidden="1">
      <c r="A2394">
        <v>2259</v>
      </c>
      <c r="B2394">
        <v>1200</v>
      </c>
      <c r="C2394" t="s">
        <v>217</v>
      </c>
      <c r="D2394" t="s">
        <v>4472</v>
      </c>
      <c r="E2394">
        <v>60</v>
      </c>
      <c r="G2394" t="s">
        <v>103</v>
      </c>
      <c r="H2394" t="s">
        <v>4473</v>
      </c>
      <c r="I2394" t="s">
        <v>217</v>
      </c>
      <c r="J2394" t="s">
        <v>217</v>
      </c>
      <c r="K2394" t="s">
        <v>103</v>
      </c>
      <c r="M2394" t="b">
        <v>1</v>
      </c>
      <c r="N2394" t="s">
        <v>42</v>
      </c>
      <c r="O2394" t="s">
        <v>33</v>
      </c>
      <c r="Q2394">
        <v>125.08</v>
      </c>
      <c r="R2394">
        <v>2.9</v>
      </c>
      <c r="S2394" t="s">
        <v>106</v>
      </c>
      <c r="T2394">
        <v>50.6</v>
      </c>
      <c r="V2394">
        <v>100.2</v>
      </c>
      <c r="W2394">
        <v>77</v>
      </c>
      <c r="X2394">
        <v>9.4</v>
      </c>
      <c r="Y2394">
        <v>59.2</v>
      </c>
      <c r="Z2394">
        <v>1397715000</v>
      </c>
      <c r="AA2394">
        <v>35.861660000000001</v>
      </c>
      <c r="AB2394">
        <v>104.195397</v>
      </c>
    </row>
    <row r="2395" spans="1:28" hidden="1">
      <c r="A2395">
        <v>2259</v>
      </c>
      <c r="B2395">
        <v>1200</v>
      </c>
      <c r="C2395" t="s">
        <v>308</v>
      </c>
      <c r="D2395" t="s">
        <v>4474</v>
      </c>
      <c r="E2395">
        <v>78</v>
      </c>
      <c r="G2395" t="s">
        <v>103</v>
      </c>
      <c r="H2395" t="s">
        <v>633</v>
      </c>
      <c r="I2395" t="s">
        <v>2155</v>
      </c>
      <c r="J2395" t="s">
        <v>308</v>
      </c>
      <c r="K2395" t="s">
        <v>103</v>
      </c>
      <c r="M2395" t="b">
        <v>1</v>
      </c>
      <c r="N2395" t="s">
        <v>42</v>
      </c>
      <c r="O2395" t="s">
        <v>33</v>
      </c>
      <c r="Q2395">
        <v>125.08</v>
      </c>
      <c r="R2395">
        <v>2.9</v>
      </c>
      <c r="S2395" t="s">
        <v>106</v>
      </c>
      <c r="T2395">
        <v>50.6</v>
      </c>
      <c r="V2395">
        <v>100.2</v>
      </c>
      <c r="W2395">
        <v>77</v>
      </c>
      <c r="X2395">
        <v>9.4</v>
      </c>
      <c r="Y2395">
        <v>59.2</v>
      </c>
      <c r="Z2395">
        <v>1397715000</v>
      </c>
      <c r="AA2395">
        <v>35.861660000000001</v>
      </c>
      <c r="AB2395">
        <v>104.195397</v>
      </c>
    </row>
    <row r="2396" spans="1:28" hidden="1">
      <c r="A2396">
        <v>2259</v>
      </c>
      <c r="B2396">
        <v>1200</v>
      </c>
      <c r="C2396" t="s">
        <v>217</v>
      </c>
      <c r="D2396" t="s">
        <v>4475</v>
      </c>
      <c r="E2396">
        <v>61</v>
      </c>
      <c r="G2396" t="s">
        <v>103</v>
      </c>
      <c r="H2396" t="s">
        <v>104</v>
      </c>
      <c r="I2396" t="s">
        <v>4354</v>
      </c>
      <c r="J2396" t="s">
        <v>217</v>
      </c>
      <c r="K2396" t="s">
        <v>103</v>
      </c>
      <c r="M2396" t="b">
        <v>1</v>
      </c>
      <c r="N2396" t="s">
        <v>42</v>
      </c>
      <c r="O2396" t="s">
        <v>88</v>
      </c>
      <c r="Q2396">
        <v>125.08</v>
      </c>
      <c r="R2396">
        <v>2.9</v>
      </c>
      <c r="S2396" t="s">
        <v>106</v>
      </c>
      <c r="T2396">
        <v>50.6</v>
      </c>
      <c r="V2396">
        <v>100.2</v>
      </c>
      <c r="W2396">
        <v>77</v>
      </c>
      <c r="X2396">
        <v>9.4</v>
      </c>
      <c r="Y2396">
        <v>59.2</v>
      </c>
      <c r="Z2396">
        <v>1397715000</v>
      </c>
      <c r="AA2396">
        <v>35.861660000000001</v>
      </c>
      <c r="AB2396">
        <v>104.195397</v>
      </c>
    </row>
    <row r="2397" spans="1:28" hidden="1">
      <c r="A2397">
        <v>2259</v>
      </c>
      <c r="B2397">
        <v>1200</v>
      </c>
      <c r="C2397" t="s">
        <v>288</v>
      </c>
      <c r="D2397" t="s">
        <v>4476</v>
      </c>
      <c r="E2397">
        <v>60</v>
      </c>
      <c r="G2397" t="s">
        <v>263</v>
      </c>
      <c r="H2397" t="s">
        <v>274</v>
      </c>
      <c r="I2397" t="s">
        <v>4477</v>
      </c>
      <c r="J2397" t="s">
        <v>288</v>
      </c>
      <c r="K2397" t="s">
        <v>263</v>
      </c>
      <c r="M2397" t="b">
        <v>1</v>
      </c>
      <c r="N2397" t="s">
        <v>853</v>
      </c>
      <c r="O2397" t="s">
        <v>33</v>
      </c>
      <c r="Q2397">
        <v>180.75</v>
      </c>
      <c r="R2397">
        <v>4.5</v>
      </c>
      <c r="S2397" t="s">
        <v>276</v>
      </c>
      <c r="T2397">
        <v>81.900000000000006</v>
      </c>
      <c r="V2397">
        <v>102.6</v>
      </c>
      <c r="W2397">
        <v>72.7</v>
      </c>
      <c r="X2397">
        <v>11.4</v>
      </c>
      <c r="Y2397">
        <v>46.2</v>
      </c>
      <c r="Z2397">
        <v>144373535</v>
      </c>
      <c r="AA2397">
        <v>61.524009999999997</v>
      </c>
      <c r="AB2397">
        <v>105.31875599999999</v>
      </c>
    </row>
    <row r="2398" spans="1:28" hidden="1">
      <c r="A2398">
        <v>2259</v>
      </c>
      <c r="B2398">
        <v>1200</v>
      </c>
      <c r="C2398" t="s">
        <v>26</v>
      </c>
      <c r="D2398" t="s">
        <v>4478</v>
      </c>
      <c r="E2398">
        <v>46</v>
      </c>
      <c r="G2398" t="s">
        <v>103</v>
      </c>
      <c r="H2398" t="s">
        <v>489</v>
      </c>
      <c r="I2398" t="s">
        <v>150</v>
      </c>
      <c r="J2398" t="s">
        <v>26</v>
      </c>
      <c r="K2398" t="s">
        <v>103</v>
      </c>
      <c r="M2398" t="b">
        <v>1</v>
      </c>
      <c r="N2398" t="s">
        <v>853</v>
      </c>
      <c r="O2398" t="s">
        <v>88</v>
      </c>
      <c r="Q2398">
        <v>125.08</v>
      </c>
      <c r="R2398">
        <v>2.9</v>
      </c>
      <c r="S2398" t="s">
        <v>106</v>
      </c>
      <c r="T2398">
        <v>50.6</v>
      </c>
      <c r="V2398">
        <v>100.2</v>
      </c>
      <c r="W2398">
        <v>77</v>
      </c>
      <c r="X2398">
        <v>9.4</v>
      </c>
      <c r="Y2398">
        <v>59.2</v>
      </c>
      <c r="Z2398">
        <v>1397715000</v>
      </c>
      <c r="AA2398">
        <v>35.861660000000001</v>
      </c>
      <c r="AB2398">
        <v>104.195397</v>
      </c>
    </row>
    <row r="2399" spans="1:28" hidden="1">
      <c r="A2399">
        <v>2259</v>
      </c>
      <c r="B2399">
        <v>1200</v>
      </c>
      <c r="C2399" t="s">
        <v>45</v>
      </c>
      <c r="D2399" t="s">
        <v>4479</v>
      </c>
      <c r="E2399">
        <v>37</v>
      </c>
      <c r="G2399" t="s">
        <v>38</v>
      </c>
      <c r="H2399" t="s">
        <v>2711</v>
      </c>
      <c r="I2399" t="s">
        <v>3938</v>
      </c>
      <c r="J2399" t="s">
        <v>45</v>
      </c>
      <c r="K2399" t="s">
        <v>3144</v>
      </c>
      <c r="M2399" t="b">
        <v>1</v>
      </c>
      <c r="N2399" t="s">
        <v>42</v>
      </c>
      <c r="O2399" t="s">
        <v>33</v>
      </c>
      <c r="Q2399">
        <v>117.24</v>
      </c>
      <c r="R2399">
        <v>7.5</v>
      </c>
      <c r="S2399" t="s">
        <v>44</v>
      </c>
      <c r="T2399">
        <v>88.2</v>
      </c>
      <c r="V2399">
        <v>101.8</v>
      </c>
      <c r="W2399">
        <v>78.5</v>
      </c>
      <c r="X2399">
        <v>9.6</v>
      </c>
      <c r="Y2399">
        <v>36.6</v>
      </c>
      <c r="Z2399">
        <v>328239523</v>
      </c>
      <c r="AA2399">
        <v>37.090240000000001</v>
      </c>
      <c r="AB2399">
        <v>-95.712890999999999</v>
      </c>
    </row>
    <row r="2400" spans="1:28" hidden="1">
      <c r="A2400">
        <v>2259</v>
      </c>
      <c r="B2400">
        <v>1200</v>
      </c>
      <c r="C2400" t="s">
        <v>75</v>
      </c>
      <c r="D2400" t="s">
        <v>4480</v>
      </c>
      <c r="E2400">
        <v>60</v>
      </c>
      <c r="G2400" t="s">
        <v>103</v>
      </c>
      <c r="H2400" t="s">
        <v>4473</v>
      </c>
      <c r="I2400" t="s">
        <v>75</v>
      </c>
      <c r="J2400" t="s">
        <v>75</v>
      </c>
      <c r="K2400" t="s">
        <v>103</v>
      </c>
      <c r="M2400" t="b">
        <v>1</v>
      </c>
      <c r="N2400" t="s">
        <v>42</v>
      </c>
      <c r="O2400" t="s">
        <v>33</v>
      </c>
      <c r="Q2400">
        <v>125.08</v>
      </c>
      <c r="R2400">
        <v>2.9</v>
      </c>
      <c r="S2400" t="s">
        <v>106</v>
      </c>
      <c r="T2400">
        <v>50.6</v>
      </c>
      <c r="V2400">
        <v>100.2</v>
      </c>
      <c r="W2400">
        <v>77</v>
      </c>
      <c r="X2400">
        <v>9.4</v>
      </c>
      <c r="Y2400">
        <v>59.2</v>
      </c>
      <c r="Z2400">
        <v>1397715000</v>
      </c>
      <c r="AA2400">
        <v>35.861660000000001</v>
      </c>
      <c r="AB2400">
        <v>104.195397</v>
      </c>
    </row>
    <row r="2401" spans="1:28" hidden="1">
      <c r="A2401">
        <v>2259</v>
      </c>
      <c r="B2401">
        <v>1200</v>
      </c>
      <c r="C2401" t="s">
        <v>45</v>
      </c>
      <c r="D2401" t="s">
        <v>4481</v>
      </c>
      <c r="E2401">
        <v>47</v>
      </c>
      <c r="G2401" t="s">
        <v>103</v>
      </c>
      <c r="H2401" t="s">
        <v>1748</v>
      </c>
      <c r="I2401" t="s">
        <v>68</v>
      </c>
      <c r="J2401" t="s">
        <v>45</v>
      </c>
      <c r="K2401" t="s">
        <v>103</v>
      </c>
      <c r="M2401" t="b">
        <v>1</v>
      </c>
      <c r="N2401" t="s">
        <v>42</v>
      </c>
      <c r="O2401" t="s">
        <v>33</v>
      </c>
      <c r="Q2401">
        <v>125.08</v>
      </c>
      <c r="R2401">
        <v>2.9</v>
      </c>
      <c r="S2401" t="s">
        <v>106</v>
      </c>
      <c r="T2401">
        <v>50.6</v>
      </c>
      <c r="V2401">
        <v>100.2</v>
      </c>
      <c r="W2401">
        <v>77</v>
      </c>
      <c r="X2401">
        <v>9.4</v>
      </c>
      <c r="Y2401">
        <v>59.2</v>
      </c>
      <c r="Z2401">
        <v>1397715000</v>
      </c>
      <c r="AA2401">
        <v>35.861660000000001</v>
      </c>
      <c r="AB2401">
        <v>104.195397</v>
      </c>
    </row>
    <row r="2402" spans="1:28" hidden="1">
      <c r="A2402">
        <v>2259</v>
      </c>
      <c r="B2402">
        <v>1200</v>
      </c>
      <c r="C2402" t="s">
        <v>217</v>
      </c>
      <c r="D2402" t="s">
        <v>4482</v>
      </c>
      <c r="E2402">
        <v>66</v>
      </c>
      <c r="G2402" t="s">
        <v>103</v>
      </c>
      <c r="H2402" t="s">
        <v>3550</v>
      </c>
      <c r="I2402" t="s">
        <v>4483</v>
      </c>
      <c r="J2402" t="s">
        <v>217</v>
      </c>
      <c r="K2402" t="s">
        <v>103</v>
      </c>
      <c r="M2402" t="b">
        <v>1</v>
      </c>
      <c r="N2402" t="s">
        <v>42</v>
      </c>
      <c r="O2402" t="s">
        <v>88</v>
      </c>
      <c r="Q2402">
        <v>125.08</v>
      </c>
      <c r="R2402">
        <v>2.9</v>
      </c>
      <c r="S2402" t="s">
        <v>106</v>
      </c>
      <c r="T2402">
        <v>50.6</v>
      </c>
      <c r="V2402">
        <v>100.2</v>
      </c>
      <c r="W2402">
        <v>77</v>
      </c>
      <c r="X2402">
        <v>9.4</v>
      </c>
      <c r="Y2402">
        <v>59.2</v>
      </c>
      <c r="Z2402">
        <v>1397715000</v>
      </c>
      <c r="AA2402">
        <v>35.861660000000001</v>
      </c>
      <c r="AB2402">
        <v>104.195397</v>
      </c>
    </row>
    <row r="2403" spans="1:28" hidden="1">
      <c r="A2403">
        <v>2259</v>
      </c>
      <c r="B2403">
        <v>1200</v>
      </c>
      <c r="C2403" t="s">
        <v>288</v>
      </c>
      <c r="D2403" t="s">
        <v>4484</v>
      </c>
      <c r="E2403">
        <v>56</v>
      </c>
      <c r="G2403" t="s">
        <v>103</v>
      </c>
      <c r="H2403" t="s">
        <v>215</v>
      </c>
      <c r="I2403" t="s">
        <v>418</v>
      </c>
      <c r="J2403" t="s">
        <v>288</v>
      </c>
      <c r="K2403" t="s">
        <v>38</v>
      </c>
      <c r="M2403" t="b">
        <v>1</v>
      </c>
      <c r="N2403" t="s">
        <v>212</v>
      </c>
      <c r="O2403" t="s">
        <v>88</v>
      </c>
      <c r="Q2403">
        <v>125.08</v>
      </c>
      <c r="R2403">
        <v>2.9</v>
      </c>
      <c r="S2403" t="s">
        <v>106</v>
      </c>
      <c r="T2403">
        <v>50.6</v>
      </c>
      <c r="V2403">
        <v>100.2</v>
      </c>
      <c r="W2403">
        <v>77</v>
      </c>
      <c r="X2403">
        <v>9.4</v>
      </c>
      <c r="Y2403">
        <v>59.2</v>
      </c>
      <c r="Z2403">
        <v>1397715000</v>
      </c>
      <c r="AA2403">
        <v>35.861660000000001</v>
      </c>
      <c r="AB2403">
        <v>104.195397</v>
      </c>
    </row>
    <row r="2404" spans="1:28" hidden="1">
      <c r="A2404">
        <v>2259</v>
      </c>
      <c r="B2404">
        <v>1200</v>
      </c>
      <c r="C2404" t="s">
        <v>217</v>
      </c>
      <c r="D2404" t="s">
        <v>4485</v>
      </c>
      <c r="E2404">
        <v>58</v>
      </c>
      <c r="G2404" t="s">
        <v>103</v>
      </c>
      <c r="H2404" t="s">
        <v>215</v>
      </c>
      <c r="I2404" t="s">
        <v>287</v>
      </c>
      <c r="J2404" t="s">
        <v>217</v>
      </c>
      <c r="K2404" t="s">
        <v>103</v>
      </c>
      <c r="M2404" t="b">
        <v>1</v>
      </c>
      <c r="N2404" t="s">
        <v>32</v>
      </c>
      <c r="O2404" t="s">
        <v>33</v>
      </c>
      <c r="Q2404">
        <v>125.08</v>
      </c>
      <c r="R2404">
        <v>2.9</v>
      </c>
      <c r="S2404" t="s">
        <v>106</v>
      </c>
      <c r="T2404">
        <v>50.6</v>
      </c>
      <c r="V2404">
        <v>100.2</v>
      </c>
      <c r="W2404">
        <v>77</v>
      </c>
      <c r="X2404">
        <v>9.4</v>
      </c>
      <c r="Y2404">
        <v>59.2</v>
      </c>
      <c r="Z2404">
        <v>1397715000</v>
      </c>
      <c r="AA2404">
        <v>35.861660000000001</v>
      </c>
      <c r="AB2404">
        <v>104.195397</v>
      </c>
    </row>
    <row r="2405" spans="1:28" hidden="1">
      <c r="A2405">
        <v>2259</v>
      </c>
      <c r="B2405">
        <v>1200</v>
      </c>
      <c r="C2405" t="s">
        <v>469</v>
      </c>
      <c r="D2405" t="s">
        <v>4486</v>
      </c>
      <c r="E2405">
        <v>63</v>
      </c>
      <c r="G2405" t="s">
        <v>103</v>
      </c>
      <c r="H2405" t="s">
        <v>1248</v>
      </c>
      <c r="I2405" t="s">
        <v>1528</v>
      </c>
      <c r="J2405" t="s">
        <v>469</v>
      </c>
      <c r="K2405" t="s">
        <v>103</v>
      </c>
      <c r="M2405" t="b">
        <v>1</v>
      </c>
      <c r="N2405" t="s">
        <v>42</v>
      </c>
      <c r="O2405" t="s">
        <v>33</v>
      </c>
      <c r="Q2405">
        <v>125.08</v>
      </c>
      <c r="R2405">
        <v>2.9</v>
      </c>
      <c r="S2405" t="s">
        <v>106</v>
      </c>
      <c r="T2405">
        <v>50.6</v>
      </c>
      <c r="V2405">
        <v>100.2</v>
      </c>
      <c r="W2405">
        <v>77</v>
      </c>
      <c r="X2405">
        <v>9.4</v>
      </c>
      <c r="Y2405">
        <v>59.2</v>
      </c>
      <c r="Z2405">
        <v>1397715000</v>
      </c>
      <c r="AA2405">
        <v>35.861660000000001</v>
      </c>
      <c r="AB2405">
        <v>104.195397</v>
      </c>
    </row>
    <row r="2406" spans="1:28" hidden="1">
      <c r="A2406">
        <v>2405</v>
      </c>
      <c r="B2406">
        <v>1100</v>
      </c>
      <c r="C2406" t="s">
        <v>26</v>
      </c>
      <c r="D2406" t="s">
        <v>4487</v>
      </c>
      <c r="E2406">
        <v>66</v>
      </c>
      <c r="G2406" t="s">
        <v>77</v>
      </c>
      <c r="H2406" t="s">
        <v>248</v>
      </c>
      <c r="I2406" t="s">
        <v>4488</v>
      </c>
      <c r="J2406" t="s">
        <v>26</v>
      </c>
      <c r="K2406" t="s">
        <v>77</v>
      </c>
      <c r="M2406" t="b">
        <v>1</v>
      </c>
      <c r="N2406" t="s">
        <v>192</v>
      </c>
      <c r="O2406" t="s">
        <v>33</v>
      </c>
      <c r="Q2406">
        <v>180.44</v>
      </c>
      <c r="R2406">
        <v>7.7</v>
      </c>
      <c r="S2406" t="s">
        <v>81</v>
      </c>
      <c r="T2406">
        <v>28.1</v>
      </c>
      <c r="V2406">
        <v>113</v>
      </c>
      <c r="W2406">
        <v>69.400000000000006</v>
      </c>
      <c r="X2406">
        <v>11.2</v>
      </c>
      <c r="Y2406">
        <v>49.7</v>
      </c>
      <c r="Z2406">
        <v>1366417754</v>
      </c>
      <c r="AA2406">
        <v>20.593684</v>
      </c>
      <c r="AB2406">
        <v>78.962879999999998</v>
      </c>
    </row>
    <row r="2407" spans="1:28" hidden="1">
      <c r="A2407">
        <v>2405</v>
      </c>
      <c r="B2407">
        <v>1100</v>
      </c>
      <c r="C2407" t="s">
        <v>250</v>
      </c>
      <c r="D2407" t="s">
        <v>4489</v>
      </c>
      <c r="E2407">
        <v>67</v>
      </c>
      <c r="G2407" t="s">
        <v>263</v>
      </c>
      <c r="H2407" t="s">
        <v>274</v>
      </c>
      <c r="I2407" t="s">
        <v>231</v>
      </c>
      <c r="J2407" t="s">
        <v>250</v>
      </c>
      <c r="K2407" t="s">
        <v>263</v>
      </c>
      <c r="M2407" t="b">
        <v>1</v>
      </c>
      <c r="N2407" t="s">
        <v>42</v>
      </c>
      <c r="O2407" t="s">
        <v>33</v>
      </c>
      <c r="Q2407">
        <v>180.75</v>
      </c>
      <c r="R2407">
        <v>4.5</v>
      </c>
      <c r="S2407" t="s">
        <v>276</v>
      </c>
      <c r="T2407">
        <v>81.900000000000006</v>
      </c>
      <c r="V2407">
        <v>102.6</v>
      </c>
      <c r="W2407">
        <v>72.7</v>
      </c>
      <c r="X2407">
        <v>11.4</v>
      </c>
      <c r="Y2407">
        <v>46.2</v>
      </c>
      <c r="Z2407">
        <v>144373535</v>
      </c>
      <c r="AA2407">
        <v>61.524009999999997</v>
      </c>
      <c r="AB2407">
        <v>105.31875599999999</v>
      </c>
    </row>
    <row r="2408" spans="1:28" hidden="1">
      <c r="A2408">
        <v>2405</v>
      </c>
      <c r="B2408">
        <v>1100</v>
      </c>
      <c r="C2408" t="s">
        <v>288</v>
      </c>
      <c r="D2408" t="s">
        <v>4490</v>
      </c>
      <c r="E2408">
        <v>84</v>
      </c>
      <c r="I2408" t="s">
        <v>418</v>
      </c>
      <c r="J2408" t="s">
        <v>288</v>
      </c>
      <c r="K2408" t="s">
        <v>77</v>
      </c>
      <c r="M2408" t="b">
        <v>0</v>
      </c>
      <c r="N2408" t="s">
        <v>192</v>
      </c>
      <c r="O2408" t="s">
        <v>33</v>
      </c>
    </row>
    <row r="2409" spans="1:28" hidden="1">
      <c r="A2409">
        <v>2405</v>
      </c>
      <c r="B2409">
        <v>1100</v>
      </c>
      <c r="C2409" t="s">
        <v>54</v>
      </c>
      <c r="D2409" t="s">
        <v>4491</v>
      </c>
      <c r="E2409">
        <v>51</v>
      </c>
      <c r="G2409" t="s">
        <v>38</v>
      </c>
      <c r="H2409" t="s">
        <v>65</v>
      </c>
      <c r="I2409" t="s">
        <v>613</v>
      </c>
      <c r="J2409" t="s">
        <v>54</v>
      </c>
      <c r="K2409" t="s">
        <v>38</v>
      </c>
      <c r="M2409" t="b">
        <v>1</v>
      </c>
      <c r="N2409" t="s">
        <v>192</v>
      </c>
      <c r="O2409" t="s">
        <v>33</v>
      </c>
      <c r="Q2409">
        <v>117.24</v>
      </c>
      <c r="R2409">
        <v>7.5</v>
      </c>
      <c r="S2409" t="s">
        <v>44</v>
      </c>
      <c r="T2409">
        <v>88.2</v>
      </c>
      <c r="V2409">
        <v>101.8</v>
      </c>
      <c r="W2409">
        <v>78.5</v>
      </c>
      <c r="X2409">
        <v>9.6</v>
      </c>
      <c r="Y2409">
        <v>36.6</v>
      </c>
      <c r="Z2409">
        <v>328239523</v>
      </c>
      <c r="AA2409">
        <v>37.090240000000001</v>
      </c>
      <c r="AB2409">
        <v>-95.712890999999999</v>
      </c>
    </row>
    <row r="2410" spans="1:28" hidden="1">
      <c r="A2410">
        <v>2405</v>
      </c>
      <c r="B2410">
        <v>1100</v>
      </c>
      <c r="C2410" t="s">
        <v>101</v>
      </c>
      <c r="D2410" t="s">
        <v>4492</v>
      </c>
      <c r="E2410">
        <v>42</v>
      </c>
      <c r="G2410" t="s">
        <v>38</v>
      </c>
      <c r="H2410" t="s">
        <v>4493</v>
      </c>
      <c r="I2410" t="s">
        <v>1875</v>
      </c>
      <c r="J2410" t="s">
        <v>101</v>
      </c>
      <c r="K2410" t="s">
        <v>38</v>
      </c>
      <c r="M2410" t="b">
        <v>0</v>
      </c>
      <c r="N2410" t="s">
        <v>212</v>
      </c>
      <c r="O2410" t="s">
        <v>88</v>
      </c>
      <c r="Q2410">
        <v>117.24</v>
      </c>
      <c r="R2410">
        <v>7.5</v>
      </c>
      <c r="S2410" t="s">
        <v>44</v>
      </c>
      <c r="T2410">
        <v>88.2</v>
      </c>
      <c r="V2410">
        <v>101.8</v>
      </c>
      <c r="W2410">
        <v>78.5</v>
      </c>
      <c r="X2410">
        <v>9.6</v>
      </c>
      <c r="Y2410">
        <v>36.6</v>
      </c>
      <c r="Z2410">
        <v>328239523</v>
      </c>
      <c r="AA2410">
        <v>37.090240000000001</v>
      </c>
      <c r="AB2410">
        <v>-95.712890999999999</v>
      </c>
    </row>
    <row r="2411" spans="1:28">
      <c r="A2411">
        <v>2405</v>
      </c>
      <c r="B2411">
        <v>1100</v>
      </c>
      <c r="C2411" t="s">
        <v>26</v>
      </c>
      <c r="D2411" t="s">
        <v>4494</v>
      </c>
      <c r="E2411">
        <v>52</v>
      </c>
      <c r="F2411" t="str">
        <f>IF(E2411&gt;=90,"90-100",IF(E2411&gt;=80,"80-90",IF(E2411&gt;=70,"70-80",IF(E2411&gt;=60,"60-70",IF(E2411&gt;=50,"50-60",IF(E2411&gt;=40,"40-50",IF(E2411&gt;=30,"30-40","20-30")))))))</f>
        <v>50-60</v>
      </c>
      <c r="G2411" t="s">
        <v>38</v>
      </c>
      <c r="H2411" t="s">
        <v>739</v>
      </c>
      <c r="I2411" t="s">
        <v>4495</v>
      </c>
      <c r="J2411" t="s">
        <v>26</v>
      </c>
      <c r="K2411" t="s">
        <v>38</v>
      </c>
      <c r="L2411" t="s">
        <v>4495</v>
      </c>
      <c r="M2411" t="b">
        <v>1</v>
      </c>
      <c r="N2411" t="s">
        <v>419</v>
      </c>
      <c r="O2411" t="s">
        <v>4866</v>
      </c>
      <c r="P2411" t="s">
        <v>146</v>
      </c>
      <c r="Q2411">
        <v>117.24</v>
      </c>
      <c r="R2411">
        <v>7.5</v>
      </c>
      <c r="S2411" t="s">
        <v>44</v>
      </c>
      <c r="T2411">
        <v>88.2</v>
      </c>
      <c r="U2411" t="str">
        <f t="shared" ref="U2411:U2412" si="49">IF(T2411&gt;=100,"above 100",IF(T2411&gt;=80,"80-100",IF(T2411&gt;=60,"60-80",IF(T2411&gt;=40,"40-60",IF(T2411&gt;=20,"20-60","0-20")))))</f>
        <v>80-100</v>
      </c>
      <c r="V2411">
        <v>101.8</v>
      </c>
      <c r="W2411">
        <v>78.5</v>
      </c>
      <c r="X2411">
        <v>9.6</v>
      </c>
      <c r="Y2411">
        <v>36.6</v>
      </c>
      <c r="Z2411">
        <v>328239523</v>
      </c>
      <c r="AA2411">
        <v>37.090240000000001</v>
      </c>
      <c r="AB2411">
        <v>-95.712890999999999</v>
      </c>
    </row>
    <row r="2412" spans="1:28">
      <c r="A2412">
        <v>2405</v>
      </c>
      <c r="B2412">
        <v>1100</v>
      </c>
      <c r="C2412" t="s">
        <v>54</v>
      </c>
      <c r="D2412" t="s">
        <v>4496</v>
      </c>
      <c r="E2412">
        <v>68</v>
      </c>
      <c r="F2412" t="str">
        <f>IF(E2412&gt;=90,"90-100",IF(E2412&gt;=80,"80-90",IF(E2412&gt;=70,"70-80",IF(E2412&gt;=60,"60-70",IF(E2412&gt;=50,"50-60",IF(E2412&gt;=40,"40-50",IF(E2412&gt;=30,"30-40","20-30")))))))</f>
        <v>60-70</v>
      </c>
      <c r="G2412" t="s">
        <v>38</v>
      </c>
      <c r="H2412" t="s">
        <v>65</v>
      </c>
      <c r="I2412" t="s">
        <v>383</v>
      </c>
      <c r="J2412" t="s">
        <v>54</v>
      </c>
      <c r="K2412" t="s">
        <v>38</v>
      </c>
      <c r="L2412" t="s">
        <v>4497</v>
      </c>
      <c r="M2412" t="b">
        <v>1</v>
      </c>
      <c r="N2412" t="s">
        <v>419</v>
      </c>
      <c r="O2412" t="s">
        <v>4867</v>
      </c>
      <c r="P2412" t="s">
        <v>43</v>
      </c>
      <c r="Q2412">
        <v>117.24</v>
      </c>
      <c r="R2412">
        <v>7.5</v>
      </c>
      <c r="S2412" t="s">
        <v>44</v>
      </c>
      <c r="T2412">
        <v>88.2</v>
      </c>
      <c r="U2412" t="str">
        <f t="shared" si="49"/>
        <v>80-100</v>
      </c>
      <c r="V2412">
        <v>101.8</v>
      </c>
      <c r="W2412">
        <v>78.5</v>
      </c>
      <c r="X2412">
        <v>9.6</v>
      </c>
      <c r="Y2412">
        <v>36.6</v>
      </c>
      <c r="Z2412">
        <v>328239523</v>
      </c>
      <c r="AA2412">
        <v>37.090240000000001</v>
      </c>
      <c r="AB2412">
        <v>-95.712890999999999</v>
      </c>
    </row>
    <row r="2413" spans="1:28" hidden="1">
      <c r="A2413">
        <v>2405</v>
      </c>
      <c r="B2413">
        <v>1100</v>
      </c>
      <c r="C2413" t="s">
        <v>75</v>
      </c>
      <c r="D2413" t="s">
        <v>4498</v>
      </c>
      <c r="E2413">
        <v>61</v>
      </c>
      <c r="G2413" t="s">
        <v>1160</v>
      </c>
      <c r="H2413" t="s">
        <v>4499</v>
      </c>
      <c r="I2413" t="s">
        <v>3204</v>
      </c>
      <c r="J2413" t="s">
        <v>75</v>
      </c>
      <c r="K2413" t="s">
        <v>1160</v>
      </c>
      <c r="M2413" t="b">
        <v>1</v>
      </c>
      <c r="N2413" t="s">
        <v>419</v>
      </c>
      <c r="O2413" t="s">
        <v>33</v>
      </c>
      <c r="Q2413">
        <v>281.66000000000003</v>
      </c>
      <c r="R2413">
        <v>7.9</v>
      </c>
      <c r="S2413" t="s">
        <v>1163</v>
      </c>
      <c r="T2413">
        <v>82.7</v>
      </c>
      <c r="V2413">
        <v>99</v>
      </c>
      <c r="W2413">
        <v>71.599999999999994</v>
      </c>
      <c r="X2413">
        <v>20.100000000000001</v>
      </c>
      <c r="Y2413">
        <v>45.2</v>
      </c>
      <c r="Z2413">
        <v>44385155</v>
      </c>
      <c r="AA2413">
        <v>48.379432999999999</v>
      </c>
      <c r="AB2413">
        <v>31.165579999999999</v>
      </c>
    </row>
    <row r="2414" spans="1:28" hidden="1">
      <c r="A2414">
        <v>2405</v>
      </c>
      <c r="B2414">
        <v>1100</v>
      </c>
      <c r="C2414" t="s">
        <v>221</v>
      </c>
      <c r="D2414" t="s">
        <v>4500</v>
      </c>
      <c r="E2414">
        <v>56</v>
      </c>
      <c r="G2414" t="s">
        <v>156</v>
      </c>
      <c r="H2414" t="s">
        <v>4501</v>
      </c>
      <c r="I2414" t="s">
        <v>223</v>
      </c>
      <c r="J2414" t="s">
        <v>221</v>
      </c>
      <c r="K2414" t="s">
        <v>156</v>
      </c>
      <c r="M2414" t="b">
        <v>1</v>
      </c>
      <c r="N2414" t="s">
        <v>42</v>
      </c>
      <c r="O2414" t="s">
        <v>33</v>
      </c>
      <c r="Q2414">
        <v>99.55</v>
      </c>
      <c r="R2414">
        <v>0.4</v>
      </c>
      <c r="S2414" t="s">
        <v>159</v>
      </c>
      <c r="T2414">
        <v>59.6</v>
      </c>
      <c r="V2414">
        <v>105.2</v>
      </c>
      <c r="W2414">
        <v>83.6</v>
      </c>
      <c r="X2414">
        <v>10.1</v>
      </c>
      <c r="Y2414">
        <v>28.8</v>
      </c>
      <c r="Z2414">
        <v>8574832</v>
      </c>
      <c r="AA2414">
        <v>46.818187999999999</v>
      </c>
      <c r="AB2414">
        <v>8.2275120000000008</v>
      </c>
    </row>
    <row r="2415" spans="1:28" hidden="1">
      <c r="A2415">
        <v>2405</v>
      </c>
      <c r="B2415">
        <v>1100</v>
      </c>
      <c r="C2415" t="s">
        <v>75</v>
      </c>
      <c r="D2415" t="s">
        <v>4502</v>
      </c>
      <c r="E2415">
        <v>58</v>
      </c>
      <c r="G2415" t="s">
        <v>156</v>
      </c>
      <c r="H2415" t="s">
        <v>4503</v>
      </c>
      <c r="I2415" t="s">
        <v>75</v>
      </c>
      <c r="J2415" t="s">
        <v>75</v>
      </c>
      <c r="K2415" t="s">
        <v>263</v>
      </c>
      <c r="M2415" t="b">
        <v>1</v>
      </c>
      <c r="N2415" t="s">
        <v>42</v>
      </c>
      <c r="O2415" t="s">
        <v>33</v>
      </c>
      <c r="Q2415">
        <v>99.55</v>
      </c>
      <c r="R2415">
        <v>0.4</v>
      </c>
      <c r="S2415" t="s">
        <v>159</v>
      </c>
      <c r="T2415">
        <v>59.6</v>
      </c>
      <c r="V2415">
        <v>105.2</v>
      </c>
      <c r="W2415">
        <v>83.6</v>
      </c>
      <c r="X2415">
        <v>10.1</v>
      </c>
      <c r="Y2415">
        <v>28.8</v>
      </c>
      <c r="Z2415">
        <v>8574832</v>
      </c>
      <c r="AA2415">
        <v>46.818187999999999</v>
      </c>
      <c r="AB2415">
        <v>8.2275120000000008</v>
      </c>
    </row>
    <row r="2416" spans="1:28">
      <c r="A2416">
        <v>2405</v>
      </c>
      <c r="B2416">
        <v>1100</v>
      </c>
      <c r="C2416" t="s">
        <v>45</v>
      </c>
      <c r="D2416" t="s">
        <v>4504</v>
      </c>
      <c r="E2416">
        <v>28</v>
      </c>
      <c r="F2416" t="str">
        <f>IF(E2416&gt;=90,"90-100",IF(E2416&gt;=80,"80-90",IF(E2416&gt;=70,"70-80",IF(E2416&gt;=60,"60-70",IF(E2416&gt;=50,"50-60",IF(E2416&gt;=40,"40-50",IF(E2416&gt;=30,"30-40","20-30")))))))</f>
        <v>20-30</v>
      </c>
      <c r="G2416" t="s">
        <v>38</v>
      </c>
      <c r="H2416" t="s">
        <v>184</v>
      </c>
      <c r="I2416" t="s">
        <v>4505</v>
      </c>
      <c r="J2416" t="s">
        <v>45</v>
      </c>
      <c r="K2416" t="s">
        <v>38</v>
      </c>
      <c r="L2416" t="s">
        <v>4506</v>
      </c>
      <c r="M2416" t="b">
        <v>1</v>
      </c>
      <c r="N2416" t="s">
        <v>42</v>
      </c>
      <c r="O2416" t="s">
        <v>4867</v>
      </c>
      <c r="P2416" t="s">
        <v>110</v>
      </c>
      <c r="Q2416">
        <v>117.24</v>
      </c>
      <c r="R2416">
        <v>7.5</v>
      </c>
      <c r="S2416" t="s">
        <v>44</v>
      </c>
      <c r="T2416">
        <v>88.2</v>
      </c>
      <c r="U2416" t="str">
        <f>IF(T2416&gt;=100,"above 100",IF(T2416&gt;=80,"80-100",IF(T2416&gt;=60,"60-80",IF(T2416&gt;=40,"40-60",IF(T2416&gt;=20,"20-60","0-20")))))</f>
        <v>80-100</v>
      </c>
      <c r="V2416">
        <v>101.8</v>
      </c>
      <c r="W2416">
        <v>78.5</v>
      </c>
      <c r="X2416">
        <v>9.6</v>
      </c>
      <c r="Y2416">
        <v>36.6</v>
      </c>
      <c r="Z2416">
        <v>328239523</v>
      </c>
      <c r="AA2416">
        <v>37.090240000000001</v>
      </c>
      <c r="AB2416">
        <v>-95.712890999999999</v>
      </c>
    </row>
    <row r="2417" spans="1:28" hidden="1">
      <c r="A2417">
        <v>2405</v>
      </c>
      <c r="B2417">
        <v>1100</v>
      </c>
      <c r="C2417" t="s">
        <v>26</v>
      </c>
      <c r="D2417" t="s">
        <v>4507</v>
      </c>
      <c r="E2417">
        <v>72</v>
      </c>
      <c r="G2417" t="s">
        <v>148</v>
      </c>
      <c r="H2417" t="s">
        <v>4508</v>
      </c>
      <c r="I2417" t="s">
        <v>150</v>
      </c>
      <c r="J2417" t="s">
        <v>26</v>
      </c>
      <c r="K2417" t="s">
        <v>148</v>
      </c>
      <c r="M2417" t="b">
        <v>0</v>
      </c>
      <c r="N2417" t="s">
        <v>42</v>
      </c>
      <c r="O2417" t="s">
        <v>33</v>
      </c>
      <c r="Q2417">
        <v>112.85</v>
      </c>
      <c r="R2417">
        <v>1.4</v>
      </c>
      <c r="S2417" t="s">
        <v>151</v>
      </c>
      <c r="T2417">
        <v>70.2</v>
      </c>
      <c r="V2417">
        <v>104</v>
      </c>
      <c r="W2417">
        <v>80.900000000000006</v>
      </c>
      <c r="X2417">
        <v>11.5</v>
      </c>
      <c r="Y2417">
        <v>48.8</v>
      </c>
      <c r="Z2417">
        <v>83132799</v>
      </c>
      <c r="AA2417">
        <v>51.165691000000002</v>
      </c>
      <c r="AB2417">
        <v>10.451525999999999</v>
      </c>
    </row>
    <row r="2418" spans="1:28" hidden="1">
      <c r="A2418">
        <v>2405</v>
      </c>
      <c r="B2418">
        <v>1100</v>
      </c>
      <c r="C2418" t="s">
        <v>45</v>
      </c>
      <c r="D2418" t="s">
        <v>4509</v>
      </c>
      <c r="E2418">
        <v>61</v>
      </c>
      <c r="G2418" t="s">
        <v>252</v>
      </c>
      <c r="H2418" t="s">
        <v>253</v>
      </c>
      <c r="I2418" t="s">
        <v>3140</v>
      </c>
      <c r="J2418" t="s">
        <v>45</v>
      </c>
      <c r="K2418" t="s">
        <v>252</v>
      </c>
      <c r="M2418" t="b">
        <v>1</v>
      </c>
      <c r="N2418" t="s">
        <v>42</v>
      </c>
      <c r="O2418" t="s">
        <v>88</v>
      </c>
      <c r="Q2418">
        <v>151.18</v>
      </c>
      <c r="R2418">
        <v>3</v>
      </c>
      <c r="S2418" t="s">
        <v>255</v>
      </c>
      <c r="T2418">
        <v>36.299999999999997</v>
      </c>
      <c r="V2418">
        <v>106.4</v>
      </c>
      <c r="W2418">
        <v>71.5</v>
      </c>
      <c r="X2418">
        <v>10.199999999999999</v>
      </c>
      <c r="Y2418">
        <v>30.1</v>
      </c>
      <c r="Z2418">
        <v>270203917</v>
      </c>
      <c r="AA2418">
        <v>-0.78927499999999995</v>
      </c>
      <c r="AB2418">
        <v>113.92132700000001</v>
      </c>
    </row>
    <row r="2419" spans="1:28" hidden="1">
      <c r="A2419">
        <v>2405</v>
      </c>
      <c r="B2419">
        <v>1100</v>
      </c>
      <c r="C2419" t="s">
        <v>101</v>
      </c>
      <c r="D2419" t="s">
        <v>4510</v>
      </c>
      <c r="E2419">
        <v>80</v>
      </c>
      <c r="G2419" t="s">
        <v>77</v>
      </c>
      <c r="H2419" t="s">
        <v>248</v>
      </c>
      <c r="I2419" t="s">
        <v>1260</v>
      </c>
      <c r="J2419" t="s">
        <v>101</v>
      </c>
      <c r="K2419" t="s">
        <v>77</v>
      </c>
      <c r="M2419" t="b">
        <v>0</v>
      </c>
      <c r="N2419" t="s">
        <v>42</v>
      </c>
      <c r="O2419" t="s">
        <v>33</v>
      </c>
      <c r="Q2419">
        <v>180.44</v>
      </c>
      <c r="R2419">
        <v>7.7</v>
      </c>
      <c r="S2419" t="s">
        <v>81</v>
      </c>
      <c r="T2419">
        <v>28.1</v>
      </c>
      <c r="V2419">
        <v>113</v>
      </c>
      <c r="W2419">
        <v>69.400000000000006</v>
      </c>
      <c r="X2419">
        <v>11.2</v>
      </c>
      <c r="Y2419">
        <v>49.7</v>
      </c>
      <c r="Z2419">
        <v>1366417754</v>
      </c>
      <c r="AA2419">
        <v>20.593684</v>
      </c>
      <c r="AB2419">
        <v>78.962879999999998</v>
      </c>
    </row>
    <row r="2420" spans="1:28" hidden="1">
      <c r="A2420">
        <v>2405</v>
      </c>
      <c r="B2420">
        <v>1100</v>
      </c>
      <c r="C2420" t="s">
        <v>288</v>
      </c>
      <c r="D2420" t="s">
        <v>4511</v>
      </c>
      <c r="G2420" t="s">
        <v>103</v>
      </c>
      <c r="H2420" t="s">
        <v>623</v>
      </c>
      <c r="I2420" t="s">
        <v>418</v>
      </c>
      <c r="J2420" t="s">
        <v>288</v>
      </c>
      <c r="K2420" t="s">
        <v>103</v>
      </c>
      <c r="M2420" t="b">
        <v>1</v>
      </c>
      <c r="N2420" t="s">
        <v>42</v>
      </c>
      <c r="O2420" t="s">
        <v>33</v>
      </c>
      <c r="Q2420">
        <v>125.08</v>
      </c>
      <c r="R2420">
        <v>2.9</v>
      </c>
      <c r="S2420" t="s">
        <v>106</v>
      </c>
      <c r="T2420">
        <v>50.6</v>
      </c>
      <c r="V2420">
        <v>100.2</v>
      </c>
      <c r="W2420">
        <v>77</v>
      </c>
      <c r="X2420">
        <v>9.4</v>
      </c>
      <c r="Y2420">
        <v>59.2</v>
      </c>
      <c r="Z2420">
        <v>1397715000</v>
      </c>
      <c r="AA2420">
        <v>35.861660000000001</v>
      </c>
      <c r="AB2420">
        <v>104.195397</v>
      </c>
    </row>
    <row r="2421" spans="1:28" hidden="1">
      <c r="A2421">
        <v>2405</v>
      </c>
      <c r="B2421">
        <v>1100</v>
      </c>
      <c r="C2421" t="s">
        <v>217</v>
      </c>
      <c r="D2421" t="s">
        <v>4512</v>
      </c>
      <c r="E2421">
        <v>60</v>
      </c>
      <c r="G2421" t="s">
        <v>103</v>
      </c>
      <c r="H2421" t="s">
        <v>4513</v>
      </c>
      <c r="I2421" t="s">
        <v>4514</v>
      </c>
      <c r="J2421" t="s">
        <v>217</v>
      </c>
      <c r="K2421" t="s">
        <v>103</v>
      </c>
      <c r="M2421" t="b">
        <v>1</v>
      </c>
      <c r="N2421" t="s">
        <v>419</v>
      </c>
      <c r="O2421" t="s">
        <v>33</v>
      </c>
      <c r="Q2421">
        <v>125.08</v>
      </c>
      <c r="R2421">
        <v>2.9</v>
      </c>
      <c r="S2421" t="s">
        <v>106</v>
      </c>
      <c r="T2421">
        <v>50.6</v>
      </c>
      <c r="V2421">
        <v>100.2</v>
      </c>
      <c r="W2421">
        <v>77</v>
      </c>
      <c r="X2421">
        <v>9.4</v>
      </c>
      <c r="Y2421">
        <v>59.2</v>
      </c>
      <c r="Z2421">
        <v>1397715000</v>
      </c>
      <c r="AA2421">
        <v>35.861660000000001</v>
      </c>
      <c r="AB2421">
        <v>104.195397</v>
      </c>
    </row>
    <row r="2422" spans="1:28" hidden="1">
      <c r="A2422">
        <v>2405</v>
      </c>
      <c r="B2422">
        <v>1100</v>
      </c>
      <c r="C2422" t="s">
        <v>101</v>
      </c>
      <c r="D2422" t="s">
        <v>4515</v>
      </c>
      <c r="E2422">
        <v>82</v>
      </c>
      <c r="G2422" t="s">
        <v>164</v>
      </c>
      <c r="H2422" t="s">
        <v>538</v>
      </c>
      <c r="I2422" t="s">
        <v>410</v>
      </c>
      <c r="J2422" t="s">
        <v>101</v>
      </c>
      <c r="K2422" t="s">
        <v>164</v>
      </c>
      <c r="M2422" t="b">
        <v>0</v>
      </c>
      <c r="N2422" t="s">
        <v>42</v>
      </c>
      <c r="O2422" t="s">
        <v>88</v>
      </c>
      <c r="Q2422">
        <v>110.62</v>
      </c>
      <c r="R2422">
        <v>0.6</v>
      </c>
      <c r="S2422" t="s">
        <v>539</v>
      </c>
      <c r="T2422">
        <v>61.9</v>
      </c>
      <c r="V2422">
        <v>101.9</v>
      </c>
      <c r="W2422">
        <v>82.9</v>
      </c>
      <c r="X2422">
        <v>24.3</v>
      </c>
      <c r="Y2422">
        <v>59.1</v>
      </c>
      <c r="Z2422">
        <v>60297396</v>
      </c>
      <c r="AA2422">
        <v>41.871940000000002</v>
      </c>
      <c r="AB2422">
        <v>12.56738</v>
      </c>
    </row>
    <row r="2423" spans="1:28" hidden="1">
      <c r="A2423">
        <v>2405</v>
      </c>
      <c r="B2423">
        <v>1100</v>
      </c>
      <c r="C2423" t="s">
        <v>101</v>
      </c>
      <c r="D2423" t="s">
        <v>4516</v>
      </c>
      <c r="E2423">
        <v>45</v>
      </c>
      <c r="G2423" t="s">
        <v>164</v>
      </c>
      <c r="H2423" t="s">
        <v>538</v>
      </c>
      <c r="I2423" t="s">
        <v>410</v>
      </c>
      <c r="J2423" t="s">
        <v>101</v>
      </c>
      <c r="K2423" t="s">
        <v>164</v>
      </c>
      <c r="M2423" t="b">
        <v>0</v>
      </c>
      <c r="N2423" t="s">
        <v>42</v>
      </c>
      <c r="O2423" t="s">
        <v>88</v>
      </c>
      <c r="Q2423">
        <v>110.62</v>
      </c>
      <c r="R2423">
        <v>0.6</v>
      </c>
      <c r="S2423" t="s">
        <v>539</v>
      </c>
      <c r="T2423">
        <v>61.9</v>
      </c>
      <c r="V2423">
        <v>101.9</v>
      </c>
      <c r="W2423">
        <v>82.9</v>
      </c>
      <c r="X2423">
        <v>24.3</v>
      </c>
      <c r="Y2423">
        <v>59.1</v>
      </c>
      <c r="Z2423">
        <v>60297396</v>
      </c>
      <c r="AA2423">
        <v>41.871940000000002</v>
      </c>
      <c r="AB2423">
        <v>12.56738</v>
      </c>
    </row>
    <row r="2424" spans="1:28" hidden="1">
      <c r="A2424">
        <v>2405</v>
      </c>
      <c r="B2424">
        <v>1100</v>
      </c>
      <c r="C2424" t="s">
        <v>45</v>
      </c>
      <c r="D2424" t="s">
        <v>4517</v>
      </c>
      <c r="E2424">
        <v>40</v>
      </c>
      <c r="G2424" t="s">
        <v>103</v>
      </c>
      <c r="H2424" t="s">
        <v>143</v>
      </c>
      <c r="I2424" t="s">
        <v>45</v>
      </c>
      <c r="J2424" t="s">
        <v>45</v>
      </c>
      <c r="K2424" t="s">
        <v>103</v>
      </c>
      <c r="M2424" t="b">
        <v>1</v>
      </c>
      <c r="N2424" t="s">
        <v>42</v>
      </c>
      <c r="O2424" t="s">
        <v>33</v>
      </c>
      <c r="Q2424">
        <v>125.08</v>
      </c>
      <c r="R2424">
        <v>2.9</v>
      </c>
      <c r="S2424" t="s">
        <v>106</v>
      </c>
      <c r="T2424">
        <v>50.6</v>
      </c>
      <c r="V2424">
        <v>100.2</v>
      </c>
      <c r="W2424">
        <v>77</v>
      </c>
      <c r="X2424">
        <v>9.4</v>
      </c>
      <c r="Y2424">
        <v>59.2</v>
      </c>
      <c r="Z2424">
        <v>1397715000</v>
      </c>
      <c r="AA2424">
        <v>35.861660000000001</v>
      </c>
      <c r="AB2424">
        <v>104.195397</v>
      </c>
    </row>
    <row r="2425" spans="1:28" hidden="1">
      <c r="A2425">
        <v>2405</v>
      </c>
      <c r="B2425">
        <v>1100</v>
      </c>
      <c r="C2425" t="s">
        <v>288</v>
      </c>
      <c r="D2425" t="s">
        <v>4518</v>
      </c>
      <c r="E2425">
        <v>61</v>
      </c>
      <c r="G2425" t="s">
        <v>103</v>
      </c>
      <c r="H2425" t="s">
        <v>4519</v>
      </c>
      <c r="I2425" t="s">
        <v>3498</v>
      </c>
      <c r="J2425" t="s">
        <v>288</v>
      </c>
      <c r="K2425" t="s">
        <v>103</v>
      </c>
      <c r="M2425" t="b">
        <v>1</v>
      </c>
      <c r="N2425" t="s">
        <v>42</v>
      </c>
      <c r="O2425" t="s">
        <v>33</v>
      </c>
      <c r="Q2425">
        <v>125.08</v>
      </c>
      <c r="R2425">
        <v>2.9</v>
      </c>
      <c r="S2425" t="s">
        <v>106</v>
      </c>
      <c r="T2425">
        <v>50.6</v>
      </c>
      <c r="V2425">
        <v>100.2</v>
      </c>
      <c r="W2425">
        <v>77</v>
      </c>
      <c r="X2425">
        <v>9.4</v>
      </c>
      <c r="Y2425">
        <v>59.2</v>
      </c>
      <c r="Z2425">
        <v>1397715000</v>
      </c>
      <c r="AA2425">
        <v>35.861660000000001</v>
      </c>
      <c r="AB2425">
        <v>104.195397</v>
      </c>
    </row>
    <row r="2426" spans="1:28" hidden="1">
      <c r="A2426">
        <v>2405</v>
      </c>
      <c r="B2426">
        <v>1100</v>
      </c>
      <c r="C2426" t="s">
        <v>250</v>
      </c>
      <c r="D2426" t="s">
        <v>4520</v>
      </c>
      <c r="E2426">
        <v>55</v>
      </c>
      <c r="G2426" t="s">
        <v>103</v>
      </c>
      <c r="H2426" t="s">
        <v>489</v>
      </c>
      <c r="I2426" t="s">
        <v>4521</v>
      </c>
      <c r="J2426" t="s">
        <v>250</v>
      </c>
      <c r="K2426" t="s">
        <v>103</v>
      </c>
      <c r="M2426" t="b">
        <v>1</v>
      </c>
      <c r="N2426" t="s">
        <v>42</v>
      </c>
      <c r="O2426" t="s">
        <v>33</v>
      </c>
      <c r="Q2426">
        <v>125.08</v>
      </c>
      <c r="R2426">
        <v>2.9</v>
      </c>
      <c r="S2426" t="s">
        <v>106</v>
      </c>
      <c r="T2426">
        <v>50.6</v>
      </c>
      <c r="V2426">
        <v>100.2</v>
      </c>
      <c r="W2426">
        <v>77</v>
      </c>
      <c r="X2426">
        <v>9.4</v>
      </c>
      <c r="Y2426">
        <v>59.2</v>
      </c>
      <c r="Z2426">
        <v>1397715000</v>
      </c>
      <c r="AA2426">
        <v>35.861660000000001</v>
      </c>
      <c r="AB2426">
        <v>104.195397</v>
      </c>
    </row>
    <row r="2427" spans="1:28" hidden="1">
      <c r="A2427">
        <v>2405</v>
      </c>
      <c r="B2427">
        <v>1100</v>
      </c>
      <c r="C2427" t="s">
        <v>154</v>
      </c>
      <c r="D2427" t="s">
        <v>4522</v>
      </c>
      <c r="E2427">
        <v>47</v>
      </c>
      <c r="G2427" t="s">
        <v>103</v>
      </c>
      <c r="H2427" t="s">
        <v>215</v>
      </c>
      <c r="I2427" t="s">
        <v>310</v>
      </c>
      <c r="J2427" t="s">
        <v>154</v>
      </c>
      <c r="K2427" t="s">
        <v>103</v>
      </c>
      <c r="M2427" t="b">
        <v>1</v>
      </c>
      <c r="N2427" t="s">
        <v>42</v>
      </c>
      <c r="O2427" t="s">
        <v>88</v>
      </c>
      <c r="Q2427">
        <v>125.08</v>
      </c>
      <c r="R2427">
        <v>2.9</v>
      </c>
      <c r="S2427" t="s">
        <v>106</v>
      </c>
      <c r="T2427">
        <v>50.6</v>
      </c>
      <c r="V2427">
        <v>100.2</v>
      </c>
      <c r="W2427">
        <v>77</v>
      </c>
      <c r="X2427">
        <v>9.4</v>
      </c>
      <c r="Y2427">
        <v>59.2</v>
      </c>
      <c r="Z2427">
        <v>1397715000</v>
      </c>
      <c r="AA2427">
        <v>35.861660000000001</v>
      </c>
      <c r="AB2427">
        <v>104.195397</v>
      </c>
    </row>
    <row r="2428" spans="1:28" hidden="1">
      <c r="A2428">
        <v>2405</v>
      </c>
      <c r="B2428">
        <v>1100</v>
      </c>
      <c r="C2428" t="s">
        <v>45</v>
      </c>
      <c r="D2428" t="s">
        <v>4523</v>
      </c>
      <c r="E2428">
        <v>73</v>
      </c>
      <c r="G2428" t="s">
        <v>810</v>
      </c>
      <c r="H2428" t="s">
        <v>3803</v>
      </c>
      <c r="I2428" t="s">
        <v>897</v>
      </c>
      <c r="J2428" t="s">
        <v>45</v>
      </c>
      <c r="K2428" t="s">
        <v>810</v>
      </c>
      <c r="M2428" t="b">
        <v>1</v>
      </c>
      <c r="N2428" t="s">
        <v>32</v>
      </c>
      <c r="O2428" t="s">
        <v>33</v>
      </c>
    </row>
    <row r="2429" spans="1:28" hidden="1">
      <c r="A2429">
        <v>2405</v>
      </c>
      <c r="B2429">
        <v>1100</v>
      </c>
      <c r="C2429" t="s">
        <v>217</v>
      </c>
      <c r="D2429" t="s">
        <v>4524</v>
      </c>
      <c r="E2429">
        <v>55</v>
      </c>
      <c r="G2429" t="s">
        <v>103</v>
      </c>
      <c r="H2429" t="s">
        <v>2523</v>
      </c>
      <c r="I2429" t="s">
        <v>3079</v>
      </c>
      <c r="J2429" t="s">
        <v>217</v>
      </c>
      <c r="K2429" t="s">
        <v>103</v>
      </c>
      <c r="M2429" t="b">
        <v>1</v>
      </c>
      <c r="N2429" t="s">
        <v>42</v>
      </c>
      <c r="O2429" t="s">
        <v>88</v>
      </c>
      <c r="Q2429">
        <v>125.08</v>
      </c>
      <c r="R2429">
        <v>2.9</v>
      </c>
      <c r="S2429" t="s">
        <v>106</v>
      </c>
      <c r="T2429">
        <v>50.6</v>
      </c>
      <c r="V2429">
        <v>100.2</v>
      </c>
      <c r="W2429">
        <v>77</v>
      </c>
      <c r="X2429">
        <v>9.4</v>
      </c>
      <c r="Y2429">
        <v>59.2</v>
      </c>
      <c r="Z2429">
        <v>1397715000</v>
      </c>
      <c r="AA2429">
        <v>35.861660000000001</v>
      </c>
      <c r="AB2429">
        <v>104.195397</v>
      </c>
    </row>
    <row r="2430" spans="1:28" hidden="1">
      <c r="A2430">
        <v>2405</v>
      </c>
      <c r="B2430">
        <v>1100</v>
      </c>
      <c r="C2430" t="s">
        <v>101</v>
      </c>
      <c r="D2430" t="s">
        <v>4525</v>
      </c>
      <c r="E2430">
        <v>58</v>
      </c>
      <c r="G2430" t="s">
        <v>103</v>
      </c>
      <c r="H2430" t="s">
        <v>687</v>
      </c>
      <c r="I2430" t="s">
        <v>4526</v>
      </c>
      <c r="J2430" t="s">
        <v>101</v>
      </c>
      <c r="K2430" t="s">
        <v>103</v>
      </c>
      <c r="M2430" t="b">
        <v>1</v>
      </c>
      <c r="N2430" t="s">
        <v>42</v>
      </c>
      <c r="O2430" t="s">
        <v>33</v>
      </c>
      <c r="Q2430">
        <v>125.08</v>
      </c>
      <c r="R2430">
        <v>2.9</v>
      </c>
      <c r="S2430" t="s">
        <v>106</v>
      </c>
      <c r="T2430">
        <v>50.6</v>
      </c>
      <c r="V2430">
        <v>100.2</v>
      </c>
      <c r="W2430">
        <v>77</v>
      </c>
      <c r="X2430">
        <v>9.4</v>
      </c>
      <c r="Y2430">
        <v>59.2</v>
      </c>
      <c r="Z2430">
        <v>1397715000</v>
      </c>
      <c r="AA2430">
        <v>35.861660000000001</v>
      </c>
      <c r="AB2430">
        <v>104.195397</v>
      </c>
    </row>
    <row r="2431" spans="1:28" hidden="1">
      <c r="A2431">
        <v>2405</v>
      </c>
      <c r="B2431">
        <v>1100</v>
      </c>
      <c r="C2431" t="s">
        <v>45</v>
      </c>
      <c r="D2431" t="s">
        <v>4527</v>
      </c>
      <c r="I2431" t="s">
        <v>312</v>
      </c>
      <c r="J2431" t="s">
        <v>45</v>
      </c>
      <c r="K2431" t="s">
        <v>810</v>
      </c>
      <c r="M2431" t="b">
        <v>1</v>
      </c>
      <c r="N2431" t="s">
        <v>42</v>
      </c>
      <c r="O2431" t="s">
        <v>33</v>
      </c>
    </row>
    <row r="2432" spans="1:28">
      <c r="A2432">
        <v>2405</v>
      </c>
      <c r="B2432">
        <v>1100</v>
      </c>
      <c r="C2432" t="s">
        <v>45</v>
      </c>
      <c r="D2432" t="s">
        <v>4528</v>
      </c>
      <c r="E2432">
        <v>61</v>
      </c>
      <c r="F2432" t="str">
        <f>IF(E2432&gt;=90,"90-100",IF(E2432&gt;=80,"80-90",IF(E2432&gt;=70,"70-80",IF(E2432&gt;=60,"60-70",IF(E2432&gt;=50,"50-60",IF(E2432&gt;=40,"40-50",IF(E2432&gt;=30,"30-40","20-30")))))))</f>
        <v>60-70</v>
      </c>
      <c r="G2432" t="s">
        <v>38</v>
      </c>
      <c r="H2432" t="s">
        <v>181</v>
      </c>
      <c r="I2432" t="s">
        <v>312</v>
      </c>
      <c r="J2432" t="s">
        <v>45</v>
      </c>
      <c r="K2432" t="s">
        <v>38</v>
      </c>
      <c r="L2432" t="s">
        <v>4529</v>
      </c>
      <c r="M2432" t="b">
        <v>1</v>
      </c>
      <c r="N2432" t="s">
        <v>42</v>
      </c>
      <c r="O2432" t="s">
        <v>4866</v>
      </c>
      <c r="P2432" t="s">
        <v>4530</v>
      </c>
      <c r="Q2432">
        <v>117.24</v>
      </c>
      <c r="R2432">
        <v>7.5</v>
      </c>
      <c r="S2432" t="s">
        <v>44</v>
      </c>
      <c r="T2432">
        <v>88.2</v>
      </c>
      <c r="U2432" t="str">
        <f>IF(T2432&gt;=100,"above 100",IF(T2432&gt;=80,"80-100",IF(T2432&gt;=60,"60-80",IF(T2432&gt;=40,"40-60",IF(T2432&gt;=20,"20-60","0-20")))))</f>
        <v>80-100</v>
      </c>
      <c r="V2432">
        <v>101.8</v>
      </c>
      <c r="W2432">
        <v>78.5</v>
      </c>
      <c r="X2432">
        <v>9.6</v>
      </c>
      <c r="Y2432">
        <v>36.6</v>
      </c>
      <c r="Z2432">
        <v>328239523</v>
      </c>
      <c r="AA2432">
        <v>37.090240000000001</v>
      </c>
      <c r="AB2432">
        <v>-95.712890999999999</v>
      </c>
    </row>
    <row r="2433" spans="1:28" hidden="1">
      <c r="A2433">
        <v>2405</v>
      </c>
      <c r="B2433">
        <v>1100</v>
      </c>
      <c r="C2433" t="s">
        <v>101</v>
      </c>
      <c r="D2433" t="s">
        <v>4531</v>
      </c>
      <c r="G2433" t="s">
        <v>95</v>
      </c>
      <c r="H2433" t="s">
        <v>2265</v>
      </c>
      <c r="I2433" t="s">
        <v>3182</v>
      </c>
      <c r="J2433" t="s">
        <v>101</v>
      </c>
      <c r="K2433" t="s">
        <v>95</v>
      </c>
      <c r="M2433" t="b">
        <v>0</v>
      </c>
      <c r="N2433" t="s">
        <v>853</v>
      </c>
      <c r="O2433" t="s">
        <v>88</v>
      </c>
      <c r="Q2433">
        <v>110.96</v>
      </c>
      <c r="R2433">
        <v>0.7</v>
      </c>
      <c r="S2433" t="s">
        <v>98</v>
      </c>
      <c r="T2433">
        <v>88.9</v>
      </c>
      <c r="V2433">
        <v>102.7</v>
      </c>
      <c r="W2433">
        <v>83.3</v>
      </c>
      <c r="X2433">
        <v>14.2</v>
      </c>
      <c r="Y2433">
        <v>47</v>
      </c>
      <c r="Z2433">
        <v>47076781</v>
      </c>
      <c r="AA2433">
        <v>40.463667000000001</v>
      </c>
      <c r="AB2433">
        <v>-3.7492200000000002</v>
      </c>
    </row>
    <row r="2434" spans="1:28" hidden="1">
      <c r="A2434">
        <v>2405</v>
      </c>
      <c r="B2434">
        <v>1100</v>
      </c>
      <c r="C2434" t="s">
        <v>217</v>
      </c>
      <c r="D2434" t="s">
        <v>4532</v>
      </c>
      <c r="E2434">
        <v>72</v>
      </c>
      <c r="G2434" t="s">
        <v>103</v>
      </c>
      <c r="H2434" t="s">
        <v>4071</v>
      </c>
      <c r="I2434" t="s">
        <v>1913</v>
      </c>
      <c r="J2434" t="s">
        <v>217</v>
      </c>
      <c r="K2434" t="s">
        <v>103</v>
      </c>
      <c r="M2434" t="b">
        <v>1</v>
      </c>
      <c r="N2434" t="s">
        <v>42</v>
      </c>
      <c r="O2434" t="s">
        <v>33</v>
      </c>
      <c r="Q2434">
        <v>125.08</v>
      </c>
      <c r="R2434">
        <v>2.9</v>
      </c>
      <c r="S2434" t="s">
        <v>106</v>
      </c>
      <c r="T2434">
        <v>50.6</v>
      </c>
      <c r="V2434">
        <v>100.2</v>
      </c>
      <c r="W2434">
        <v>77</v>
      </c>
      <c r="X2434">
        <v>9.4</v>
      </c>
      <c r="Y2434">
        <v>59.2</v>
      </c>
      <c r="Z2434">
        <v>1397715000</v>
      </c>
      <c r="AA2434">
        <v>35.861660000000001</v>
      </c>
      <c r="AB2434">
        <v>104.195397</v>
      </c>
    </row>
    <row r="2435" spans="1:28" hidden="1">
      <c r="A2435">
        <v>2405</v>
      </c>
      <c r="B2435">
        <v>1100</v>
      </c>
      <c r="C2435" t="s">
        <v>54</v>
      </c>
      <c r="D2435" t="s">
        <v>4533</v>
      </c>
      <c r="E2435">
        <v>87</v>
      </c>
      <c r="G2435" t="s">
        <v>342</v>
      </c>
      <c r="H2435" t="s">
        <v>1093</v>
      </c>
      <c r="I2435" t="s">
        <v>782</v>
      </c>
      <c r="J2435" t="s">
        <v>54</v>
      </c>
      <c r="K2435" t="s">
        <v>342</v>
      </c>
      <c r="M2435" t="b">
        <v>1</v>
      </c>
      <c r="N2435" t="s">
        <v>42</v>
      </c>
      <c r="O2435" t="s">
        <v>33</v>
      </c>
      <c r="Q2435">
        <v>108.15</v>
      </c>
      <c r="R2435">
        <v>0.8</v>
      </c>
      <c r="S2435" t="s">
        <v>532</v>
      </c>
      <c r="T2435">
        <v>63.4</v>
      </c>
      <c r="V2435">
        <v>104.9</v>
      </c>
      <c r="W2435">
        <v>82.8</v>
      </c>
      <c r="X2435">
        <v>23.1</v>
      </c>
      <c r="Y2435">
        <v>25.3</v>
      </c>
      <c r="Z2435">
        <v>9053300</v>
      </c>
      <c r="AA2435">
        <v>31.046050999999999</v>
      </c>
      <c r="AB2435">
        <v>34.851612000000003</v>
      </c>
    </row>
    <row r="2436" spans="1:28">
      <c r="A2436">
        <v>2405</v>
      </c>
      <c r="B2436">
        <v>1100</v>
      </c>
      <c r="C2436" t="s">
        <v>54</v>
      </c>
      <c r="D2436" t="s">
        <v>4534</v>
      </c>
      <c r="E2436">
        <v>65</v>
      </c>
      <c r="F2436" t="str">
        <f>IF(E2436&gt;=90,"90-100",IF(E2436&gt;=80,"80-90",IF(E2436&gt;=70,"70-80",IF(E2436&gt;=60,"60-70",IF(E2436&gt;=50,"50-60",IF(E2436&gt;=40,"40-50",IF(E2436&gt;=30,"30-40","20-30")))))))</f>
        <v>60-70</v>
      </c>
      <c r="G2436" t="s">
        <v>203</v>
      </c>
      <c r="H2436" t="s">
        <v>4535</v>
      </c>
      <c r="I2436" t="s">
        <v>782</v>
      </c>
      <c r="J2436" t="s">
        <v>54</v>
      </c>
      <c r="K2436" t="s">
        <v>38</v>
      </c>
      <c r="L2436" t="s">
        <v>4536</v>
      </c>
      <c r="M2436" t="b">
        <v>1</v>
      </c>
      <c r="N2436" t="s">
        <v>42</v>
      </c>
      <c r="O2436" t="s">
        <v>4867</v>
      </c>
      <c r="P2436" t="s">
        <v>424</v>
      </c>
      <c r="Q2436">
        <v>119.62</v>
      </c>
      <c r="R2436">
        <v>1.7</v>
      </c>
      <c r="S2436" t="s">
        <v>206</v>
      </c>
      <c r="T2436">
        <v>60</v>
      </c>
      <c r="U2436" t="str">
        <f>IF(T2436&gt;=100,"above 100",IF(T2436&gt;=80,"80-100",IF(T2436&gt;=60,"60-80",IF(T2436&gt;=40,"40-60",IF(T2436&gt;=20,"20-60","0-20")))))</f>
        <v>60-80</v>
      </c>
      <c r="V2436">
        <v>101.2</v>
      </c>
      <c r="W2436">
        <v>81.3</v>
      </c>
      <c r="X2436">
        <v>25.5</v>
      </c>
      <c r="Y2436">
        <v>30.6</v>
      </c>
      <c r="Z2436">
        <v>66834405</v>
      </c>
      <c r="AA2436">
        <v>55.378050999999999</v>
      </c>
      <c r="AB2436">
        <v>-3.4359730000000002</v>
      </c>
    </row>
    <row r="2437" spans="1:28" hidden="1">
      <c r="A2437">
        <v>2405</v>
      </c>
      <c r="B2437">
        <v>1100</v>
      </c>
      <c r="C2437" t="s">
        <v>308</v>
      </c>
      <c r="D2437" t="s">
        <v>4537</v>
      </c>
      <c r="E2437">
        <v>88</v>
      </c>
      <c r="G2437" t="s">
        <v>95</v>
      </c>
      <c r="H2437" t="s">
        <v>4538</v>
      </c>
      <c r="I2437" t="s">
        <v>1843</v>
      </c>
      <c r="J2437" t="s">
        <v>308</v>
      </c>
      <c r="K2437" t="s">
        <v>95</v>
      </c>
      <c r="M2437" t="b">
        <v>1</v>
      </c>
      <c r="N2437" t="s">
        <v>419</v>
      </c>
      <c r="O2437" t="s">
        <v>33</v>
      </c>
      <c r="Q2437">
        <v>110.96</v>
      </c>
      <c r="R2437">
        <v>0.7</v>
      </c>
      <c r="S2437" t="s">
        <v>98</v>
      </c>
      <c r="T2437">
        <v>88.9</v>
      </c>
      <c r="V2437">
        <v>102.7</v>
      </c>
      <c r="W2437">
        <v>83.3</v>
      </c>
      <c r="X2437">
        <v>14.2</v>
      </c>
      <c r="Y2437">
        <v>47</v>
      </c>
      <c r="Z2437">
        <v>47076781</v>
      </c>
      <c r="AA2437">
        <v>40.463667000000001</v>
      </c>
      <c r="AB2437">
        <v>-3.7492200000000002</v>
      </c>
    </row>
    <row r="2438" spans="1:28" hidden="1">
      <c r="A2438">
        <v>2405</v>
      </c>
      <c r="B2438">
        <v>1100</v>
      </c>
      <c r="C2438" t="s">
        <v>217</v>
      </c>
      <c r="D2438" t="s">
        <v>4539</v>
      </c>
      <c r="E2438">
        <v>63</v>
      </c>
      <c r="G2438" t="s">
        <v>384</v>
      </c>
      <c r="H2438" t="s">
        <v>4267</v>
      </c>
      <c r="I2438" t="s">
        <v>4307</v>
      </c>
      <c r="J2438" t="s">
        <v>217</v>
      </c>
      <c r="K2438" t="s">
        <v>384</v>
      </c>
      <c r="M2438" t="b">
        <v>0</v>
      </c>
      <c r="N2438" t="s">
        <v>42</v>
      </c>
      <c r="O2438" t="s">
        <v>33</v>
      </c>
      <c r="Q2438">
        <v>167.4</v>
      </c>
      <c r="R2438">
        <v>3.7</v>
      </c>
      <c r="S2438" t="s">
        <v>563</v>
      </c>
      <c r="T2438">
        <v>51.3</v>
      </c>
      <c r="V2438">
        <v>115.4</v>
      </c>
      <c r="W2438">
        <v>75.7</v>
      </c>
      <c r="X2438">
        <v>14.2</v>
      </c>
      <c r="Y2438">
        <v>65.099999999999994</v>
      </c>
      <c r="Z2438">
        <v>212559417</v>
      </c>
      <c r="AA2438">
        <v>-14.235004</v>
      </c>
      <c r="AB2438">
        <v>-51.925280000000001</v>
      </c>
    </row>
    <row r="2439" spans="1:28" hidden="1">
      <c r="A2439">
        <v>2405</v>
      </c>
      <c r="B2439">
        <v>1100</v>
      </c>
      <c r="C2439" t="s">
        <v>217</v>
      </c>
      <c r="D2439" t="s">
        <v>4540</v>
      </c>
      <c r="E2439">
        <v>53</v>
      </c>
      <c r="G2439" t="s">
        <v>384</v>
      </c>
      <c r="H2439" t="s">
        <v>4267</v>
      </c>
      <c r="I2439" t="s">
        <v>4307</v>
      </c>
      <c r="J2439" t="s">
        <v>217</v>
      </c>
      <c r="K2439" t="s">
        <v>384</v>
      </c>
      <c r="M2439" t="b">
        <v>0</v>
      </c>
      <c r="N2439" t="s">
        <v>42</v>
      </c>
      <c r="O2439" t="s">
        <v>33</v>
      </c>
      <c r="Q2439">
        <v>167.4</v>
      </c>
      <c r="R2439">
        <v>3.7</v>
      </c>
      <c r="S2439" t="s">
        <v>563</v>
      </c>
      <c r="T2439">
        <v>51.3</v>
      </c>
      <c r="V2439">
        <v>115.4</v>
      </c>
      <c r="W2439">
        <v>75.7</v>
      </c>
      <c r="X2439">
        <v>14.2</v>
      </c>
      <c r="Y2439">
        <v>65.099999999999994</v>
      </c>
      <c r="Z2439">
        <v>212559417</v>
      </c>
      <c r="AA2439">
        <v>-14.235004</v>
      </c>
      <c r="AB2439">
        <v>-51.925280000000001</v>
      </c>
    </row>
    <row r="2440" spans="1:28" hidden="1">
      <c r="A2440">
        <v>2405</v>
      </c>
      <c r="B2440">
        <v>1100</v>
      </c>
      <c r="C2440" t="s">
        <v>68</v>
      </c>
      <c r="D2440" t="s">
        <v>4541</v>
      </c>
      <c r="E2440">
        <v>56</v>
      </c>
      <c r="G2440" t="s">
        <v>467</v>
      </c>
      <c r="H2440" t="s">
        <v>2986</v>
      </c>
      <c r="I2440" t="s">
        <v>231</v>
      </c>
      <c r="J2440" t="s">
        <v>68</v>
      </c>
      <c r="K2440" t="s">
        <v>263</v>
      </c>
      <c r="M2440" t="b">
        <v>1</v>
      </c>
      <c r="N2440" t="s">
        <v>42</v>
      </c>
      <c r="O2440" t="s">
        <v>33</v>
      </c>
      <c r="Q2440">
        <v>102.51</v>
      </c>
      <c r="R2440">
        <v>0.3</v>
      </c>
      <c r="S2440" t="s">
        <v>2607</v>
      </c>
      <c r="T2440">
        <v>75.900000000000006</v>
      </c>
      <c r="V2440">
        <v>99.3</v>
      </c>
      <c r="W2440">
        <v>80.8</v>
      </c>
      <c r="X2440">
        <v>24.5</v>
      </c>
      <c r="Y2440">
        <v>22.4</v>
      </c>
      <c r="Z2440">
        <v>1198575</v>
      </c>
      <c r="AA2440">
        <v>35.126412999999999</v>
      </c>
      <c r="AB2440">
        <v>33.429859</v>
      </c>
    </row>
    <row r="2441" spans="1:28" hidden="1">
      <c r="A2441">
        <v>2405</v>
      </c>
      <c r="B2441">
        <v>1100</v>
      </c>
      <c r="C2441" t="s">
        <v>26</v>
      </c>
      <c r="D2441" t="s">
        <v>4542</v>
      </c>
      <c r="E2441">
        <v>79</v>
      </c>
      <c r="G2441" t="s">
        <v>38</v>
      </c>
      <c r="H2441" t="s">
        <v>557</v>
      </c>
      <c r="I2441" t="s">
        <v>4543</v>
      </c>
      <c r="J2441" t="s">
        <v>26</v>
      </c>
      <c r="K2441" t="s">
        <v>38</v>
      </c>
      <c r="M2441" t="b">
        <v>1</v>
      </c>
      <c r="N2441" t="s">
        <v>419</v>
      </c>
      <c r="O2441" t="s">
        <v>33</v>
      </c>
      <c r="Q2441">
        <v>117.24</v>
      </c>
      <c r="R2441">
        <v>7.5</v>
      </c>
      <c r="S2441" t="s">
        <v>44</v>
      </c>
      <c r="T2441">
        <v>88.2</v>
      </c>
      <c r="V2441">
        <v>101.8</v>
      </c>
      <c r="W2441">
        <v>78.5</v>
      </c>
      <c r="X2441">
        <v>9.6</v>
      </c>
      <c r="Y2441">
        <v>36.6</v>
      </c>
      <c r="Z2441">
        <v>328239523</v>
      </c>
      <c r="AA2441">
        <v>37.090240000000001</v>
      </c>
      <c r="AB2441">
        <v>-95.712890999999999</v>
      </c>
    </row>
    <row r="2442" spans="1:28">
      <c r="A2442">
        <v>2405</v>
      </c>
      <c r="B2442">
        <v>1100</v>
      </c>
      <c r="C2442" t="s">
        <v>26</v>
      </c>
      <c r="D2442" t="s">
        <v>4544</v>
      </c>
      <c r="E2442">
        <v>69</v>
      </c>
      <c r="F2442" t="str">
        <f>IF(E2442&gt;=90,"90-100",IF(E2442&gt;=80,"80-90",IF(E2442&gt;=70,"70-80",IF(E2442&gt;=60,"60-70",IF(E2442&gt;=50,"50-60",IF(E2442&gt;=40,"40-50",IF(E2442&gt;=30,"30-40","20-30")))))))</f>
        <v>60-70</v>
      </c>
      <c r="G2442" t="s">
        <v>38</v>
      </c>
      <c r="H2442" t="s">
        <v>652</v>
      </c>
      <c r="I2442" t="s">
        <v>2688</v>
      </c>
      <c r="J2442" t="s">
        <v>26</v>
      </c>
      <c r="K2442" t="s">
        <v>38</v>
      </c>
      <c r="L2442" t="s">
        <v>2689</v>
      </c>
      <c r="M2442" t="b">
        <v>0</v>
      </c>
      <c r="N2442" t="s">
        <v>42</v>
      </c>
      <c r="O2442" t="s">
        <v>4867</v>
      </c>
      <c r="P2442" t="s">
        <v>4545</v>
      </c>
      <c r="Q2442">
        <v>117.24</v>
      </c>
      <c r="R2442">
        <v>7.5</v>
      </c>
      <c r="S2442" t="s">
        <v>44</v>
      </c>
      <c r="T2442">
        <v>88.2</v>
      </c>
      <c r="U2442" t="str">
        <f>IF(T2442&gt;=100,"above 100",IF(T2442&gt;=80,"80-100",IF(T2442&gt;=60,"60-80",IF(T2442&gt;=40,"40-60",IF(T2442&gt;=20,"20-60","0-20")))))</f>
        <v>80-100</v>
      </c>
      <c r="V2442">
        <v>101.8</v>
      </c>
      <c r="W2442">
        <v>78.5</v>
      </c>
      <c r="X2442">
        <v>9.6</v>
      </c>
      <c r="Y2442">
        <v>36.6</v>
      </c>
      <c r="Z2442">
        <v>328239523</v>
      </c>
      <c r="AA2442">
        <v>37.090240000000001</v>
      </c>
      <c r="AB2442">
        <v>-95.712890999999999</v>
      </c>
    </row>
    <row r="2443" spans="1:28" hidden="1">
      <c r="A2443">
        <v>2405</v>
      </c>
      <c r="B2443">
        <v>1100</v>
      </c>
      <c r="C2443" t="s">
        <v>26</v>
      </c>
      <c r="D2443" t="s">
        <v>4546</v>
      </c>
      <c r="E2443">
        <v>66</v>
      </c>
      <c r="G2443" t="s">
        <v>148</v>
      </c>
      <c r="H2443" t="s">
        <v>4547</v>
      </c>
      <c r="I2443" t="s">
        <v>200</v>
      </c>
      <c r="J2443" t="s">
        <v>26</v>
      </c>
      <c r="K2443" t="s">
        <v>148</v>
      </c>
      <c r="M2443" t="b">
        <v>1</v>
      </c>
      <c r="N2443" t="s">
        <v>42</v>
      </c>
      <c r="O2443" t="s">
        <v>33</v>
      </c>
      <c r="Q2443">
        <v>112.85</v>
      </c>
      <c r="R2443">
        <v>1.4</v>
      </c>
      <c r="S2443" t="s">
        <v>151</v>
      </c>
      <c r="T2443">
        <v>70.2</v>
      </c>
      <c r="V2443">
        <v>104</v>
      </c>
      <c r="W2443">
        <v>80.900000000000006</v>
      </c>
      <c r="X2443">
        <v>11.5</v>
      </c>
      <c r="Y2443">
        <v>48.8</v>
      </c>
      <c r="Z2443">
        <v>83132799</v>
      </c>
      <c r="AA2443">
        <v>51.165691000000002</v>
      </c>
      <c r="AB2443">
        <v>10.451525999999999</v>
      </c>
    </row>
    <row r="2444" spans="1:28" hidden="1">
      <c r="A2444">
        <v>2405</v>
      </c>
      <c r="B2444">
        <v>1100</v>
      </c>
      <c r="C2444" t="s">
        <v>217</v>
      </c>
      <c r="D2444" t="s">
        <v>4548</v>
      </c>
      <c r="E2444">
        <v>82</v>
      </c>
      <c r="G2444" t="s">
        <v>38</v>
      </c>
      <c r="H2444" t="s">
        <v>635</v>
      </c>
      <c r="I2444" t="s">
        <v>217</v>
      </c>
      <c r="J2444" t="s">
        <v>217</v>
      </c>
      <c r="K2444" t="s">
        <v>38</v>
      </c>
      <c r="M2444" t="b">
        <v>1</v>
      </c>
      <c r="N2444" t="s">
        <v>419</v>
      </c>
      <c r="O2444" t="s">
        <v>33</v>
      </c>
      <c r="Q2444">
        <v>117.24</v>
      </c>
      <c r="R2444">
        <v>7.5</v>
      </c>
      <c r="S2444" t="s">
        <v>44</v>
      </c>
      <c r="T2444">
        <v>88.2</v>
      </c>
      <c r="V2444">
        <v>101.8</v>
      </c>
      <c r="W2444">
        <v>78.5</v>
      </c>
      <c r="X2444">
        <v>9.6</v>
      </c>
      <c r="Y2444">
        <v>36.6</v>
      </c>
      <c r="Z2444">
        <v>328239523</v>
      </c>
      <c r="AA2444">
        <v>37.090240000000001</v>
      </c>
      <c r="AB2444">
        <v>-95.712890999999999</v>
      </c>
    </row>
    <row r="2445" spans="1:28" hidden="1">
      <c r="A2445">
        <v>2405</v>
      </c>
      <c r="B2445">
        <v>1100</v>
      </c>
      <c r="C2445" t="s">
        <v>288</v>
      </c>
      <c r="D2445" t="s">
        <v>4549</v>
      </c>
      <c r="E2445">
        <v>74</v>
      </c>
      <c r="G2445" t="s">
        <v>103</v>
      </c>
      <c r="H2445" t="s">
        <v>143</v>
      </c>
      <c r="I2445" t="s">
        <v>418</v>
      </c>
      <c r="J2445" t="s">
        <v>288</v>
      </c>
      <c r="K2445" t="s">
        <v>103</v>
      </c>
      <c r="M2445" t="b">
        <v>1</v>
      </c>
      <c r="N2445" t="s">
        <v>42</v>
      </c>
      <c r="O2445" t="s">
        <v>33</v>
      </c>
      <c r="Q2445">
        <v>125.08</v>
      </c>
      <c r="R2445">
        <v>2.9</v>
      </c>
      <c r="S2445" t="s">
        <v>106</v>
      </c>
      <c r="T2445">
        <v>50.6</v>
      </c>
      <c r="V2445">
        <v>100.2</v>
      </c>
      <c r="W2445">
        <v>77</v>
      </c>
      <c r="X2445">
        <v>9.4</v>
      </c>
      <c r="Y2445">
        <v>59.2</v>
      </c>
      <c r="Z2445">
        <v>1397715000</v>
      </c>
      <c r="AA2445">
        <v>35.861660000000001</v>
      </c>
      <c r="AB2445">
        <v>104.195397</v>
      </c>
    </row>
    <row r="2446" spans="1:28" hidden="1">
      <c r="A2446">
        <v>2405</v>
      </c>
      <c r="B2446">
        <v>1100</v>
      </c>
      <c r="C2446" t="s">
        <v>26</v>
      </c>
      <c r="D2446" t="s">
        <v>4550</v>
      </c>
      <c r="E2446">
        <v>70</v>
      </c>
      <c r="G2446" t="s">
        <v>77</v>
      </c>
      <c r="H2446" t="s">
        <v>248</v>
      </c>
      <c r="I2446" t="s">
        <v>4551</v>
      </c>
      <c r="J2446" t="s">
        <v>26</v>
      </c>
      <c r="K2446" t="s">
        <v>77</v>
      </c>
      <c r="M2446" t="b">
        <v>0</v>
      </c>
      <c r="N2446" t="s">
        <v>42</v>
      </c>
      <c r="O2446" t="s">
        <v>33</v>
      </c>
      <c r="Q2446">
        <v>180.44</v>
      </c>
      <c r="R2446">
        <v>7.7</v>
      </c>
      <c r="S2446" t="s">
        <v>81</v>
      </c>
      <c r="T2446">
        <v>28.1</v>
      </c>
      <c r="V2446">
        <v>113</v>
      </c>
      <c r="W2446">
        <v>69.400000000000006</v>
      </c>
      <c r="X2446">
        <v>11.2</v>
      </c>
      <c r="Y2446">
        <v>49.7</v>
      </c>
      <c r="Z2446">
        <v>1366417754</v>
      </c>
      <c r="AA2446">
        <v>20.593684</v>
      </c>
      <c r="AB2446">
        <v>78.962879999999998</v>
      </c>
    </row>
    <row r="2447" spans="1:28" hidden="1">
      <c r="A2447">
        <v>2405</v>
      </c>
      <c r="B2447">
        <v>1100</v>
      </c>
      <c r="C2447" t="s">
        <v>54</v>
      </c>
      <c r="D2447" t="s">
        <v>4552</v>
      </c>
      <c r="E2447">
        <v>60</v>
      </c>
      <c r="G2447" t="s">
        <v>38</v>
      </c>
      <c r="H2447" t="s">
        <v>65</v>
      </c>
      <c r="I2447" t="s">
        <v>613</v>
      </c>
      <c r="J2447" t="s">
        <v>54</v>
      </c>
      <c r="K2447" t="s">
        <v>38</v>
      </c>
      <c r="M2447" t="b">
        <v>1</v>
      </c>
      <c r="N2447" t="s">
        <v>419</v>
      </c>
      <c r="O2447" t="s">
        <v>33</v>
      </c>
      <c r="P2447" t="s">
        <v>468</v>
      </c>
      <c r="Q2447">
        <v>117.24</v>
      </c>
      <c r="R2447">
        <v>7.5</v>
      </c>
      <c r="S2447" t="s">
        <v>44</v>
      </c>
      <c r="T2447">
        <v>88.2</v>
      </c>
      <c r="V2447">
        <v>101.8</v>
      </c>
      <c r="W2447">
        <v>78.5</v>
      </c>
      <c r="X2447">
        <v>9.6</v>
      </c>
      <c r="Y2447">
        <v>36.6</v>
      </c>
      <c r="Z2447">
        <v>328239523</v>
      </c>
      <c r="AA2447">
        <v>37.090240000000001</v>
      </c>
      <c r="AB2447">
        <v>-95.712890999999999</v>
      </c>
    </row>
    <row r="2448" spans="1:28" hidden="1">
      <c r="A2448">
        <v>2405</v>
      </c>
      <c r="B2448">
        <v>1100</v>
      </c>
      <c r="C2448" t="s">
        <v>221</v>
      </c>
      <c r="D2448" t="s">
        <v>4553</v>
      </c>
      <c r="E2448">
        <v>47</v>
      </c>
      <c r="G2448" t="s">
        <v>263</v>
      </c>
      <c r="H2448" t="s">
        <v>274</v>
      </c>
      <c r="I2448" t="s">
        <v>4554</v>
      </c>
      <c r="J2448" t="s">
        <v>221</v>
      </c>
      <c r="K2448" t="s">
        <v>263</v>
      </c>
      <c r="M2448" t="b">
        <v>1</v>
      </c>
      <c r="N2448" t="s">
        <v>192</v>
      </c>
      <c r="O2448" t="s">
        <v>33</v>
      </c>
      <c r="Q2448">
        <v>180.75</v>
      </c>
      <c r="R2448">
        <v>4.5</v>
      </c>
      <c r="S2448" t="s">
        <v>276</v>
      </c>
      <c r="T2448">
        <v>81.900000000000006</v>
      </c>
      <c r="V2448">
        <v>102.6</v>
      </c>
      <c r="W2448">
        <v>72.7</v>
      </c>
      <c r="X2448">
        <v>11.4</v>
      </c>
      <c r="Y2448">
        <v>46.2</v>
      </c>
      <c r="Z2448">
        <v>144373535</v>
      </c>
      <c r="AA2448">
        <v>61.524009999999997</v>
      </c>
      <c r="AB2448">
        <v>105.31875599999999</v>
      </c>
    </row>
    <row r="2449" spans="1:28" hidden="1">
      <c r="A2449">
        <v>2405</v>
      </c>
      <c r="B2449">
        <v>1100</v>
      </c>
      <c r="C2449" t="s">
        <v>26</v>
      </c>
      <c r="D2449" t="s">
        <v>4555</v>
      </c>
      <c r="G2449" t="s">
        <v>203</v>
      </c>
      <c r="H2449" t="s">
        <v>204</v>
      </c>
      <c r="I2449" t="s">
        <v>200</v>
      </c>
      <c r="J2449" t="s">
        <v>26</v>
      </c>
      <c r="K2449" t="s">
        <v>203</v>
      </c>
      <c r="M2449" t="b">
        <v>1</v>
      </c>
      <c r="N2449" t="s">
        <v>212</v>
      </c>
      <c r="O2449" t="s">
        <v>88</v>
      </c>
      <c r="Q2449">
        <v>119.62</v>
      </c>
      <c r="R2449">
        <v>1.7</v>
      </c>
      <c r="S2449" t="s">
        <v>206</v>
      </c>
      <c r="T2449">
        <v>60</v>
      </c>
      <c r="V2449">
        <v>101.2</v>
      </c>
      <c r="W2449">
        <v>81.3</v>
      </c>
      <c r="X2449">
        <v>25.5</v>
      </c>
      <c r="Y2449">
        <v>30.6</v>
      </c>
      <c r="Z2449">
        <v>66834405</v>
      </c>
      <c r="AA2449">
        <v>55.378050999999999</v>
      </c>
      <c r="AB2449">
        <v>-3.4359730000000002</v>
      </c>
    </row>
    <row r="2450" spans="1:28" hidden="1">
      <c r="A2450">
        <v>2405</v>
      </c>
      <c r="B2450">
        <v>1100</v>
      </c>
      <c r="C2450" t="s">
        <v>26</v>
      </c>
      <c r="D2450" t="s">
        <v>4556</v>
      </c>
      <c r="G2450" t="s">
        <v>203</v>
      </c>
      <c r="H2450" t="s">
        <v>204</v>
      </c>
      <c r="I2450" t="s">
        <v>200</v>
      </c>
      <c r="J2450" t="s">
        <v>26</v>
      </c>
      <c r="K2450" t="s">
        <v>203</v>
      </c>
      <c r="M2450" t="b">
        <v>1</v>
      </c>
      <c r="N2450" t="s">
        <v>212</v>
      </c>
      <c r="O2450" t="s">
        <v>33</v>
      </c>
      <c r="Q2450">
        <v>119.62</v>
      </c>
      <c r="R2450">
        <v>1.7</v>
      </c>
      <c r="S2450" t="s">
        <v>206</v>
      </c>
      <c r="T2450">
        <v>60</v>
      </c>
      <c r="V2450">
        <v>101.2</v>
      </c>
      <c r="W2450">
        <v>81.3</v>
      </c>
      <c r="X2450">
        <v>25.5</v>
      </c>
      <c r="Y2450">
        <v>30.6</v>
      </c>
      <c r="Z2450">
        <v>66834405</v>
      </c>
      <c r="AA2450">
        <v>55.378050999999999</v>
      </c>
      <c r="AB2450">
        <v>-3.4359730000000002</v>
      </c>
    </row>
    <row r="2451" spans="1:28" hidden="1">
      <c r="A2451">
        <v>2405</v>
      </c>
      <c r="B2451">
        <v>1100</v>
      </c>
      <c r="C2451" t="s">
        <v>250</v>
      </c>
      <c r="D2451" t="s">
        <v>4557</v>
      </c>
      <c r="E2451">
        <v>34</v>
      </c>
      <c r="G2451" t="s">
        <v>203</v>
      </c>
      <c r="H2451" t="s">
        <v>204</v>
      </c>
      <c r="I2451" t="s">
        <v>426</v>
      </c>
      <c r="J2451" t="s">
        <v>250</v>
      </c>
      <c r="K2451" t="s">
        <v>263</v>
      </c>
      <c r="M2451" t="b">
        <v>0</v>
      </c>
      <c r="N2451" t="s">
        <v>853</v>
      </c>
      <c r="O2451" t="s">
        <v>33</v>
      </c>
      <c r="Q2451">
        <v>119.62</v>
      </c>
      <c r="R2451">
        <v>1.7</v>
      </c>
      <c r="S2451" t="s">
        <v>206</v>
      </c>
      <c r="T2451">
        <v>60</v>
      </c>
      <c r="V2451">
        <v>101.2</v>
      </c>
      <c r="W2451">
        <v>81.3</v>
      </c>
      <c r="X2451">
        <v>25.5</v>
      </c>
      <c r="Y2451">
        <v>30.6</v>
      </c>
      <c r="Z2451">
        <v>66834405</v>
      </c>
      <c r="AA2451">
        <v>55.378050999999999</v>
      </c>
      <c r="AB2451">
        <v>-3.4359730000000002</v>
      </c>
    </row>
    <row r="2452" spans="1:28" hidden="1">
      <c r="A2452">
        <v>2405</v>
      </c>
      <c r="B2452">
        <v>1100</v>
      </c>
      <c r="C2452" t="s">
        <v>308</v>
      </c>
      <c r="D2452" t="s">
        <v>4558</v>
      </c>
      <c r="E2452">
        <v>63</v>
      </c>
      <c r="G2452" t="s">
        <v>339</v>
      </c>
      <c r="H2452" t="s">
        <v>339</v>
      </c>
      <c r="I2452" t="s">
        <v>4559</v>
      </c>
      <c r="J2452" t="s">
        <v>308</v>
      </c>
      <c r="K2452" t="s">
        <v>467</v>
      </c>
      <c r="M2452" t="b">
        <v>0</v>
      </c>
      <c r="N2452" t="s">
        <v>32</v>
      </c>
      <c r="O2452" t="s">
        <v>33</v>
      </c>
      <c r="S2452" t="s">
        <v>343</v>
      </c>
      <c r="Z2452">
        <v>38964</v>
      </c>
      <c r="AA2452">
        <v>43.738417599999998</v>
      </c>
      <c r="AB2452">
        <v>7.4246157999999998</v>
      </c>
    </row>
    <row r="2453" spans="1:28" hidden="1">
      <c r="A2453">
        <v>2405</v>
      </c>
      <c r="B2453">
        <v>1100</v>
      </c>
      <c r="C2453" t="s">
        <v>101</v>
      </c>
      <c r="D2453" t="s">
        <v>4560</v>
      </c>
      <c r="E2453">
        <v>57</v>
      </c>
      <c r="G2453" t="s">
        <v>103</v>
      </c>
      <c r="H2453" t="s">
        <v>3199</v>
      </c>
      <c r="I2453" t="s">
        <v>346</v>
      </c>
      <c r="J2453" t="s">
        <v>101</v>
      </c>
      <c r="K2453" t="s">
        <v>103</v>
      </c>
      <c r="M2453" t="b">
        <v>1</v>
      </c>
      <c r="N2453" t="s">
        <v>42</v>
      </c>
      <c r="O2453" t="s">
        <v>33</v>
      </c>
      <c r="Q2453">
        <v>125.08</v>
      </c>
      <c r="R2453">
        <v>2.9</v>
      </c>
      <c r="S2453" t="s">
        <v>106</v>
      </c>
      <c r="T2453">
        <v>50.6</v>
      </c>
      <c r="V2453">
        <v>100.2</v>
      </c>
      <c r="W2453">
        <v>77</v>
      </c>
      <c r="X2453">
        <v>9.4</v>
      </c>
      <c r="Y2453">
        <v>59.2</v>
      </c>
      <c r="Z2453">
        <v>1397715000</v>
      </c>
      <c r="AA2453">
        <v>35.861660000000001</v>
      </c>
      <c r="AB2453">
        <v>104.195397</v>
      </c>
    </row>
    <row r="2454" spans="1:28" hidden="1">
      <c r="A2454">
        <v>2405</v>
      </c>
      <c r="B2454">
        <v>1100</v>
      </c>
      <c r="C2454" t="s">
        <v>54</v>
      </c>
      <c r="D2454" t="s">
        <v>4561</v>
      </c>
      <c r="G2454" t="s">
        <v>148</v>
      </c>
      <c r="H2454" t="s">
        <v>683</v>
      </c>
      <c r="I2454" t="s">
        <v>1115</v>
      </c>
      <c r="J2454" t="s">
        <v>54</v>
      </c>
      <c r="K2454" t="s">
        <v>148</v>
      </c>
      <c r="M2454" t="b">
        <v>0</v>
      </c>
      <c r="N2454" t="s">
        <v>419</v>
      </c>
      <c r="O2454" t="s">
        <v>33</v>
      </c>
      <c r="Q2454">
        <v>112.85</v>
      </c>
      <c r="R2454">
        <v>1.4</v>
      </c>
      <c r="S2454" t="s">
        <v>151</v>
      </c>
      <c r="T2454">
        <v>70.2</v>
      </c>
      <c r="V2454">
        <v>104</v>
      </c>
      <c r="W2454">
        <v>80.900000000000006</v>
      </c>
      <c r="X2454">
        <v>11.5</v>
      </c>
      <c r="Y2454">
        <v>48.8</v>
      </c>
      <c r="Z2454">
        <v>83132799</v>
      </c>
      <c r="AA2454">
        <v>51.165691000000002</v>
      </c>
      <c r="AB2454">
        <v>10.451525999999999</v>
      </c>
    </row>
    <row r="2455" spans="1:28" hidden="1">
      <c r="A2455">
        <v>2405</v>
      </c>
      <c r="B2455">
        <v>1100</v>
      </c>
      <c r="C2455" t="s">
        <v>54</v>
      </c>
      <c r="D2455" t="s">
        <v>4562</v>
      </c>
      <c r="G2455" t="s">
        <v>148</v>
      </c>
      <c r="H2455" t="s">
        <v>683</v>
      </c>
      <c r="I2455" t="s">
        <v>1115</v>
      </c>
      <c r="J2455" t="s">
        <v>54</v>
      </c>
      <c r="K2455" t="s">
        <v>148</v>
      </c>
      <c r="M2455" t="b">
        <v>0</v>
      </c>
      <c r="N2455" t="s">
        <v>419</v>
      </c>
      <c r="O2455" t="s">
        <v>88</v>
      </c>
      <c r="Q2455">
        <v>112.85</v>
      </c>
      <c r="R2455">
        <v>1.4</v>
      </c>
      <c r="S2455" t="s">
        <v>151</v>
      </c>
      <c r="T2455">
        <v>70.2</v>
      </c>
      <c r="V2455">
        <v>104</v>
      </c>
      <c r="W2455">
        <v>80.900000000000006</v>
      </c>
      <c r="X2455">
        <v>11.5</v>
      </c>
      <c r="Y2455">
        <v>48.8</v>
      </c>
      <c r="Z2455">
        <v>83132799</v>
      </c>
      <c r="AA2455">
        <v>51.165691000000002</v>
      </c>
      <c r="AB2455">
        <v>10.451525999999999</v>
      </c>
    </row>
    <row r="2456" spans="1:28">
      <c r="A2456">
        <v>2405</v>
      </c>
      <c r="B2456">
        <v>1100</v>
      </c>
      <c r="C2456" t="s">
        <v>45</v>
      </c>
      <c r="D2456" t="s">
        <v>4563</v>
      </c>
      <c r="E2456">
        <v>78</v>
      </c>
      <c r="F2456" t="str">
        <f>IF(E2456&gt;=90,"90-100",IF(E2456&gt;=80,"80-90",IF(E2456&gt;=70,"70-80",IF(E2456&gt;=60,"60-70",IF(E2456&gt;=50,"50-60",IF(E2456&gt;=40,"40-50",IF(E2456&gt;=30,"30-40","20-30")))))))</f>
        <v>70-80</v>
      </c>
      <c r="G2456" t="s">
        <v>38</v>
      </c>
      <c r="H2456" t="s">
        <v>269</v>
      </c>
      <c r="I2456" t="s">
        <v>572</v>
      </c>
      <c r="J2456" t="s">
        <v>45</v>
      </c>
      <c r="K2456" t="s">
        <v>38</v>
      </c>
      <c r="L2456" t="s">
        <v>4328</v>
      </c>
      <c r="M2456" t="b">
        <v>1</v>
      </c>
      <c r="N2456" t="s">
        <v>42</v>
      </c>
      <c r="O2456" t="s">
        <v>4867</v>
      </c>
      <c r="P2456" t="s">
        <v>242</v>
      </c>
      <c r="Q2456">
        <v>117.24</v>
      </c>
      <c r="R2456">
        <v>7.5</v>
      </c>
      <c r="S2456" t="s">
        <v>44</v>
      </c>
      <c r="T2456">
        <v>88.2</v>
      </c>
      <c r="U2456" t="str">
        <f>IF(T2456&gt;=100,"above 100",IF(T2456&gt;=80,"80-100",IF(T2456&gt;=60,"60-80",IF(T2456&gt;=40,"40-60",IF(T2456&gt;=20,"20-60","0-20")))))</f>
        <v>80-100</v>
      </c>
      <c r="V2456">
        <v>101.8</v>
      </c>
      <c r="W2456">
        <v>78.5</v>
      </c>
      <c r="X2456">
        <v>9.6</v>
      </c>
      <c r="Y2456">
        <v>36.6</v>
      </c>
      <c r="Z2456">
        <v>328239523</v>
      </c>
      <c r="AA2456">
        <v>37.090240000000001</v>
      </c>
      <c r="AB2456">
        <v>-95.712890999999999</v>
      </c>
    </row>
    <row r="2457" spans="1:28" hidden="1">
      <c r="A2457">
        <v>2405</v>
      </c>
      <c r="B2457">
        <v>1100</v>
      </c>
      <c r="C2457" t="s">
        <v>45</v>
      </c>
      <c r="D2457" t="s">
        <v>4564</v>
      </c>
      <c r="E2457">
        <v>52</v>
      </c>
      <c r="G2457" t="s">
        <v>103</v>
      </c>
      <c r="H2457" t="s">
        <v>176</v>
      </c>
      <c r="I2457" t="s">
        <v>572</v>
      </c>
      <c r="J2457" t="s">
        <v>45</v>
      </c>
      <c r="K2457" t="s">
        <v>103</v>
      </c>
      <c r="M2457" t="b">
        <v>1</v>
      </c>
      <c r="N2457" t="s">
        <v>853</v>
      </c>
      <c r="O2457" t="s">
        <v>33</v>
      </c>
      <c r="Q2457">
        <v>125.08</v>
      </c>
      <c r="R2457">
        <v>2.9</v>
      </c>
      <c r="S2457" t="s">
        <v>106</v>
      </c>
      <c r="T2457">
        <v>50.6</v>
      </c>
      <c r="V2457">
        <v>100.2</v>
      </c>
      <c r="W2457">
        <v>77</v>
      </c>
      <c r="X2457">
        <v>9.4</v>
      </c>
      <c r="Y2457">
        <v>59.2</v>
      </c>
      <c r="Z2457">
        <v>1397715000</v>
      </c>
      <c r="AA2457">
        <v>35.861660000000001</v>
      </c>
      <c r="AB2457">
        <v>104.195397</v>
      </c>
    </row>
    <row r="2458" spans="1:28" hidden="1">
      <c r="A2458">
        <v>2405</v>
      </c>
      <c r="B2458">
        <v>1100</v>
      </c>
      <c r="C2458" t="s">
        <v>45</v>
      </c>
      <c r="D2458" t="s">
        <v>4565</v>
      </c>
      <c r="E2458">
        <v>61</v>
      </c>
      <c r="G2458" t="s">
        <v>103</v>
      </c>
      <c r="H2458" t="s">
        <v>176</v>
      </c>
      <c r="I2458" t="s">
        <v>4566</v>
      </c>
      <c r="J2458" t="s">
        <v>45</v>
      </c>
      <c r="K2458" t="s">
        <v>103</v>
      </c>
      <c r="M2458" t="b">
        <v>1</v>
      </c>
      <c r="N2458" t="s">
        <v>42</v>
      </c>
      <c r="O2458" t="s">
        <v>88</v>
      </c>
      <c r="Q2458">
        <v>125.08</v>
      </c>
      <c r="R2458">
        <v>2.9</v>
      </c>
      <c r="S2458" t="s">
        <v>106</v>
      </c>
      <c r="T2458">
        <v>50.6</v>
      </c>
      <c r="V2458">
        <v>100.2</v>
      </c>
      <c r="W2458">
        <v>77</v>
      </c>
      <c r="X2458">
        <v>9.4</v>
      </c>
      <c r="Y2458">
        <v>59.2</v>
      </c>
      <c r="Z2458">
        <v>1397715000</v>
      </c>
      <c r="AA2458">
        <v>35.861660000000001</v>
      </c>
      <c r="AB2458">
        <v>104.195397</v>
      </c>
    </row>
    <row r="2459" spans="1:28" hidden="1">
      <c r="A2459">
        <v>2405</v>
      </c>
      <c r="B2459">
        <v>1100</v>
      </c>
      <c r="C2459" t="s">
        <v>36</v>
      </c>
      <c r="D2459" t="s">
        <v>4567</v>
      </c>
      <c r="E2459">
        <v>76</v>
      </c>
      <c r="G2459" t="s">
        <v>198</v>
      </c>
      <c r="H2459" t="s">
        <v>199</v>
      </c>
      <c r="I2459" t="s">
        <v>2316</v>
      </c>
      <c r="J2459" t="s">
        <v>36</v>
      </c>
      <c r="K2459" t="s">
        <v>198</v>
      </c>
      <c r="M2459" t="b">
        <v>0</v>
      </c>
      <c r="N2459" t="s">
        <v>32</v>
      </c>
      <c r="O2459" t="s">
        <v>33</v>
      </c>
      <c r="Q2459">
        <v>105.48</v>
      </c>
      <c r="R2459">
        <v>0.5</v>
      </c>
      <c r="S2459" t="s">
        <v>201</v>
      </c>
      <c r="T2459">
        <v>63.2</v>
      </c>
      <c r="V2459">
        <v>98.8</v>
      </c>
      <c r="W2459">
        <v>84.2</v>
      </c>
      <c r="X2459">
        <v>11.9</v>
      </c>
      <c r="Y2459">
        <v>46.7</v>
      </c>
      <c r="Z2459">
        <v>126226568</v>
      </c>
      <c r="AA2459">
        <v>36.204824000000002</v>
      </c>
      <c r="AB2459">
        <v>138.25292400000001</v>
      </c>
    </row>
    <row r="2460" spans="1:28" hidden="1">
      <c r="A2460">
        <v>2405</v>
      </c>
      <c r="B2460">
        <v>1100</v>
      </c>
      <c r="C2460" t="s">
        <v>179</v>
      </c>
      <c r="D2460" t="s">
        <v>4568</v>
      </c>
      <c r="E2460">
        <v>74</v>
      </c>
      <c r="G2460" t="s">
        <v>198</v>
      </c>
      <c r="H2460" t="s">
        <v>199</v>
      </c>
      <c r="I2460" t="s">
        <v>4569</v>
      </c>
      <c r="J2460" t="s">
        <v>179</v>
      </c>
      <c r="K2460" t="s">
        <v>198</v>
      </c>
      <c r="M2460" t="b">
        <v>0</v>
      </c>
      <c r="N2460" t="s">
        <v>853</v>
      </c>
      <c r="O2460" t="s">
        <v>33</v>
      </c>
      <c r="Q2460">
        <v>105.48</v>
      </c>
      <c r="R2460">
        <v>0.5</v>
      </c>
      <c r="S2460" t="s">
        <v>201</v>
      </c>
      <c r="T2460">
        <v>63.2</v>
      </c>
      <c r="V2460">
        <v>98.8</v>
      </c>
      <c r="W2460">
        <v>84.2</v>
      </c>
      <c r="X2460">
        <v>11.9</v>
      </c>
      <c r="Y2460">
        <v>46.7</v>
      </c>
      <c r="Z2460">
        <v>126226568</v>
      </c>
      <c r="AA2460">
        <v>36.204824000000002</v>
      </c>
      <c r="AB2460">
        <v>138.25292400000001</v>
      </c>
    </row>
    <row r="2461" spans="1:28" hidden="1">
      <c r="A2461">
        <v>2405</v>
      </c>
      <c r="B2461">
        <v>1100</v>
      </c>
      <c r="C2461" t="s">
        <v>54</v>
      </c>
      <c r="D2461" t="s">
        <v>4570</v>
      </c>
      <c r="E2461">
        <v>71</v>
      </c>
      <c r="G2461" t="s">
        <v>429</v>
      </c>
      <c r="H2461" t="s">
        <v>430</v>
      </c>
      <c r="I2461" t="s">
        <v>903</v>
      </c>
      <c r="J2461" t="s">
        <v>54</v>
      </c>
      <c r="K2461" t="s">
        <v>429</v>
      </c>
      <c r="M2461" t="b">
        <v>1</v>
      </c>
      <c r="N2461" t="s">
        <v>42</v>
      </c>
      <c r="O2461" t="s">
        <v>33</v>
      </c>
      <c r="Q2461">
        <v>113.27</v>
      </c>
      <c r="R2461">
        <v>0.7</v>
      </c>
      <c r="S2461" t="s">
        <v>431</v>
      </c>
      <c r="T2461">
        <v>49.3</v>
      </c>
      <c r="V2461">
        <v>99.8</v>
      </c>
      <c r="W2461">
        <v>76.900000000000006</v>
      </c>
      <c r="X2461">
        <v>14.9</v>
      </c>
      <c r="Y2461">
        <v>29.5</v>
      </c>
      <c r="Z2461">
        <v>69625582</v>
      </c>
      <c r="AA2461">
        <v>15.870032</v>
      </c>
      <c r="AB2461">
        <v>100.992541</v>
      </c>
    </row>
    <row r="2462" spans="1:28" hidden="1">
      <c r="A2462">
        <v>2405</v>
      </c>
      <c r="B2462">
        <v>1100</v>
      </c>
      <c r="C2462" t="s">
        <v>54</v>
      </c>
      <c r="D2462" t="s">
        <v>4571</v>
      </c>
      <c r="E2462">
        <v>36</v>
      </c>
      <c r="G2462" t="s">
        <v>77</v>
      </c>
      <c r="H2462" t="s">
        <v>667</v>
      </c>
      <c r="I2462" t="s">
        <v>1466</v>
      </c>
      <c r="J2462" t="s">
        <v>54</v>
      </c>
      <c r="K2462" t="s">
        <v>77</v>
      </c>
      <c r="M2462" t="b">
        <v>1</v>
      </c>
      <c r="N2462" t="s">
        <v>192</v>
      </c>
      <c r="O2462" t="s">
        <v>33</v>
      </c>
      <c r="Q2462">
        <v>180.44</v>
      </c>
      <c r="R2462">
        <v>7.7</v>
      </c>
      <c r="S2462" t="s">
        <v>81</v>
      </c>
      <c r="T2462">
        <v>28.1</v>
      </c>
      <c r="V2462">
        <v>113</v>
      </c>
      <c r="W2462">
        <v>69.400000000000006</v>
      </c>
      <c r="X2462">
        <v>11.2</v>
      </c>
      <c r="Y2462">
        <v>49.7</v>
      </c>
      <c r="Z2462">
        <v>1366417754</v>
      </c>
      <c r="AA2462">
        <v>20.593684</v>
      </c>
      <c r="AB2462">
        <v>78.962879999999998</v>
      </c>
    </row>
    <row r="2463" spans="1:28" hidden="1">
      <c r="A2463">
        <v>2405</v>
      </c>
      <c r="B2463">
        <v>1100</v>
      </c>
      <c r="C2463" t="s">
        <v>54</v>
      </c>
      <c r="D2463" t="s">
        <v>4572</v>
      </c>
      <c r="E2463">
        <v>57</v>
      </c>
      <c r="G2463" t="s">
        <v>203</v>
      </c>
      <c r="H2463" t="s">
        <v>204</v>
      </c>
      <c r="I2463" t="s">
        <v>4573</v>
      </c>
      <c r="J2463" t="s">
        <v>54</v>
      </c>
      <c r="K2463" t="s">
        <v>397</v>
      </c>
      <c r="M2463" t="b">
        <v>0</v>
      </c>
      <c r="N2463" t="s">
        <v>419</v>
      </c>
      <c r="O2463" t="s">
        <v>33</v>
      </c>
      <c r="Q2463">
        <v>119.62</v>
      </c>
      <c r="R2463">
        <v>1.7</v>
      </c>
      <c r="S2463" t="s">
        <v>206</v>
      </c>
      <c r="T2463">
        <v>60</v>
      </c>
      <c r="V2463">
        <v>101.2</v>
      </c>
      <c r="W2463">
        <v>81.3</v>
      </c>
      <c r="X2463">
        <v>25.5</v>
      </c>
      <c r="Y2463">
        <v>30.6</v>
      </c>
      <c r="Z2463">
        <v>66834405</v>
      </c>
      <c r="AA2463">
        <v>55.378050999999999</v>
      </c>
      <c r="AB2463">
        <v>-3.4359730000000002</v>
      </c>
    </row>
    <row r="2464" spans="1:28" hidden="1">
      <c r="A2464">
        <v>2405</v>
      </c>
      <c r="B2464">
        <v>1100</v>
      </c>
      <c r="C2464" t="s">
        <v>54</v>
      </c>
      <c r="D2464" t="s">
        <v>4574</v>
      </c>
      <c r="E2464">
        <v>53</v>
      </c>
      <c r="G2464" t="s">
        <v>203</v>
      </c>
      <c r="H2464" t="s">
        <v>204</v>
      </c>
      <c r="I2464" t="s">
        <v>4573</v>
      </c>
      <c r="J2464" t="s">
        <v>54</v>
      </c>
      <c r="K2464" t="s">
        <v>397</v>
      </c>
      <c r="M2464" t="b">
        <v>0</v>
      </c>
      <c r="N2464" t="s">
        <v>419</v>
      </c>
      <c r="O2464" t="s">
        <v>33</v>
      </c>
      <c r="Q2464">
        <v>119.62</v>
      </c>
      <c r="R2464">
        <v>1.7</v>
      </c>
      <c r="S2464" t="s">
        <v>206</v>
      </c>
      <c r="T2464">
        <v>60</v>
      </c>
      <c r="V2464">
        <v>101.2</v>
      </c>
      <c r="W2464">
        <v>81.3</v>
      </c>
      <c r="X2464">
        <v>25.5</v>
      </c>
      <c r="Y2464">
        <v>30.6</v>
      </c>
      <c r="Z2464">
        <v>66834405</v>
      </c>
      <c r="AA2464">
        <v>55.378050999999999</v>
      </c>
      <c r="AB2464">
        <v>-3.4359730000000002</v>
      </c>
    </row>
    <row r="2465" spans="1:28" hidden="1">
      <c r="A2465">
        <v>2405</v>
      </c>
      <c r="B2465">
        <v>1100</v>
      </c>
      <c r="C2465" t="s">
        <v>54</v>
      </c>
      <c r="D2465" t="s">
        <v>4575</v>
      </c>
      <c r="E2465">
        <v>59</v>
      </c>
      <c r="G2465" t="s">
        <v>161</v>
      </c>
      <c r="H2465" t="s">
        <v>4576</v>
      </c>
      <c r="I2465" t="s">
        <v>4573</v>
      </c>
      <c r="J2465" t="s">
        <v>54</v>
      </c>
      <c r="K2465" t="s">
        <v>397</v>
      </c>
      <c r="M2465" t="b">
        <v>0</v>
      </c>
      <c r="N2465" t="s">
        <v>419</v>
      </c>
      <c r="O2465" t="s">
        <v>33</v>
      </c>
      <c r="Q2465">
        <v>117.11</v>
      </c>
      <c r="R2465">
        <v>1.4</v>
      </c>
      <c r="S2465" t="s">
        <v>165</v>
      </c>
      <c r="T2465">
        <v>79.7</v>
      </c>
      <c r="V2465">
        <v>103.9</v>
      </c>
      <c r="W2465">
        <v>81.599999999999994</v>
      </c>
      <c r="X2465">
        <v>24</v>
      </c>
      <c r="Y2465">
        <v>55.4</v>
      </c>
      <c r="Z2465">
        <v>11484055</v>
      </c>
      <c r="AA2465">
        <v>50.503886999999999</v>
      </c>
      <c r="AB2465">
        <v>4.4699359999999997</v>
      </c>
    </row>
    <row r="2466" spans="1:28" hidden="1">
      <c r="A2466">
        <v>2405</v>
      </c>
      <c r="B2466">
        <v>1100</v>
      </c>
      <c r="C2466" t="s">
        <v>308</v>
      </c>
      <c r="D2466" t="s">
        <v>4577</v>
      </c>
      <c r="E2466">
        <v>66</v>
      </c>
      <c r="G2466" t="s">
        <v>198</v>
      </c>
      <c r="H2466" t="s">
        <v>4008</v>
      </c>
      <c r="I2466" t="s">
        <v>4578</v>
      </c>
      <c r="J2466" t="s">
        <v>308</v>
      </c>
      <c r="K2466" t="s">
        <v>198</v>
      </c>
      <c r="M2466" t="b">
        <v>1</v>
      </c>
      <c r="N2466" t="s">
        <v>192</v>
      </c>
      <c r="O2466" t="s">
        <v>33</v>
      </c>
      <c r="Q2466">
        <v>105.48</v>
      </c>
      <c r="R2466">
        <v>0.5</v>
      </c>
      <c r="S2466" t="s">
        <v>201</v>
      </c>
      <c r="T2466">
        <v>63.2</v>
      </c>
      <c r="V2466">
        <v>98.8</v>
      </c>
      <c r="W2466">
        <v>84.2</v>
      </c>
      <c r="X2466">
        <v>11.9</v>
      </c>
      <c r="Y2466">
        <v>46.7</v>
      </c>
      <c r="Z2466">
        <v>126226568</v>
      </c>
      <c r="AA2466">
        <v>36.204824000000002</v>
      </c>
      <c r="AB2466">
        <v>138.25292400000001</v>
      </c>
    </row>
    <row r="2467" spans="1:28" hidden="1">
      <c r="A2467">
        <v>2405</v>
      </c>
      <c r="B2467">
        <v>1100</v>
      </c>
      <c r="C2467" t="s">
        <v>36</v>
      </c>
      <c r="D2467" t="s">
        <v>4579</v>
      </c>
      <c r="E2467">
        <v>51</v>
      </c>
      <c r="G2467" t="s">
        <v>77</v>
      </c>
      <c r="H2467" t="s">
        <v>248</v>
      </c>
      <c r="I2467" t="s">
        <v>506</v>
      </c>
      <c r="J2467" t="s">
        <v>36</v>
      </c>
      <c r="K2467" t="s">
        <v>38</v>
      </c>
      <c r="M2467" t="b">
        <v>0</v>
      </c>
      <c r="N2467" t="s">
        <v>42</v>
      </c>
      <c r="O2467" t="s">
        <v>33</v>
      </c>
      <c r="Q2467">
        <v>180.44</v>
      </c>
      <c r="R2467">
        <v>7.7</v>
      </c>
      <c r="S2467" t="s">
        <v>81</v>
      </c>
      <c r="T2467">
        <v>28.1</v>
      </c>
      <c r="V2467">
        <v>113</v>
      </c>
      <c r="W2467">
        <v>69.400000000000006</v>
      </c>
      <c r="X2467">
        <v>11.2</v>
      </c>
      <c r="Y2467">
        <v>49.7</v>
      </c>
      <c r="Z2467">
        <v>1366417754</v>
      </c>
      <c r="AA2467">
        <v>20.593684</v>
      </c>
      <c r="AB2467">
        <v>78.962879999999998</v>
      </c>
    </row>
    <row r="2468" spans="1:28" hidden="1">
      <c r="A2468">
        <v>2405</v>
      </c>
      <c r="B2468">
        <v>1100</v>
      </c>
      <c r="C2468" t="s">
        <v>250</v>
      </c>
      <c r="D2468" t="s">
        <v>4580</v>
      </c>
      <c r="E2468">
        <v>88</v>
      </c>
      <c r="G2468" t="s">
        <v>1267</v>
      </c>
      <c r="H2468" t="s">
        <v>1268</v>
      </c>
      <c r="I2468" t="s">
        <v>250</v>
      </c>
      <c r="J2468" t="s">
        <v>250</v>
      </c>
      <c r="K2468" t="s">
        <v>1267</v>
      </c>
      <c r="M2468" t="b">
        <v>1</v>
      </c>
      <c r="N2468" t="s">
        <v>853</v>
      </c>
      <c r="O2468" t="s">
        <v>33</v>
      </c>
      <c r="Q2468">
        <v>234.44</v>
      </c>
      <c r="R2468">
        <v>15.2</v>
      </c>
      <c r="S2468" t="s">
        <v>1270</v>
      </c>
      <c r="T2468">
        <v>23.9</v>
      </c>
      <c r="V2468">
        <v>93.2</v>
      </c>
      <c r="W2468">
        <v>77.400000000000006</v>
      </c>
      <c r="X2468">
        <v>17.899999999999999</v>
      </c>
      <c r="Y2468">
        <v>42.3</v>
      </c>
      <c r="Z2468">
        <v>83429615</v>
      </c>
      <c r="AA2468">
        <v>38.963745000000003</v>
      </c>
      <c r="AB2468">
        <v>35.243321999999999</v>
      </c>
    </row>
    <row r="2469" spans="1:28" hidden="1">
      <c r="A2469">
        <v>2405</v>
      </c>
      <c r="B2469">
        <v>1100</v>
      </c>
      <c r="C2469" t="s">
        <v>288</v>
      </c>
      <c r="D2469" t="s">
        <v>4581</v>
      </c>
      <c r="E2469">
        <v>60</v>
      </c>
      <c r="G2469" t="s">
        <v>103</v>
      </c>
      <c r="H2469" t="s">
        <v>489</v>
      </c>
      <c r="I2469" t="s">
        <v>2549</v>
      </c>
      <c r="J2469" t="s">
        <v>288</v>
      </c>
      <c r="K2469" t="s">
        <v>103</v>
      </c>
      <c r="M2469" t="b">
        <v>1</v>
      </c>
      <c r="N2469" t="s">
        <v>32</v>
      </c>
      <c r="O2469" t="s">
        <v>33</v>
      </c>
      <c r="Q2469">
        <v>125.08</v>
      </c>
      <c r="R2469">
        <v>2.9</v>
      </c>
      <c r="S2469" t="s">
        <v>106</v>
      </c>
      <c r="T2469">
        <v>50.6</v>
      </c>
      <c r="V2469">
        <v>100.2</v>
      </c>
      <c r="W2469">
        <v>77</v>
      </c>
      <c r="X2469">
        <v>9.4</v>
      </c>
      <c r="Y2469">
        <v>59.2</v>
      </c>
      <c r="Z2469">
        <v>1397715000</v>
      </c>
      <c r="AA2469">
        <v>35.861660000000001</v>
      </c>
      <c r="AB2469">
        <v>104.195397</v>
      </c>
    </row>
    <row r="2470" spans="1:28" hidden="1">
      <c r="A2470">
        <v>2405</v>
      </c>
      <c r="B2470">
        <v>1100</v>
      </c>
      <c r="C2470" t="s">
        <v>478</v>
      </c>
      <c r="D2470" t="s">
        <v>4582</v>
      </c>
      <c r="E2470">
        <v>58</v>
      </c>
      <c r="G2470" t="s">
        <v>156</v>
      </c>
      <c r="H2470" t="s">
        <v>413</v>
      </c>
      <c r="I2470" t="s">
        <v>4583</v>
      </c>
      <c r="J2470" t="s">
        <v>478</v>
      </c>
      <c r="K2470" t="s">
        <v>148</v>
      </c>
      <c r="M2470" t="b">
        <v>1</v>
      </c>
      <c r="N2470" t="s">
        <v>42</v>
      </c>
      <c r="O2470" t="s">
        <v>33</v>
      </c>
      <c r="P2470" t="s">
        <v>1540</v>
      </c>
      <c r="Q2470">
        <v>99.55</v>
      </c>
      <c r="R2470">
        <v>0.4</v>
      </c>
      <c r="S2470" t="s">
        <v>159</v>
      </c>
      <c r="T2470">
        <v>59.6</v>
      </c>
      <c r="V2470">
        <v>105.2</v>
      </c>
      <c r="W2470">
        <v>83.6</v>
      </c>
      <c r="X2470">
        <v>10.1</v>
      </c>
      <c r="Y2470">
        <v>28.8</v>
      </c>
      <c r="Z2470">
        <v>8574832</v>
      </c>
      <c r="AA2470">
        <v>46.818187999999999</v>
      </c>
      <c r="AB2470">
        <v>8.2275120000000008</v>
      </c>
    </row>
    <row r="2471" spans="1:28">
      <c r="A2471">
        <v>2405</v>
      </c>
      <c r="B2471">
        <v>1100</v>
      </c>
      <c r="C2471" t="s">
        <v>45</v>
      </c>
      <c r="D2471" t="s">
        <v>4584</v>
      </c>
      <c r="E2471">
        <v>64</v>
      </c>
      <c r="F2471" t="s">
        <v>4848</v>
      </c>
      <c r="G2471" t="s">
        <v>611</v>
      </c>
      <c r="H2471" t="s">
        <v>612</v>
      </c>
      <c r="I2471" t="s">
        <v>3333</v>
      </c>
      <c r="J2471" t="s">
        <v>45</v>
      </c>
      <c r="K2471" t="s">
        <v>611</v>
      </c>
      <c r="L2471" t="s">
        <v>4585</v>
      </c>
      <c r="M2471" t="b">
        <v>0</v>
      </c>
      <c r="N2471" t="s">
        <v>419</v>
      </c>
      <c r="O2471" t="s">
        <v>33</v>
      </c>
      <c r="Q2471">
        <v>115.16</v>
      </c>
      <c r="R2471">
        <v>0.4</v>
      </c>
      <c r="S2471" t="s">
        <v>615</v>
      </c>
      <c r="T2471">
        <v>94.3</v>
      </c>
      <c r="U2471" t="str">
        <f>IF(T2471&gt;=100,"above 100",IF(T2471&gt;=80,"80-100",IF(T2471&gt;=60,"60-80",IF(T2471&gt;=40,"40-60",IF(T2471&gt;=20,"20-60","0-20")))))</f>
        <v>80-100</v>
      </c>
      <c r="V2471">
        <v>98.1</v>
      </c>
      <c r="W2471">
        <v>82.6</v>
      </c>
      <c r="X2471">
        <v>15.6</v>
      </c>
      <c r="Y2471">
        <v>33.200000000000003</v>
      </c>
      <c r="Z2471">
        <v>51709098</v>
      </c>
      <c r="AA2471">
        <v>35.907756999999997</v>
      </c>
      <c r="AB2471">
        <v>127.76692199999999</v>
      </c>
    </row>
    <row r="2472" spans="1:28" hidden="1">
      <c r="A2472">
        <v>2405</v>
      </c>
      <c r="B2472">
        <v>1100</v>
      </c>
      <c r="C2472" t="s">
        <v>250</v>
      </c>
      <c r="D2472" t="s">
        <v>4586</v>
      </c>
      <c r="E2472">
        <v>62</v>
      </c>
      <c r="G2472" t="s">
        <v>263</v>
      </c>
      <c r="H2472" t="s">
        <v>274</v>
      </c>
      <c r="I2472" t="s">
        <v>383</v>
      </c>
      <c r="J2472" t="s">
        <v>250</v>
      </c>
      <c r="K2472" t="s">
        <v>263</v>
      </c>
      <c r="M2472" t="b">
        <v>1</v>
      </c>
      <c r="N2472" t="s">
        <v>42</v>
      </c>
      <c r="O2472" t="s">
        <v>33</v>
      </c>
      <c r="Q2472">
        <v>180.75</v>
      </c>
      <c r="R2472">
        <v>4.5</v>
      </c>
      <c r="S2472" t="s">
        <v>276</v>
      </c>
      <c r="T2472">
        <v>81.900000000000006</v>
      </c>
      <c r="V2472">
        <v>102.6</v>
      </c>
      <c r="W2472">
        <v>72.7</v>
      </c>
      <c r="X2472">
        <v>11.4</v>
      </c>
      <c r="Y2472">
        <v>46.2</v>
      </c>
      <c r="Z2472">
        <v>144373535</v>
      </c>
      <c r="AA2472">
        <v>61.524009999999997</v>
      </c>
      <c r="AB2472">
        <v>105.31875599999999</v>
      </c>
    </row>
    <row r="2473" spans="1:28" hidden="1">
      <c r="A2473">
        <v>2405</v>
      </c>
      <c r="B2473">
        <v>1100</v>
      </c>
      <c r="C2473" t="s">
        <v>217</v>
      </c>
      <c r="D2473" t="s">
        <v>4587</v>
      </c>
      <c r="E2473">
        <v>74</v>
      </c>
      <c r="G2473" t="s">
        <v>77</v>
      </c>
      <c r="H2473" t="s">
        <v>78</v>
      </c>
      <c r="I2473" t="s">
        <v>4294</v>
      </c>
      <c r="J2473" t="s">
        <v>217</v>
      </c>
      <c r="K2473" t="s">
        <v>77</v>
      </c>
      <c r="M2473" t="b">
        <v>1</v>
      </c>
      <c r="N2473" t="s">
        <v>42</v>
      </c>
      <c r="O2473" t="s">
        <v>33</v>
      </c>
      <c r="Q2473">
        <v>180.44</v>
      </c>
      <c r="R2473">
        <v>7.7</v>
      </c>
      <c r="S2473" t="s">
        <v>81</v>
      </c>
      <c r="T2473">
        <v>28.1</v>
      </c>
      <c r="V2473">
        <v>113</v>
      </c>
      <c r="W2473">
        <v>69.400000000000006</v>
      </c>
      <c r="X2473">
        <v>11.2</v>
      </c>
      <c r="Y2473">
        <v>49.7</v>
      </c>
      <c r="Z2473">
        <v>1366417754</v>
      </c>
      <c r="AA2473">
        <v>20.593684</v>
      </c>
      <c r="AB2473">
        <v>78.962879999999998</v>
      </c>
    </row>
    <row r="2474" spans="1:28" hidden="1">
      <c r="A2474">
        <v>2405</v>
      </c>
      <c r="B2474">
        <v>1100</v>
      </c>
      <c r="C2474" t="s">
        <v>288</v>
      </c>
      <c r="D2474" t="s">
        <v>4588</v>
      </c>
      <c r="E2474">
        <v>73</v>
      </c>
      <c r="G2474" t="s">
        <v>77</v>
      </c>
      <c r="H2474" t="s">
        <v>248</v>
      </c>
      <c r="I2474" t="s">
        <v>4589</v>
      </c>
      <c r="J2474" t="s">
        <v>288</v>
      </c>
      <c r="K2474" t="s">
        <v>77</v>
      </c>
      <c r="M2474" t="b">
        <v>0</v>
      </c>
      <c r="N2474" t="s">
        <v>42</v>
      </c>
      <c r="O2474" t="s">
        <v>33</v>
      </c>
      <c r="Q2474">
        <v>180.44</v>
      </c>
      <c r="R2474">
        <v>7.7</v>
      </c>
      <c r="S2474" t="s">
        <v>81</v>
      </c>
      <c r="T2474">
        <v>28.1</v>
      </c>
      <c r="V2474">
        <v>113</v>
      </c>
      <c r="W2474">
        <v>69.400000000000006</v>
      </c>
      <c r="X2474">
        <v>11.2</v>
      </c>
      <c r="Y2474">
        <v>49.7</v>
      </c>
      <c r="Z2474">
        <v>1366417754</v>
      </c>
      <c r="AA2474">
        <v>20.593684</v>
      </c>
      <c r="AB2474">
        <v>78.962879999999998</v>
      </c>
    </row>
    <row r="2475" spans="1:28" hidden="1">
      <c r="A2475">
        <v>2405</v>
      </c>
      <c r="B2475">
        <v>1100</v>
      </c>
      <c r="C2475" t="s">
        <v>179</v>
      </c>
      <c r="D2475" t="s">
        <v>4590</v>
      </c>
      <c r="E2475">
        <v>78</v>
      </c>
      <c r="G2475" t="s">
        <v>95</v>
      </c>
      <c r="H2475" t="s">
        <v>4591</v>
      </c>
      <c r="I2475" t="s">
        <v>182</v>
      </c>
      <c r="J2475" t="s">
        <v>179</v>
      </c>
      <c r="K2475" t="s">
        <v>95</v>
      </c>
      <c r="M2475" t="b">
        <v>1</v>
      </c>
      <c r="N2475" t="s">
        <v>42</v>
      </c>
      <c r="O2475" t="s">
        <v>33</v>
      </c>
      <c r="Q2475">
        <v>110.96</v>
      </c>
      <c r="R2475">
        <v>0.7</v>
      </c>
      <c r="S2475" t="s">
        <v>98</v>
      </c>
      <c r="T2475">
        <v>88.9</v>
      </c>
      <c r="V2475">
        <v>102.7</v>
      </c>
      <c r="W2475">
        <v>83.3</v>
      </c>
      <c r="X2475">
        <v>14.2</v>
      </c>
      <c r="Y2475">
        <v>47</v>
      </c>
      <c r="Z2475">
        <v>47076781</v>
      </c>
      <c r="AA2475">
        <v>40.463667000000001</v>
      </c>
      <c r="AB2475">
        <v>-3.7492200000000002</v>
      </c>
    </row>
    <row r="2476" spans="1:28">
      <c r="A2476">
        <v>2405</v>
      </c>
      <c r="B2476">
        <v>1100</v>
      </c>
      <c r="C2476" t="s">
        <v>469</v>
      </c>
      <c r="D2476" t="s">
        <v>4592</v>
      </c>
      <c r="E2476">
        <v>82</v>
      </c>
      <c r="F2476" t="s">
        <v>4849</v>
      </c>
      <c r="G2476" t="s">
        <v>611</v>
      </c>
      <c r="H2476" t="s">
        <v>612</v>
      </c>
      <c r="I2476" t="s">
        <v>4593</v>
      </c>
      <c r="J2476" t="s">
        <v>469</v>
      </c>
      <c r="K2476" t="s">
        <v>611</v>
      </c>
      <c r="L2476" t="s">
        <v>4594</v>
      </c>
      <c r="M2476" t="b">
        <v>1</v>
      </c>
      <c r="N2476" t="s">
        <v>42</v>
      </c>
      <c r="O2476" t="s">
        <v>33</v>
      </c>
      <c r="Q2476">
        <v>115.16</v>
      </c>
      <c r="R2476">
        <v>0.4</v>
      </c>
      <c r="S2476" t="s">
        <v>615</v>
      </c>
      <c r="T2476">
        <v>94.3</v>
      </c>
      <c r="U2476" t="str">
        <f>IF(T2476&gt;=100,"above 100",IF(T2476&gt;=80,"80-100",IF(T2476&gt;=60,"60-80",IF(T2476&gt;=40,"40-60",IF(T2476&gt;=20,"20-60","0-20")))))</f>
        <v>80-100</v>
      </c>
      <c r="V2476">
        <v>98.1</v>
      </c>
      <c r="W2476">
        <v>82.6</v>
      </c>
      <c r="X2476">
        <v>15.6</v>
      </c>
      <c r="Y2476">
        <v>33.200000000000003</v>
      </c>
      <c r="Z2476">
        <v>51709098</v>
      </c>
      <c r="AA2476">
        <v>35.907756999999997</v>
      </c>
      <c r="AB2476">
        <v>127.76692199999999</v>
      </c>
    </row>
    <row r="2477" spans="1:28" hidden="1">
      <c r="A2477">
        <v>2405</v>
      </c>
      <c r="B2477">
        <v>1100</v>
      </c>
      <c r="C2477" t="s">
        <v>54</v>
      </c>
      <c r="D2477" t="s">
        <v>4595</v>
      </c>
      <c r="E2477">
        <v>62</v>
      </c>
      <c r="G2477" t="s">
        <v>38</v>
      </c>
      <c r="H2477" t="s">
        <v>4399</v>
      </c>
      <c r="I2477" t="s">
        <v>3130</v>
      </c>
      <c r="J2477" t="s">
        <v>54</v>
      </c>
      <c r="K2477" t="s">
        <v>38</v>
      </c>
      <c r="M2477" t="b">
        <v>0</v>
      </c>
      <c r="N2477" t="s">
        <v>419</v>
      </c>
      <c r="O2477" t="s">
        <v>88</v>
      </c>
      <c r="Q2477">
        <v>117.24</v>
      </c>
      <c r="R2477">
        <v>7.5</v>
      </c>
      <c r="S2477" t="s">
        <v>44</v>
      </c>
      <c r="T2477">
        <v>88.2</v>
      </c>
      <c r="V2477">
        <v>101.8</v>
      </c>
      <c r="W2477">
        <v>78.5</v>
      </c>
      <c r="X2477">
        <v>9.6</v>
      </c>
      <c r="Y2477">
        <v>36.6</v>
      </c>
      <c r="Z2477">
        <v>328239523</v>
      </c>
      <c r="AA2477">
        <v>37.090240000000001</v>
      </c>
      <c r="AB2477">
        <v>-95.712890999999999</v>
      </c>
    </row>
    <row r="2478" spans="1:28" hidden="1">
      <c r="A2478">
        <v>2405</v>
      </c>
      <c r="B2478">
        <v>1100</v>
      </c>
      <c r="C2478" t="s">
        <v>54</v>
      </c>
      <c r="D2478" t="s">
        <v>4596</v>
      </c>
      <c r="E2478">
        <v>87</v>
      </c>
      <c r="G2478" t="s">
        <v>38</v>
      </c>
      <c r="H2478" t="s">
        <v>4399</v>
      </c>
      <c r="I2478" t="s">
        <v>383</v>
      </c>
      <c r="J2478" t="s">
        <v>54</v>
      </c>
      <c r="K2478" t="s">
        <v>38</v>
      </c>
      <c r="M2478" t="b">
        <v>0</v>
      </c>
      <c r="N2478" t="s">
        <v>419</v>
      </c>
      <c r="O2478" t="s">
        <v>88</v>
      </c>
      <c r="Q2478">
        <v>117.24</v>
      </c>
      <c r="R2478">
        <v>7.5</v>
      </c>
      <c r="S2478" t="s">
        <v>44</v>
      </c>
      <c r="T2478">
        <v>88.2</v>
      </c>
      <c r="V2478">
        <v>101.8</v>
      </c>
      <c r="W2478">
        <v>78.5</v>
      </c>
      <c r="X2478">
        <v>9.6</v>
      </c>
      <c r="Y2478">
        <v>36.6</v>
      </c>
      <c r="Z2478">
        <v>328239523</v>
      </c>
      <c r="AA2478">
        <v>37.090240000000001</v>
      </c>
      <c r="AB2478">
        <v>-95.712890999999999</v>
      </c>
    </row>
    <row r="2479" spans="1:28" hidden="1">
      <c r="A2479">
        <v>2405</v>
      </c>
      <c r="B2479">
        <v>1100</v>
      </c>
      <c r="C2479" t="s">
        <v>54</v>
      </c>
      <c r="D2479" t="s">
        <v>4597</v>
      </c>
      <c r="E2479">
        <v>61</v>
      </c>
      <c r="G2479" t="s">
        <v>38</v>
      </c>
      <c r="H2479" t="s">
        <v>4399</v>
      </c>
      <c r="I2479" t="s">
        <v>3130</v>
      </c>
      <c r="J2479" t="s">
        <v>54</v>
      </c>
      <c r="K2479" t="s">
        <v>38</v>
      </c>
      <c r="M2479" t="b">
        <v>0</v>
      </c>
      <c r="N2479" t="s">
        <v>419</v>
      </c>
      <c r="O2479" t="s">
        <v>33</v>
      </c>
      <c r="Q2479">
        <v>117.24</v>
      </c>
      <c r="R2479">
        <v>7.5</v>
      </c>
      <c r="S2479" t="s">
        <v>44</v>
      </c>
      <c r="T2479">
        <v>88.2</v>
      </c>
      <c r="V2479">
        <v>101.8</v>
      </c>
      <c r="W2479">
        <v>78.5</v>
      </c>
      <c r="X2479">
        <v>9.6</v>
      </c>
      <c r="Y2479">
        <v>36.6</v>
      </c>
      <c r="Z2479">
        <v>328239523</v>
      </c>
      <c r="AA2479">
        <v>37.090240000000001</v>
      </c>
      <c r="AB2479">
        <v>-95.712890999999999</v>
      </c>
    </row>
    <row r="2480" spans="1:28" hidden="1">
      <c r="A2480">
        <v>2405</v>
      </c>
      <c r="B2480">
        <v>1100</v>
      </c>
      <c r="C2480" t="s">
        <v>288</v>
      </c>
      <c r="D2480" t="s">
        <v>4598</v>
      </c>
      <c r="E2480">
        <v>47</v>
      </c>
      <c r="G2480" t="s">
        <v>103</v>
      </c>
      <c r="H2480" t="s">
        <v>1785</v>
      </c>
      <c r="I2480" t="s">
        <v>440</v>
      </c>
      <c r="J2480" t="s">
        <v>288</v>
      </c>
      <c r="K2480" t="s">
        <v>103</v>
      </c>
      <c r="M2480" t="b">
        <v>1</v>
      </c>
      <c r="N2480" t="s">
        <v>42</v>
      </c>
      <c r="O2480" t="s">
        <v>33</v>
      </c>
      <c r="Q2480">
        <v>125.08</v>
      </c>
      <c r="R2480">
        <v>2.9</v>
      </c>
      <c r="S2480" t="s">
        <v>106</v>
      </c>
      <c r="T2480">
        <v>50.6</v>
      </c>
      <c r="V2480">
        <v>100.2</v>
      </c>
      <c r="W2480">
        <v>77</v>
      </c>
      <c r="X2480">
        <v>9.4</v>
      </c>
      <c r="Y2480">
        <v>59.2</v>
      </c>
      <c r="Z2480">
        <v>1397715000</v>
      </c>
      <c r="AA2480">
        <v>35.861660000000001</v>
      </c>
      <c r="AB2480">
        <v>104.195397</v>
      </c>
    </row>
    <row r="2481" spans="1:28" hidden="1">
      <c r="A2481">
        <v>2405</v>
      </c>
      <c r="B2481">
        <v>1100</v>
      </c>
      <c r="C2481" t="s">
        <v>288</v>
      </c>
      <c r="D2481" t="s">
        <v>4599</v>
      </c>
      <c r="E2481">
        <v>49</v>
      </c>
      <c r="G2481" t="s">
        <v>103</v>
      </c>
      <c r="H2481" t="s">
        <v>1785</v>
      </c>
      <c r="I2481" t="s">
        <v>440</v>
      </c>
      <c r="J2481" t="s">
        <v>288</v>
      </c>
      <c r="K2481" t="s">
        <v>103</v>
      </c>
      <c r="M2481" t="b">
        <v>1</v>
      </c>
      <c r="N2481" t="s">
        <v>42</v>
      </c>
      <c r="O2481" t="s">
        <v>33</v>
      </c>
      <c r="Q2481">
        <v>125.08</v>
      </c>
      <c r="R2481">
        <v>2.9</v>
      </c>
      <c r="S2481" t="s">
        <v>106</v>
      </c>
      <c r="T2481">
        <v>50.6</v>
      </c>
      <c r="V2481">
        <v>100.2</v>
      </c>
      <c r="W2481">
        <v>77</v>
      </c>
      <c r="X2481">
        <v>9.4</v>
      </c>
      <c r="Y2481">
        <v>59.2</v>
      </c>
      <c r="Z2481">
        <v>1397715000</v>
      </c>
      <c r="AA2481">
        <v>35.861660000000001</v>
      </c>
      <c r="AB2481">
        <v>104.195397</v>
      </c>
    </row>
    <row r="2482" spans="1:28" hidden="1">
      <c r="A2482">
        <v>2405</v>
      </c>
      <c r="B2482">
        <v>1100</v>
      </c>
      <c r="C2482" t="s">
        <v>217</v>
      </c>
      <c r="D2482" t="s">
        <v>4600</v>
      </c>
      <c r="E2482">
        <v>68</v>
      </c>
      <c r="G2482" t="s">
        <v>38</v>
      </c>
      <c r="H2482" t="s">
        <v>4601</v>
      </c>
      <c r="I2482" t="s">
        <v>4602</v>
      </c>
      <c r="J2482" t="s">
        <v>217</v>
      </c>
      <c r="K2482" t="s">
        <v>38</v>
      </c>
      <c r="M2482" t="b">
        <v>0</v>
      </c>
      <c r="N2482" t="s">
        <v>42</v>
      </c>
      <c r="O2482" t="s">
        <v>33</v>
      </c>
      <c r="Q2482">
        <v>117.24</v>
      </c>
      <c r="R2482">
        <v>7.5</v>
      </c>
      <c r="S2482" t="s">
        <v>44</v>
      </c>
      <c r="T2482">
        <v>88.2</v>
      </c>
      <c r="V2482">
        <v>101.8</v>
      </c>
      <c r="W2482">
        <v>78.5</v>
      </c>
      <c r="X2482">
        <v>9.6</v>
      </c>
      <c r="Y2482">
        <v>36.6</v>
      </c>
      <c r="Z2482">
        <v>328239523</v>
      </c>
      <c r="AA2482">
        <v>37.090240000000001</v>
      </c>
      <c r="AB2482">
        <v>-95.712890999999999</v>
      </c>
    </row>
    <row r="2483" spans="1:28" hidden="1">
      <c r="A2483">
        <v>2405</v>
      </c>
      <c r="B2483">
        <v>1100</v>
      </c>
      <c r="C2483" t="s">
        <v>68</v>
      </c>
      <c r="D2483" t="s">
        <v>4603</v>
      </c>
      <c r="E2483">
        <v>52</v>
      </c>
      <c r="G2483" t="s">
        <v>103</v>
      </c>
      <c r="H2483" t="s">
        <v>1785</v>
      </c>
      <c r="I2483" t="s">
        <v>4604</v>
      </c>
      <c r="J2483" t="s">
        <v>68</v>
      </c>
      <c r="K2483" t="s">
        <v>103</v>
      </c>
      <c r="M2483" t="b">
        <v>1</v>
      </c>
      <c r="N2483" t="s">
        <v>42</v>
      </c>
      <c r="O2483" t="s">
        <v>33</v>
      </c>
      <c r="Q2483">
        <v>125.08</v>
      </c>
      <c r="R2483">
        <v>2.9</v>
      </c>
      <c r="S2483" t="s">
        <v>106</v>
      </c>
      <c r="T2483">
        <v>50.6</v>
      </c>
      <c r="V2483">
        <v>100.2</v>
      </c>
      <c r="W2483">
        <v>77</v>
      </c>
      <c r="X2483">
        <v>9.4</v>
      </c>
      <c r="Y2483">
        <v>59.2</v>
      </c>
      <c r="Z2483">
        <v>1397715000</v>
      </c>
      <c r="AA2483">
        <v>35.861660000000001</v>
      </c>
      <c r="AB2483">
        <v>104.195397</v>
      </c>
    </row>
    <row r="2484" spans="1:28" hidden="1">
      <c r="A2484">
        <v>2405</v>
      </c>
      <c r="B2484">
        <v>1100</v>
      </c>
      <c r="C2484" t="s">
        <v>26</v>
      </c>
      <c r="D2484" t="s">
        <v>4605</v>
      </c>
      <c r="E2484">
        <v>60</v>
      </c>
      <c r="G2484" t="s">
        <v>103</v>
      </c>
      <c r="H2484" t="s">
        <v>215</v>
      </c>
      <c r="I2484" t="s">
        <v>2158</v>
      </c>
      <c r="J2484" t="s">
        <v>26</v>
      </c>
      <c r="K2484" t="s">
        <v>103</v>
      </c>
      <c r="M2484" t="b">
        <v>1</v>
      </c>
      <c r="N2484" t="s">
        <v>192</v>
      </c>
      <c r="O2484" t="s">
        <v>33</v>
      </c>
      <c r="Q2484">
        <v>125.08</v>
      </c>
      <c r="R2484">
        <v>2.9</v>
      </c>
      <c r="S2484" t="s">
        <v>106</v>
      </c>
      <c r="T2484">
        <v>50.6</v>
      </c>
      <c r="V2484">
        <v>100.2</v>
      </c>
      <c r="W2484">
        <v>77</v>
      </c>
      <c r="X2484">
        <v>9.4</v>
      </c>
      <c r="Y2484">
        <v>59.2</v>
      </c>
      <c r="Z2484">
        <v>1397715000</v>
      </c>
      <c r="AA2484">
        <v>35.861660000000001</v>
      </c>
      <c r="AB2484">
        <v>104.195397</v>
      </c>
    </row>
    <row r="2485" spans="1:28" hidden="1">
      <c r="A2485">
        <v>2405</v>
      </c>
      <c r="B2485">
        <v>1100</v>
      </c>
      <c r="C2485" t="s">
        <v>45</v>
      </c>
      <c r="D2485" t="s">
        <v>4606</v>
      </c>
      <c r="E2485">
        <v>46</v>
      </c>
      <c r="G2485" t="s">
        <v>198</v>
      </c>
      <c r="H2485" t="s">
        <v>199</v>
      </c>
      <c r="I2485" t="s">
        <v>4607</v>
      </c>
      <c r="J2485" t="s">
        <v>45</v>
      </c>
      <c r="K2485" t="s">
        <v>198</v>
      </c>
      <c r="M2485" t="b">
        <v>1</v>
      </c>
      <c r="N2485" t="s">
        <v>419</v>
      </c>
      <c r="O2485" t="s">
        <v>33</v>
      </c>
      <c r="Q2485">
        <v>105.48</v>
      </c>
      <c r="R2485">
        <v>0.5</v>
      </c>
      <c r="S2485" t="s">
        <v>201</v>
      </c>
      <c r="T2485">
        <v>63.2</v>
      </c>
      <c r="V2485">
        <v>98.8</v>
      </c>
      <c r="W2485">
        <v>84.2</v>
      </c>
      <c r="X2485">
        <v>11.9</v>
      </c>
      <c r="Y2485">
        <v>46.7</v>
      </c>
      <c r="Z2485">
        <v>126226568</v>
      </c>
      <c r="AA2485">
        <v>36.204824000000002</v>
      </c>
      <c r="AB2485">
        <v>138.25292400000001</v>
      </c>
    </row>
    <row r="2486" spans="1:28" hidden="1">
      <c r="A2486">
        <v>2405</v>
      </c>
      <c r="B2486">
        <v>1100</v>
      </c>
      <c r="C2486" t="s">
        <v>36</v>
      </c>
      <c r="D2486" t="s">
        <v>4608</v>
      </c>
      <c r="E2486">
        <v>68</v>
      </c>
      <c r="G2486" t="s">
        <v>77</v>
      </c>
      <c r="H2486" t="s">
        <v>248</v>
      </c>
      <c r="I2486" t="s">
        <v>4609</v>
      </c>
      <c r="J2486" t="s">
        <v>36</v>
      </c>
      <c r="K2486" t="s">
        <v>77</v>
      </c>
      <c r="M2486" t="b">
        <v>0</v>
      </c>
      <c r="N2486" t="s">
        <v>212</v>
      </c>
      <c r="O2486" t="s">
        <v>33</v>
      </c>
      <c r="Q2486">
        <v>180.44</v>
      </c>
      <c r="R2486">
        <v>7.7</v>
      </c>
      <c r="S2486" t="s">
        <v>81</v>
      </c>
      <c r="T2486">
        <v>28.1</v>
      </c>
      <c r="V2486">
        <v>113</v>
      </c>
      <c r="W2486">
        <v>69.400000000000006</v>
      </c>
      <c r="X2486">
        <v>11.2</v>
      </c>
      <c r="Y2486">
        <v>49.7</v>
      </c>
      <c r="Z2486">
        <v>1366417754</v>
      </c>
      <c r="AA2486">
        <v>20.593684</v>
      </c>
      <c r="AB2486">
        <v>78.962879999999998</v>
      </c>
    </row>
    <row r="2487" spans="1:28" hidden="1">
      <c r="A2487">
        <v>2405</v>
      </c>
      <c r="B2487">
        <v>1100</v>
      </c>
      <c r="C2487" t="s">
        <v>36</v>
      </c>
      <c r="D2487" t="s">
        <v>4610</v>
      </c>
      <c r="E2487">
        <v>68</v>
      </c>
      <c r="G2487" t="s">
        <v>77</v>
      </c>
      <c r="H2487" t="s">
        <v>248</v>
      </c>
      <c r="I2487" t="s">
        <v>4609</v>
      </c>
      <c r="J2487" t="s">
        <v>36</v>
      </c>
      <c r="K2487" t="s">
        <v>77</v>
      </c>
      <c r="M2487" t="b">
        <v>0</v>
      </c>
      <c r="N2487" t="s">
        <v>212</v>
      </c>
      <c r="O2487" t="s">
        <v>88</v>
      </c>
      <c r="Q2487">
        <v>180.44</v>
      </c>
      <c r="R2487">
        <v>7.7</v>
      </c>
      <c r="S2487" t="s">
        <v>81</v>
      </c>
      <c r="T2487">
        <v>28.1</v>
      </c>
      <c r="V2487">
        <v>113</v>
      </c>
      <c r="W2487">
        <v>69.400000000000006</v>
      </c>
      <c r="X2487">
        <v>11.2</v>
      </c>
      <c r="Y2487">
        <v>49.7</v>
      </c>
      <c r="Z2487">
        <v>1366417754</v>
      </c>
      <c r="AA2487">
        <v>20.593684</v>
      </c>
      <c r="AB2487">
        <v>78.962879999999998</v>
      </c>
    </row>
    <row r="2488" spans="1:28" hidden="1">
      <c r="A2488">
        <v>2405</v>
      </c>
      <c r="B2488">
        <v>1100</v>
      </c>
      <c r="C2488" t="s">
        <v>36</v>
      </c>
      <c r="D2488" t="s">
        <v>4611</v>
      </c>
      <c r="E2488">
        <v>70</v>
      </c>
      <c r="G2488" t="s">
        <v>77</v>
      </c>
      <c r="H2488" t="s">
        <v>248</v>
      </c>
      <c r="I2488" t="s">
        <v>1186</v>
      </c>
      <c r="J2488" t="s">
        <v>36</v>
      </c>
      <c r="K2488" t="s">
        <v>77</v>
      </c>
      <c r="M2488" t="b">
        <v>0</v>
      </c>
      <c r="N2488" t="s">
        <v>212</v>
      </c>
      <c r="O2488" t="s">
        <v>33</v>
      </c>
      <c r="Q2488">
        <v>180.44</v>
      </c>
      <c r="R2488">
        <v>7.7</v>
      </c>
      <c r="S2488" t="s">
        <v>81</v>
      </c>
      <c r="T2488">
        <v>28.1</v>
      </c>
      <c r="V2488">
        <v>113</v>
      </c>
      <c r="W2488">
        <v>69.400000000000006</v>
      </c>
      <c r="X2488">
        <v>11.2</v>
      </c>
      <c r="Y2488">
        <v>49.7</v>
      </c>
      <c r="Z2488">
        <v>1366417754</v>
      </c>
      <c r="AA2488">
        <v>20.593684</v>
      </c>
      <c r="AB2488">
        <v>78.962879999999998</v>
      </c>
    </row>
    <row r="2489" spans="1:28" hidden="1">
      <c r="A2489">
        <v>2405</v>
      </c>
      <c r="B2489">
        <v>1100</v>
      </c>
      <c r="C2489" t="s">
        <v>250</v>
      </c>
      <c r="D2489" t="s">
        <v>4612</v>
      </c>
      <c r="E2489">
        <v>56</v>
      </c>
      <c r="G2489" t="s">
        <v>263</v>
      </c>
      <c r="H2489" t="s">
        <v>4613</v>
      </c>
      <c r="I2489" t="s">
        <v>254</v>
      </c>
      <c r="J2489" t="s">
        <v>250</v>
      </c>
      <c r="K2489" t="s">
        <v>263</v>
      </c>
      <c r="M2489" t="b">
        <v>1</v>
      </c>
      <c r="N2489" t="s">
        <v>192</v>
      </c>
      <c r="O2489" t="s">
        <v>33</v>
      </c>
      <c r="Q2489">
        <v>180.75</v>
      </c>
      <c r="R2489">
        <v>4.5</v>
      </c>
      <c r="S2489" t="s">
        <v>276</v>
      </c>
      <c r="T2489">
        <v>81.900000000000006</v>
      </c>
      <c r="V2489">
        <v>102.6</v>
      </c>
      <c r="W2489">
        <v>72.7</v>
      </c>
      <c r="X2489">
        <v>11.4</v>
      </c>
      <c r="Y2489">
        <v>46.2</v>
      </c>
      <c r="Z2489">
        <v>144373535</v>
      </c>
      <c r="AA2489">
        <v>61.524009999999997</v>
      </c>
      <c r="AB2489">
        <v>105.31875599999999</v>
      </c>
    </row>
    <row r="2490" spans="1:28" hidden="1">
      <c r="A2490">
        <v>2405</v>
      </c>
      <c r="B2490">
        <v>1100</v>
      </c>
      <c r="C2490" t="s">
        <v>36</v>
      </c>
      <c r="D2490" t="s">
        <v>4614</v>
      </c>
      <c r="E2490">
        <v>81</v>
      </c>
      <c r="G2490" t="s">
        <v>395</v>
      </c>
      <c r="H2490" t="s">
        <v>395</v>
      </c>
      <c r="I2490" t="s">
        <v>4615</v>
      </c>
      <c r="J2490" t="s">
        <v>36</v>
      </c>
      <c r="K2490" t="s">
        <v>252</v>
      </c>
      <c r="M2490" t="b">
        <v>0</v>
      </c>
      <c r="N2490" t="s">
        <v>853</v>
      </c>
      <c r="O2490" t="s">
        <v>33</v>
      </c>
      <c r="Q2490">
        <v>114.41</v>
      </c>
      <c r="R2490">
        <v>0.6</v>
      </c>
      <c r="S2490" t="s">
        <v>451</v>
      </c>
      <c r="T2490">
        <v>84.8</v>
      </c>
      <c r="V2490">
        <v>100.6</v>
      </c>
      <c r="W2490">
        <v>83.1</v>
      </c>
      <c r="X2490">
        <v>13.1</v>
      </c>
      <c r="Y2490">
        <v>21</v>
      </c>
      <c r="Z2490">
        <v>5703569</v>
      </c>
      <c r="AA2490">
        <v>1.3520829999999999</v>
      </c>
      <c r="AB2490">
        <v>103.819836</v>
      </c>
    </row>
    <row r="2491" spans="1:28" hidden="1">
      <c r="A2491">
        <v>2405</v>
      </c>
      <c r="B2491">
        <v>1100</v>
      </c>
      <c r="C2491" t="s">
        <v>26</v>
      </c>
      <c r="D2491" t="s">
        <v>4616</v>
      </c>
      <c r="E2491">
        <v>54</v>
      </c>
      <c r="G2491" t="s">
        <v>3144</v>
      </c>
      <c r="H2491" t="s">
        <v>3494</v>
      </c>
      <c r="I2491" t="s">
        <v>150</v>
      </c>
      <c r="J2491" t="s">
        <v>26</v>
      </c>
      <c r="K2491" t="s">
        <v>3144</v>
      </c>
      <c r="M2491" t="b">
        <v>1</v>
      </c>
      <c r="N2491" t="s">
        <v>32</v>
      </c>
      <c r="O2491" t="s">
        <v>33</v>
      </c>
      <c r="Q2491">
        <v>123.78</v>
      </c>
      <c r="R2491">
        <v>3.8</v>
      </c>
      <c r="S2491" t="s">
        <v>3147</v>
      </c>
      <c r="T2491">
        <v>49.4</v>
      </c>
      <c r="V2491">
        <v>85.2</v>
      </c>
      <c r="W2491">
        <v>75.400000000000006</v>
      </c>
      <c r="X2491">
        <v>14.6</v>
      </c>
      <c r="Y2491">
        <v>20</v>
      </c>
      <c r="Z2491">
        <v>19356544</v>
      </c>
      <c r="AA2491">
        <v>45.943161000000003</v>
      </c>
      <c r="AB2491">
        <v>24.966760000000001</v>
      </c>
    </row>
    <row r="2492" spans="1:28" hidden="1">
      <c r="A2492">
        <v>2405</v>
      </c>
      <c r="B2492">
        <v>1100</v>
      </c>
      <c r="C2492" t="s">
        <v>75</v>
      </c>
      <c r="D2492" t="s">
        <v>4617</v>
      </c>
      <c r="E2492">
        <v>69</v>
      </c>
      <c r="G2492" t="s">
        <v>164</v>
      </c>
      <c r="H2492" t="s">
        <v>2267</v>
      </c>
      <c r="I2492" t="s">
        <v>4618</v>
      </c>
      <c r="J2492" t="s">
        <v>75</v>
      </c>
      <c r="K2492" t="s">
        <v>164</v>
      </c>
      <c r="M2492" t="b">
        <v>1</v>
      </c>
      <c r="N2492" t="s">
        <v>42</v>
      </c>
      <c r="O2492" t="s">
        <v>33</v>
      </c>
      <c r="Q2492">
        <v>110.62</v>
      </c>
      <c r="R2492">
        <v>0.6</v>
      </c>
      <c r="S2492" t="s">
        <v>539</v>
      </c>
      <c r="T2492">
        <v>61.9</v>
      </c>
      <c r="V2492">
        <v>101.9</v>
      </c>
      <c r="W2492">
        <v>82.9</v>
      </c>
      <c r="X2492">
        <v>24.3</v>
      </c>
      <c r="Y2492">
        <v>59.1</v>
      </c>
      <c r="Z2492">
        <v>60297396</v>
      </c>
      <c r="AA2492">
        <v>41.871940000000002</v>
      </c>
      <c r="AB2492">
        <v>12.56738</v>
      </c>
    </row>
    <row r="2493" spans="1:28">
      <c r="A2493">
        <v>2405</v>
      </c>
      <c r="B2493">
        <v>1100</v>
      </c>
      <c r="C2493" t="s">
        <v>26</v>
      </c>
      <c r="D2493" t="s">
        <v>4619</v>
      </c>
      <c r="E2493">
        <v>50</v>
      </c>
      <c r="F2493" t="str">
        <f>IF(E2493&gt;=90,"90-100",IF(E2493&gt;=80,"80-90",IF(E2493&gt;=70,"70-80",IF(E2493&gt;=60,"60-70",IF(E2493&gt;=50,"50-60",IF(E2493&gt;=40,"40-50",IF(E2493&gt;=30,"30-40","20-30")))))))</f>
        <v>50-60</v>
      </c>
      <c r="G2493" t="s">
        <v>38</v>
      </c>
      <c r="H2493" t="s">
        <v>4620</v>
      </c>
      <c r="I2493" t="s">
        <v>4621</v>
      </c>
      <c r="J2493" t="s">
        <v>26</v>
      </c>
      <c r="K2493" t="s">
        <v>38</v>
      </c>
      <c r="L2493" t="s">
        <v>4621</v>
      </c>
      <c r="M2493" t="b">
        <v>1</v>
      </c>
      <c r="N2493" t="s">
        <v>42</v>
      </c>
      <c r="O2493" t="s">
        <v>4867</v>
      </c>
      <c r="P2493" t="s">
        <v>34</v>
      </c>
      <c r="Q2493">
        <v>117.24</v>
      </c>
      <c r="R2493">
        <v>7.5</v>
      </c>
      <c r="S2493" t="s">
        <v>44</v>
      </c>
      <c r="T2493">
        <v>88.2</v>
      </c>
      <c r="U2493" t="str">
        <f>IF(T2493&gt;=100,"above 100",IF(T2493&gt;=80,"80-100",IF(T2493&gt;=60,"60-80",IF(T2493&gt;=40,"40-60",IF(T2493&gt;=20,"20-60","0-20")))))</f>
        <v>80-100</v>
      </c>
      <c r="V2493">
        <v>101.8</v>
      </c>
      <c r="W2493">
        <v>78.5</v>
      </c>
      <c r="X2493">
        <v>9.6</v>
      </c>
      <c r="Y2493">
        <v>36.6</v>
      </c>
      <c r="Z2493">
        <v>328239523</v>
      </c>
      <c r="AA2493">
        <v>37.090240000000001</v>
      </c>
      <c r="AB2493">
        <v>-95.712890999999999</v>
      </c>
    </row>
    <row r="2494" spans="1:28" hidden="1">
      <c r="A2494">
        <v>2405</v>
      </c>
      <c r="B2494">
        <v>1100</v>
      </c>
      <c r="C2494" t="s">
        <v>288</v>
      </c>
      <c r="D2494" t="s">
        <v>4622</v>
      </c>
      <c r="E2494">
        <v>62</v>
      </c>
      <c r="G2494" t="s">
        <v>77</v>
      </c>
      <c r="H2494" t="s">
        <v>1374</v>
      </c>
      <c r="I2494" t="s">
        <v>418</v>
      </c>
      <c r="J2494" t="s">
        <v>288</v>
      </c>
      <c r="K2494" t="s">
        <v>77</v>
      </c>
      <c r="M2494" t="b">
        <v>0</v>
      </c>
      <c r="N2494" t="s">
        <v>32</v>
      </c>
      <c r="O2494" t="s">
        <v>33</v>
      </c>
      <c r="Q2494">
        <v>180.44</v>
      </c>
      <c r="R2494">
        <v>7.7</v>
      </c>
      <c r="S2494" t="s">
        <v>81</v>
      </c>
      <c r="T2494">
        <v>28.1</v>
      </c>
      <c r="V2494">
        <v>113</v>
      </c>
      <c r="W2494">
        <v>69.400000000000006</v>
      </c>
      <c r="X2494">
        <v>11.2</v>
      </c>
      <c r="Y2494">
        <v>49.7</v>
      </c>
      <c r="Z2494">
        <v>1366417754</v>
      </c>
      <c r="AA2494">
        <v>20.593684</v>
      </c>
      <c r="AB2494">
        <v>78.962879999999998</v>
      </c>
    </row>
    <row r="2495" spans="1:28" hidden="1">
      <c r="A2495">
        <v>2405</v>
      </c>
      <c r="B2495">
        <v>1100</v>
      </c>
      <c r="C2495" t="s">
        <v>288</v>
      </c>
      <c r="D2495" t="s">
        <v>4623</v>
      </c>
      <c r="E2495">
        <v>60</v>
      </c>
      <c r="G2495" t="s">
        <v>103</v>
      </c>
      <c r="H2495" t="s">
        <v>143</v>
      </c>
      <c r="I2495" t="s">
        <v>971</v>
      </c>
      <c r="J2495" t="s">
        <v>288</v>
      </c>
      <c r="K2495" t="s">
        <v>103</v>
      </c>
      <c r="M2495" t="b">
        <v>1</v>
      </c>
      <c r="N2495" t="s">
        <v>419</v>
      </c>
      <c r="O2495" t="s">
        <v>33</v>
      </c>
      <c r="Q2495">
        <v>125.08</v>
      </c>
      <c r="R2495">
        <v>2.9</v>
      </c>
      <c r="S2495" t="s">
        <v>106</v>
      </c>
      <c r="T2495">
        <v>50.6</v>
      </c>
      <c r="V2495">
        <v>100.2</v>
      </c>
      <c r="W2495">
        <v>77</v>
      </c>
      <c r="X2495">
        <v>9.4</v>
      </c>
      <c r="Y2495">
        <v>59.2</v>
      </c>
      <c r="Z2495">
        <v>1397715000</v>
      </c>
      <c r="AA2495">
        <v>35.861660000000001</v>
      </c>
      <c r="AB2495">
        <v>104.195397</v>
      </c>
    </row>
    <row r="2496" spans="1:28" hidden="1">
      <c r="A2496">
        <v>2405</v>
      </c>
      <c r="B2496">
        <v>1100</v>
      </c>
      <c r="C2496" t="s">
        <v>288</v>
      </c>
      <c r="D2496" t="s">
        <v>4624</v>
      </c>
      <c r="E2496">
        <v>58</v>
      </c>
      <c r="G2496" t="s">
        <v>103</v>
      </c>
      <c r="H2496" t="s">
        <v>176</v>
      </c>
      <c r="I2496" t="s">
        <v>418</v>
      </c>
      <c r="J2496" t="s">
        <v>288</v>
      </c>
      <c r="K2496" t="s">
        <v>103</v>
      </c>
      <c r="M2496" t="b">
        <v>1</v>
      </c>
      <c r="N2496" t="s">
        <v>853</v>
      </c>
      <c r="O2496" t="s">
        <v>33</v>
      </c>
      <c r="Q2496">
        <v>125.08</v>
      </c>
      <c r="R2496">
        <v>2.9</v>
      </c>
      <c r="S2496" t="s">
        <v>106</v>
      </c>
      <c r="T2496">
        <v>50.6</v>
      </c>
      <c r="V2496">
        <v>100.2</v>
      </c>
      <c r="W2496">
        <v>77</v>
      </c>
      <c r="X2496">
        <v>9.4</v>
      </c>
      <c r="Y2496">
        <v>59.2</v>
      </c>
      <c r="Z2496">
        <v>1397715000</v>
      </c>
      <c r="AA2496">
        <v>35.861660000000001</v>
      </c>
      <c r="AB2496">
        <v>104.195397</v>
      </c>
    </row>
    <row r="2497" spans="1:28" hidden="1">
      <c r="A2497">
        <v>2405</v>
      </c>
      <c r="B2497">
        <v>1100</v>
      </c>
      <c r="C2497" t="s">
        <v>308</v>
      </c>
      <c r="D2497" t="s">
        <v>4625</v>
      </c>
      <c r="E2497">
        <v>76</v>
      </c>
      <c r="G2497" t="s">
        <v>95</v>
      </c>
      <c r="H2497" t="s">
        <v>1527</v>
      </c>
      <c r="I2497" t="s">
        <v>4626</v>
      </c>
      <c r="J2497" t="s">
        <v>308</v>
      </c>
      <c r="K2497" t="s">
        <v>95</v>
      </c>
      <c r="M2497" t="b">
        <v>0</v>
      </c>
      <c r="N2497" t="s">
        <v>42</v>
      </c>
      <c r="O2497" t="s">
        <v>88</v>
      </c>
      <c r="Q2497">
        <v>110.96</v>
      </c>
      <c r="R2497">
        <v>0.7</v>
      </c>
      <c r="S2497" t="s">
        <v>98</v>
      </c>
      <c r="T2497">
        <v>88.9</v>
      </c>
      <c r="V2497">
        <v>102.7</v>
      </c>
      <c r="W2497">
        <v>83.3</v>
      </c>
      <c r="X2497">
        <v>14.2</v>
      </c>
      <c r="Y2497">
        <v>47</v>
      </c>
      <c r="Z2497">
        <v>47076781</v>
      </c>
      <c r="AA2497">
        <v>40.463667000000001</v>
      </c>
      <c r="AB2497">
        <v>-3.7492200000000002</v>
      </c>
    </row>
    <row r="2498" spans="1:28" hidden="1">
      <c r="A2498">
        <v>2405</v>
      </c>
      <c r="B2498">
        <v>1100</v>
      </c>
      <c r="C2498" t="s">
        <v>54</v>
      </c>
      <c r="D2498" t="s">
        <v>4627</v>
      </c>
      <c r="E2498">
        <v>50</v>
      </c>
      <c r="G2498" t="s">
        <v>38</v>
      </c>
      <c r="H2498" t="s">
        <v>307</v>
      </c>
      <c r="I2498" t="s">
        <v>2712</v>
      </c>
      <c r="J2498" t="s">
        <v>54</v>
      </c>
      <c r="K2498" t="s">
        <v>38</v>
      </c>
      <c r="M2498" t="b">
        <v>1</v>
      </c>
      <c r="N2498" t="s">
        <v>42</v>
      </c>
      <c r="O2498" t="s">
        <v>33</v>
      </c>
      <c r="Q2498">
        <v>117.24</v>
      </c>
      <c r="R2498">
        <v>7.5</v>
      </c>
      <c r="S2498" t="s">
        <v>44</v>
      </c>
      <c r="T2498">
        <v>88.2</v>
      </c>
      <c r="V2498">
        <v>101.8</v>
      </c>
      <c r="W2498">
        <v>78.5</v>
      </c>
      <c r="X2498">
        <v>9.6</v>
      </c>
      <c r="Y2498">
        <v>36.6</v>
      </c>
      <c r="Z2498">
        <v>328239523</v>
      </c>
      <c r="AA2498">
        <v>37.090240000000001</v>
      </c>
      <c r="AB2498">
        <v>-95.712890999999999</v>
      </c>
    </row>
    <row r="2499" spans="1:28" hidden="1">
      <c r="A2499">
        <v>2405</v>
      </c>
      <c r="B2499">
        <v>1100</v>
      </c>
      <c r="C2499" t="s">
        <v>45</v>
      </c>
      <c r="D2499" t="s">
        <v>4628</v>
      </c>
      <c r="E2499">
        <v>42</v>
      </c>
      <c r="G2499" t="s">
        <v>38</v>
      </c>
      <c r="H2499" t="s">
        <v>652</v>
      </c>
      <c r="I2499" t="s">
        <v>3858</v>
      </c>
      <c r="J2499" t="s">
        <v>45</v>
      </c>
      <c r="K2499" t="s">
        <v>38</v>
      </c>
      <c r="M2499" t="b">
        <v>1</v>
      </c>
      <c r="N2499" t="s">
        <v>42</v>
      </c>
      <c r="O2499" t="s">
        <v>33</v>
      </c>
      <c r="Q2499">
        <v>117.24</v>
      </c>
      <c r="R2499">
        <v>7.5</v>
      </c>
      <c r="S2499" t="s">
        <v>44</v>
      </c>
      <c r="T2499">
        <v>88.2</v>
      </c>
      <c r="V2499">
        <v>101.8</v>
      </c>
      <c r="W2499">
        <v>78.5</v>
      </c>
      <c r="X2499">
        <v>9.6</v>
      </c>
      <c r="Y2499">
        <v>36.6</v>
      </c>
      <c r="Z2499">
        <v>328239523</v>
      </c>
      <c r="AA2499">
        <v>37.090240000000001</v>
      </c>
      <c r="AB2499">
        <v>-95.712890999999999</v>
      </c>
    </row>
    <row r="2500" spans="1:28" hidden="1">
      <c r="A2500">
        <v>2405</v>
      </c>
      <c r="B2500">
        <v>1100</v>
      </c>
      <c r="C2500" t="s">
        <v>54</v>
      </c>
      <c r="D2500" t="s">
        <v>4629</v>
      </c>
      <c r="E2500">
        <v>53</v>
      </c>
      <c r="G2500" t="s">
        <v>77</v>
      </c>
      <c r="H2500" t="s">
        <v>78</v>
      </c>
      <c r="I2500" t="s">
        <v>1152</v>
      </c>
      <c r="J2500" t="s">
        <v>54</v>
      </c>
      <c r="K2500" t="s">
        <v>77</v>
      </c>
      <c r="M2500" t="b">
        <v>0</v>
      </c>
      <c r="N2500" t="s">
        <v>192</v>
      </c>
      <c r="O2500" t="s">
        <v>33</v>
      </c>
      <c r="Q2500">
        <v>180.44</v>
      </c>
      <c r="R2500">
        <v>7.7</v>
      </c>
      <c r="S2500" t="s">
        <v>81</v>
      </c>
      <c r="T2500">
        <v>28.1</v>
      </c>
      <c r="V2500">
        <v>113</v>
      </c>
      <c r="W2500">
        <v>69.400000000000006</v>
      </c>
      <c r="X2500">
        <v>11.2</v>
      </c>
      <c r="Y2500">
        <v>49.7</v>
      </c>
      <c r="Z2500">
        <v>1366417754</v>
      </c>
      <c r="AA2500">
        <v>20.593684</v>
      </c>
      <c r="AB2500">
        <v>78.962879999999998</v>
      </c>
    </row>
    <row r="2501" spans="1:28" hidden="1">
      <c r="A2501">
        <v>2405</v>
      </c>
      <c r="B2501">
        <v>1100</v>
      </c>
      <c r="C2501" t="s">
        <v>250</v>
      </c>
      <c r="D2501" t="s">
        <v>4630</v>
      </c>
      <c r="E2501">
        <v>58</v>
      </c>
      <c r="G2501" t="s">
        <v>38</v>
      </c>
      <c r="H2501" t="s">
        <v>4631</v>
      </c>
      <c r="I2501" t="s">
        <v>4632</v>
      </c>
      <c r="J2501" t="s">
        <v>250</v>
      </c>
      <c r="K2501" t="s">
        <v>38</v>
      </c>
      <c r="M2501" t="b">
        <v>1</v>
      </c>
      <c r="N2501" t="s">
        <v>32</v>
      </c>
      <c r="O2501" t="s">
        <v>33</v>
      </c>
      <c r="Q2501">
        <v>117.24</v>
      </c>
      <c r="R2501">
        <v>7.5</v>
      </c>
      <c r="S2501" t="s">
        <v>44</v>
      </c>
      <c r="T2501">
        <v>88.2</v>
      </c>
      <c r="V2501">
        <v>101.8</v>
      </c>
      <c r="W2501">
        <v>78.5</v>
      </c>
      <c r="X2501">
        <v>9.6</v>
      </c>
      <c r="Y2501">
        <v>36.6</v>
      </c>
      <c r="Z2501">
        <v>328239523</v>
      </c>
      <c r="AA2501">
        <v>37.090240000000001</v>
      </c>
      <c r="AB2501">
        <v>-95.712890999999999</v>
      </c>
    </row>
    <row r="2502" spans="1:28" hidden="1">
      <c r="A2502">
        <v>2405</v>
      </c>
      <c r="B2502">
        <v>1100</v>
      </c>
      <c r="C2502" t="s">
        <v>54</v>
      </c>
      <c r="D2502" t="s">
        <v>4633</v>
      </c>
      <c r="E2502">
        <v>67</v>
      </c>
      <c r="G2502" t="s">
        <v>203</v>
      </c>
      <c r="H2502" t="s">
        <v>4634</v>
      </c>
      <c r="I2502" t="s">
        <v>4635</v>
      </c>
      <c r="J2502" t="s">
        <v>54</v>
      </c>
      <c r="K2502" t="s">
        <v>203</v>
      </c>
      <c r="M2502" t="b">
        <v>1</v>
      </c>
      <c r="N2502" t="s">
        <v>419</v>
      </c>
      <c r="O2502" t="s">
        <v>33</v>
      </c>
      <c r="Q2502">
        <v>119.62</v>
      </c>
      <c r="R2502">
        <v>1.7</v>
      </c>
      <c r="S2502" t="s">
        <v>206</v>
      </c>
      <c r="T2502">
        <v>60</v>
      </c>
      <c r="V2502">
        <v>101.2</v>
      </c>
      <c r="W2502">
        <v>81.3</v>
      </c>
      <c r="X2502">
        <v>25.5</v>
      </c>
      <c r="Y2502">
        <v>30.6</v>
      </c>
      <c r="Z2502">
        <v>66834405</v>
      </c>
      <c r="AA2502">
        <v>55.378050999999999</v>
      </c>
      <c r="AB2502">
        <v>-3.4359730000000002</v>
      </c>
    </row>
    <row r="2503" spans="1:28" hidden="1">
      <c r="A2503">
        <v>2405</v>
      </c>
      <c r="B2503">
        <v>1100</v>
      </c>
      <c r="C2503" t="s">
        <v>54</v>
      </c>
      <c r="D2503" t="s">
        <v>4636</v>
      </c>
      <c r="E2503">
        <v>79</v>
      </c>
      <c r="G2503" t="s">
        <v>38</v>
      </c>
      <c r="H2503" t="s">
        <v>65</v>
      </c>
      <c r="I2503" t="s">
        <v>231</v>
      </c>
      <c r="J2503" t="s">
        <v>54</v>
      </c>
      <c r="K2503" t="s">
        <v>38</v>
      </c>
      <c r="M2503" t="b">
        <v>1</v>
      </c>
      <c r="N2503" t="s">
        <v>32</v>
      </c>
      <c r="O2503" t="s">
        <v>33</v>
      </c>
      <c r="Q2503">
        <v>117.24</v>
      </c>
      <c r="R2503">
        <v>7.5</v>
      </c>
      <c r="S2503" t="s">
        <v>44</v>
      </c>
      <c r="T2503">
        <v>88.2</v>
      </c>
      <c r="V2503">
        <v>101.8</v>
      </c>
      <c r="W2503">
        <v>78.5</v>
      </c>
      <c r="X2503">
        <v>9.6</v>
      </c>
      <c r="Y2503">
        <v>36.6</v>
      </c>
      <c r="Z2503">
        <v>328239523</v>
      </c>
      <c r="AA2503">
        <v>37.090240000000001</v>
      </c>
      <c r="AB2503">
        <v>-95.712890999999999</v>
      </c>
    </row>
    <row r="2504" spans="1:28" hidden="1">
      <c r="A2504">
        <v>2405</v>
      </c>
      <c r="B2504">
        <v>1100</v>
      </c>
      <c r="C2504" t="s">
        <v>101</v>
      </c>
      <c r="D2504" t="s">
        <v>4637</v>
      </c>
      <c r="E2504">
        <v>41</v>
      </c>
      <c r="G2504" t="s">
        <v>38</v>
      </c>
      <c r="H2504" t="s">
        <v>170</v>
      </c>
      <c r="I2504" t="s">
        <v>1875</v>
      </c>
      <c r="J2504" t="s">
        <v>101</v>
      </c>
      <c r="K2504" t="s">
        <v>38</v>
      </c>
      <c r="M2504" t="b">
        <v>0</v>
      </c>
      <c r="N2504" t="s">
        <v>212</v>
      </c>
      <c r="O2504" t="s">
        <v>33</v>
      </c>
      <c r="Q2504">
        <v>117.24</v>
      </c>
      <c r="R2504">
        <v>7.5</v>
      </c>
      <c r="S2504" t="s">
        <v>44</v>
      </c>
      <c r="T2504">
        <v>88.2</v>
      </c>
      <c r="V2504">
        <v>101.8</v>
      </c>
      <c r="W2504">
        <v>78.5</v>
      </c>
      <c r="X2504">
        <v>9.6</v>
      </c>
      <c r="Y2504">
        <v>36.6</v>
      </c>
      <c r="Z2504">
        <v>328239523</v>
      </c>
      <c r="AA2504">
        <v>37.090240000000001</v>
      </c>
      <c r="AB2504">
        <v>-95.712890999999999</v>
      </c>
    </row>
    <row r="2505" spans="1:28" hidden="1">
      <c r="A2505">
        <v>2405</v>
      </c>
      <c r="B2505">
        <v>1100</v>
      </c>
      <c r="C2505" t="s">
        <v>217</v>
      </c>
      <c r="D2505" t="s">
        <v>4638</v>
      </c>
      <c r="E2505">
        <v>73</v>
      </c>
      <c r="G2505" t="s">
        <v>238</v>
      </c>
      <c r="H2505" t="s">
        <v>534</v>
      </c>
      <c r="I2505" t="s">
        <v>3671</v>
      </c>
      <c r="J2505" t="s">
        <v>217</v>
      </c>
      <c r="K2505" t="s">
        <v>238</v>
      </c>
      <c r="M2505" t="b">
        <v>1</v>
      </c>
      <c r="N2505" t="s">
        <v>42</v>
      </c>
      <c r="O2505" t="s">
        <v>33</v>
      </c>
      <c r="Q2505">
        <v>119.8</v>
      </c>
      <c r="R2505">
        <v>1.6</v>
      </c>
      <c r="S2505" t="s">
        <v>243</v>
      </c>
      <c r="T2505">
        <v>113.1</v>
      </c>
      <c r="V2505">
        <v>100.3</v>
      </c>
      <c r="W2505">
        <v>82.7</v>
      </c>
      <c r="X2505">
        <v>23</v>
      </c>
      <c r="Y2505">
        <v>47.4</v>
      </c>
      <c r="Z2505">
        <v>25766605</v>
      </c>
      <c r="AA2505">
        <v>-25.274398000000001</v>
      </c>
      <c r="AB2505">
        <v>133.775136</v>
      </c>
    </row>
    <row r="2506" spans="1:28" hidden="1">
      <c r="A2506">
        <v>2405</v>
      </c>
      <c r="B2506">
        <v>1100</v>
      </c>
      <c r="C2506" t="s">
        <v>45</v>
      </c>
      <c r="D2506" t="s">
        <v>4639</v>
      </c>
      <c r="E2506">
        <v>49</v>
      </c>
      <c r="G2506" t="s">
        <v>103</v>
      </c>
      <c r="H2506" t="s">
        <v>215</v>
      </c>
      <c r="I2506" t="s">
        <v>312</v>
      </c>
      <c r="J2506" t="s">
        <v>45</v>
      </c>
      <c r="K2506" t="s">
        <v>103</v>
      </c>
      <c r="M2506" t="b">
        <v>1</v>
      </c>
      <c r="N2506" t="s">
        <v>42</v>
      </c>
      <c r="O2506" t="s">
        <v>33</v>
      </c>
      <c r="Q2506">
        <v>125.08</v>
      </c>
      <c r="R2506">
        <v>2.9</v>
      </c>
      <c r="S2506" t="s">
        <v>106</v>
      </c>
      <c r="T2506">
        <v>50.6</v>
      </c>
      <c r="V2506">
        <v>100.2</v>
      </c>
      <c r="W2506">
        <v>77</v>
      </c>
      <c r="X2506">
        <v>9.4</v>
      </c>
      <c r="Y2506">
        <v>59.2</v>
      </c>
      <c r="Z2506">
        <v>1397715000</v>
      </c>
      <c r="AA2506">
        <v>35.861660000000001</v>
      </c>
      <c r="AB2506">
        <v>104.195397</v>
      </c>
    </row>
    <row r="2507" spans="1:28" hidden="1">
      <c r="A2507">
        <v>2405</v>
      </c>
      <c r="B2507">
        <v>1100</v>
      </c>
      <c r="C2507" t="s">
        <v>217</v>
      </c>
      <c r="D2507" t="s">
        <v>4640</v>
      </c>
      <c r="E2507">
        <v>59</v>
      </c>
      <c r="G2507" t="s">
        <v>103</v>
      </c>
      <c r="H2507" t="s">
        <v>3042</v>
      </c>
      <c r="I2507" t="s">
        <v>4641</v>
      </c>
      <c r="J2507" t="s">
        <v>217</v>
      </c>
      <c r="K2507" t="s">
        <v>103</v>
      </c>
      <c r="M2507" t="b">
        <v>1</v>
      </c>
      <c r="N2507" t="s">
        <v>42</v>
      </c>
      <c r="O2507" t="s">
        <v>33</v>
      </c>
      <c r="Q2507">
        <v>125.08</v>
      </c>
      <c r="R2507">
        <v>2.9</v>
      </c>
      <c r="S2507" t="s">
        <v>106</v>
      </c>
      <c r="T2507">
        <v>50.6</v>
      </c>
      <c r="V2507">
        <v>100.2</v>
      </c>
      <c r="W2507">
        <v>77</v>
      </c>
      <c r="X2507">
        <v>9.4</v>
      </c>
      <c r="Y2507">
        <v>59.2</v>
      </c>
      <c r="Z2507">
        <v>1397715000</v>
      </c>
      <c r="AA2507">
        <v>35.861660000000001</v>
      </c>
      <c r="AB2507">
        <v>104.195397</v>
      </c>
    </row>
    <row r="2508" spans="1:28" hidden="1">
      <c r="A2508">
        <v>2405</v>
      </c>
      <c r="B2508">
        <v>1100</v>
      </c>
      <c r="C2508" t="s">
        <v>45</v>
      </c>
      <c r="D2508" t="s">
        <v>4642</v>
      </c>
      <c r="E2508">
        <v>61</v>
      </c>
      <c r="G2508" t="s">
        <v>38</v>
      </c>
      <c r="H2508" t="s">
        <v>181</v>
      </c>
      <c r="I2508" t="s">
        <v>312</v>
      </c>
      <c r="J2508" t="s">
        <v>45</v>
      </c>
      <c r="K2508" t="s">
        <v>38</v>
      </c>
      <c r="M2508" t="b">
        <v>1</v>
      </c>
      <c r="N2508" t="s">
        <v>42</v>
      </c>
      <c r="O2508" t="s">
        <v>33</v>
      </c>
      <c r="Q2508">
        <v>117.24</v>
      </c>
      <c r="R2508">
        <v>7.5</v>
      </c>
      <c r="S2508" t="s">
        <v>44</v>
      </c>
      <c r="T2508">
        <v>88.2</v>
      </c>
      <c r="V2508">
        <v>101.8</v>
      </c>
      <c r="W2508">
        <v>78.5</v>
      </c>
      <c r="X2508">
        <v>9.6</v>
      </c>
      <c r="Y2508">
        <v>36.6</v>
      </c>
      <c r="Z2508">
        <v>328239523</v>
      </c>
      <c r="AA2508">
        <v>37.090240000000001</v>
      </c>
      <c r="AB2508">
        <v>-95.712890999999999</v>
      </c>
    </row>
    <row r="2509" spans="1:28" hidden="1">
      <c r="A2509">
        <v>2405</v>
      </c>
      <c r="B2509">
        <v>1100</v>
      </c>
      <c r="C2509" t="s">
        <v>63</v>
      </c>
      <c r="D2509" t="s">
        <v>4643</v>
      </c>
      <c r="E2509">
        <v>45</v>
      </c>
      <c r="G2509" t="s">
        <v>395</v>
      </c>
      <c r="H2509" t="s">
        <v>395</v>
      </c>
      <c r="I2509" t="s">
        <v>4644</v>
      </c>
      <c r="J2509" t="s">
        <v>63</v>
      </c>
      <c r="K2509" t="s">
        <v>395</v>
      </c>
      <c r="M2509" t="b">
        <v>1</v>
      </c>
      <c r="N2509" t="s">
        <v>853</v>
      </c>
      <c r="O2509" t="s">
        <v>33</v>
      </c>
      <c r="Q2509">
        <v>114.41</v>
      </c>
      <c r="R2509">
        <v>0.6</v>
      </c>
      <c r="S2509" t="s">
        <v>451</v>
      </c>
      <c r="T2509">
        <v>84.8</v>
      </c>
      <c r="V2509">
        <v>100.6</v>
      </c>
      <c r="W2509">
        <v>83.1</v>
      </c>
      <c r="X2509">
        <v>13.1</v>
      </c>
      <c r="Y2509">
        <v>21</v>
      </c>
      <c r="Z2509">
        <v>5703569</v>
      </c>
      <c r="AA2509">
        <v>1.3520829999999999</v>
      </c>
      <c r="AB2509">
        <v>103.819836</v>
      </c>
    </row>
    <row r="2510" spans="1:28" hidden="1">
      <c r="A2510">
        <v>2405</v>
      </c>
      <c r="B2510">
        <v>1100</v>
      </c>
      <c r="C2510" t="s">
        <v>26</v>
      </c>
      <c r="D2510" t="s">
        <v>4645</v>
      </c>
      <c r="E2510">
        <v>52</v>
      </c>
      <c r="G2510" t="s">
        <v>512</v>
      </c>
      <c r="H2510" t="s">
        <v>4646</v>
      </c>
      <c r="I2510" t="s">
        <v>150</v>
      </c>
      <c r="J2510" t="s">
        <v>26</v>
      </c>
      <c r="K2510" t="s">
        <v>512</v>
      </c>
      <c r="M2510" t="b">
        <v>1</v>
      </c>
      <c r="N2510" t="s">
        <v>42</v>
      </c>
      <c r="O2510" t="s">
        <v>33</v>
      </c>
      <c r="Q2510">
        <v>121.46</v>
      </c>
      <c r="R2510">
        <v>0.7</v>
      </c>
      <c r="S2510" t="s">
        <v>592</v>
      </c>
      <c r="T2510">
        <v>45.1</v>
      </c>
      <c r="V2510">
        <v>105.3</v>
      </c>
      <c r="W2510">
        <v>76</v>
      </c>
      <c r="X2510">
        <v>12</v>
      </c>
      <c r="Y2510">
        <v>38.700000000000003</v>
      </c>
      <c r="Z2510">
        <v>32447385</v>
      </c>
      <c r="AA2510">
        <v>4.2104840000000001</v>
      </c>
      <c r="AB2510">
        <v>101.97576599999999</v>
      </c>
    </row>
    <row r="2511" spans="1:28" hidden="1">
      <c r="A2511">
        <v>2405</v>
      </c>
      <c r="B2511">
        <v>1100</v>
      </c>
      <c r="C2511" t="s">
        <v>36</v>
      </c>
      <c r="D2511" t="s">
        <v>4647</v>
      </c>
      <c r="E2511">
        <v>77</v>
      </c>
      <c r="G2511" t="s">
        <v>103</v>
      </c>
      <c r="H2511" t="s">
        <v>687</v>
      </c>
      <c r="I2511" t="s">
        <v>506</v>
      </c>
      <c r="J2511" t="s">
        <v>36</v>
      </c>
      <c r="K2511" t="s">
        <v>103</v>
      </c>
      <c r="M2511" t="b">
        <v>1</v>
      </c>
      <c r="N2511" t="s">
        <v>192</v>
      </c>
      <c r="O2511" t="s">
        <v>33</v>
      </c>
      <c r="Q2511">
        <v>125.08</v>
      </c>
      <c r="R2511">
        <v>2.9</v>
      </c>
      <c r="S2511" t="s">
        <v>106</v>
      </c>
      <c r="T2511">
        <v>50.6</v>
      </c>
      <c r="V2511">
        <v>100.2</v>
      </c>
      <c r="W2511">
        <v>77</v>
      </c>
      <c r="X2511">
        <v>9.4</v>
      </c>
      <c r="Y2511">
        <v>59.2</v>
      </c>
      <c r="Z2511">
        <v>1397715000</v>
      </c>
      <c r="AA2511">
        <v>35.861660000000001</v>
      </c>
      <c r="AB2511">
        <v>104.195397</v>
      </c>
    </row>
    <row r="2512" spans="1:28" hidden="1">
      <c r="A2512">
        <v>2405</v>
      </c>
      <c r="B2512">
        <v>1100</v>
      </c>
      <c r="C2512" t="s">
        <v>217</v>
      </c>
      <c r="D2512" t="s">
        <v>4648</v>
      </c>
      <c r="E2512">
        <v>51</v>
      </c>
      <c r="G2512" t="s">
        <v>429</v>
      </c>
      <c r="H2512" t="s">
        <v>430</v>
      </c>
      <c r="I2512" t="s">
        <v>4649</v>
      </c>
      <c r="J2512" t="s">
        <v>217</v>
      </c>
      <c r="K2512" t="s">
        <v>429</v>
      </c>
      <c r="M2512" t="b">
        <v>0</v>
      </c>
      <c r="N2512" t="s">
        <v>42</v>
      </c>
      <c r="O2512" t="s">
        <v>33</v>
      </c>
      <c r="Q2512">
        <v>113.27</v>
      </c>
      <c r="R2512">
        <v>0.7</v>
      </c>
      <c r="S2512" t="s">
        <v>431</v>
      </c>
      <c r="T2512">
        <v>49.3</v>
      </c>
      <c r="V2512">
        <v>99.8</v>
      </c>
      <c r="W2512">
        <v>76.900000000000006</v>
      </c>
      <c r="X2512">
        <v>14.9</v>
      </c>
      <c r="Y2512">
        <v>29.5</v>
      </c>
      <c r="Z2512">
        <v>69625582</v>
      </c>
      <c r="AA2512">
        <v>15.870032</v>
      </c>
      <c r="AB2512">
        <v>100.992541</v>
      </c>
    </row>
    <row r="2513" spans="1:28" hidden="1">
      <c r="A2513">
        <v>2405</v>
      </c>
      <c r="B2513">
        <v>1100</v>
      </c>
      <c r="C2513" t="s">
        <v>101</v>
      </c>
      <c r="D2513" t="s">
        <v>4650</v>
      </c>
      <c r="E2513">
        <v>76</v>
      </c>
      <c r="G2513" t="s">
        <v>810</v>
      </c>
      <c r="H2513" t="s">
        <v>811</v>
      </c>
      <c r="I2513" t="s">
        <v>1366</v>
      </c>
      <c r="J2513" t="s">
        <v>101</v>
      </c>
      <c r="K2513" t="s">
        <v>810</v>
      </c>
      <c r="M2513" t="b">
        <v>1</v>
      </c>
      <c r="N2513" t="s">
        <v>192</v>
      </c>
      <c r="O2513" t="s">
        <v>33</v>
      </c>
    </row>
    <row r="2514" spans="1:28" hidden="1">
      <c r="A2514">
        <v>2405</v>
      </c>
      <c r="B2514">
        <v>1100</v>
      </c>
      <c r="C2514" t="s">
        <v>217</v>
      </c>
      <c r="D2514" t="s">
        <v>4651</v>
      </c>
      <c r="E2514">
        <v>58</v>
      </c>
      <c r="G2514" t="s">
        <v>103</v>
      </c>
      <c r="H2514" t="s">
        <v>3550</v>
      </c>
      <c r="I2514" t="s">
        <v>217</v>
      </c>
      <c r="J2514" t="s">
        <v>217</v>
      </c>
      <c r="K2514" t="s">
        <v>103</v>
      </c>
      <c r="M2514" t="b">
        <v>1</v>
      </c>
      <c r="N2514" t="s">
        <v>42</v>
      </c>
      <c r="O2514" t="s">
        <v>33</v>
      </c>
      <c r="Q2514">
        <v>125.08</v>
      </c>
      <c r="R2514">
        <v>2.9</v>
      </c>
      <c r="S2514" t="s">
        <v>106</v>
      </c>
      <c r="T2514">
        <v>50.6</v>
      </c>
      <c r="V2514">
        <v>100.2</v>
      </c>
      <c r="W2514">
        <v>77</v>
      </c>
      <c r="X2514">
        <v>9.4</v>
      </c>
      <c r="Y2514">
        <v>59.2</v>
      </c>
      <c r="Z2514">
        <v>1397715000</v>
      </c>
      <c r="AA2514">
        <v>35.861660000000001</v>
      </c>
      <c r="AB2514">
        <v>104.195397</v>
      </c>
    </row>
    <row r="2515" spans="1:28" hidden="1">
      <c r="A2515">
        <v>2405</v>
      </c>
      <c r="B2515">
        <v>1100</v>
      </c>
      <c r="C2515" t="s">
        <v>45</v>
      </c>
      <c r="D2515" t="s">
        <v>4652</v>
      </c>
      <c r="E2515">
        <v>59</v>
      </c>
      <c r="G2515" t="s">
        <v>342</v>
      </c>
      <c r="H2515" t="s">
        <v>1093</v>
      </c>
      <c r="I2515" t="s">
        <v>4653</v>
      </c>
      <c r="J2515" t="s">
        <v>45</v>
      </c>
      <c r="K2515" t="s">
        <v>263</v>
      </c>
      <c r="M2515" t="b">
        <v>1</v>
      </c>
      <c r="N2515" t="s">
        <v>853</v>
      </c>
      <c r="O2515" t="s">
        <v>33</v>
      </c>
      <c r="Q2515">
        <v>108.15</v>
      </c>
      <c r="R2515">
        <v>0.8</v>
      </c>
      <c r="S2515" t="s">
        <v>532</v>
      </c>
      <c r="T2515">
        <v>63.4</v>
      </c>
      <c r="V2515">
        <v>104.9</v>
      </c>
      <c r="W2515">
        <v>82.8</v>
      </c>
      <c r="X2515">
        <v>23.1</v>
      </c>
      <c r="Y2515">
        <v>25.3</v>
      </c>
      <c r="Z2515">
        <v>9053300</v>
      </c>
      <c r="AA2515">
        <v>31.046050999999999</v>
      </c>
      <c r="AB2515">
        <v>34.851612000000003</v>
      </c>
    </row>
    <row r="2516" spans="1:28" hidden="1">
      <c r="A2516">
        <v>2405</v>
      </c>
      <c r="B2516">
        <v>1100</v>
      </c>
      <c r="C2516" t="s">
        <v>217</v>
      </c>
      <c r="D2516" t="s">
        <v>4654</v>
      </c>
      <c r="E2516">
        <v>71</v>
      </c>
      <c r="G2516" t="s">
        <v>148</v>
      </c>
      <c r="H2516" t="s">
        <v>4655</v>
      </c>
      <c r="I2516" t="s">
        <v>287</v>
      </c>
      <c r="J2516" t="s">
        <v>217</v>
      </c>
      <c r="K2516" t="s">
        <v>148</v>
      </c>
      <c r="M2516" t="b">
        <v>0</v>
      </c>
      <c r="N2516" t="s">
        <v>32</v>
      </c>
      <c r="O2516" t="s">
        <v>33</v>
      </c>
      <c r="Q2516">
        <v>112.85</v>
      </c>
      <c r="R2516">
        <v>1.4</v>
      </c>
      <c r="S2516" t="s">
        <v>151</v>
      </c>
      <c r="T2516">
        <v>70.2</v>
      </c>
      <c r="V2516">
        <v>104</v>
      </c>
      <c r="W2516">
        <v>80.900000000000006</v>
      </c>
      <c r="X2516">
        <v>11.5</v>
      </c>
      <c r="Y2516">
        <v>48.8</v>
      </c>
      <c r="Z2516">
        <v>83132799</v>
      </c>
      <c r="AA2516">
        <v>51.165691000000002</v>
      </c>
      <c r="AB2516">
        <v>10.451525999999999</v>
      </c>
    </row>
    <row r="2517" spans="1:28" hidden="1">
      <c r="A2517">
        <v>2405</v>
      </c>
      <c r="B2517">
        <v>1100</v>
      </c>
      <c r="C2517" t="s">
        <v>101</v>
      </c>
      <c r="D2517" t="s">
        <v>4656</v>
      </c>
      <c r="E2517">
        <v>82</v>
      </c>
      <c r="G2517" t="s">
        <v>103</v>
      </c>
      <c r="H2517" t="s">
        <v>4657</v>
      </c>
      <c r="I2517" t="s">
        <v>1366</v>
      </c>
      <c r="J2517" t="s">
        <v>101</v>
      </c>
      <c r="K2517" t="s">
        <v>103</v>
      </c>
      <c r="M2517" t="b">
        <v>1</v>
      </c>
      <c r="N2517" t="s">
        <v>42</v>
      </c>
      <c r="O2517" t="s">
        <v>33</v>
      </c>
      <c r="Q2517">
        <v>125.08</v>
      </c>
      <c r="R2517">
        <v>2.9</v>
      </c>
      <c r="S2517" t="s">
        <v>106</v>
      </c>
      <c r="T2517">
        <v>50.6</v>
      </c>
      <c r="V2517">
        <v>100.2</v>
      </c>
      <c r="W2517">
        <v>77</v>
      </c>
      <c r="X2517">
        <v>9.4</v>
      </c>
      <c r="Y2517">
        <v>59.2</v>
      </c>
      <c r="Z2517">
        <v>1397715000</v>
      </c>
      <c r="AA2517">
        <v>35.861660000000001</v>
      </c>
      <c r="AB2517">
        <v>104.195397</v>
      </c>
    </row>
    <row r="2518" spans="1:28" hidden="1">
      <c r="A2518">
        <v>2405</v>
      </c>
      <c r="B2518">
        <v>1100</v>
      </c>
      <c r="C2518" t="s">
        <v>75</v>
      </c>
      <c r="D2518" t="s">
        <v>4658</v>
      </c>
      <c r="E2518">
        <v>35</v>
      </c>
      <c r="G2518" t="s">
        <v>103</v>
      </c>
      <c r="H2518" t="s">
        <v>215</v>
      </c>
      <c r="I2518" t="s">
        <v>1770</v>
      </c>
      <c r="J2518" t="s">
        <v>75</v>
      </c>
      <c r="K2518" t="s">
        <v>103</v>
      </c>
      <c r="M2518" t="b">
        <v>0</v>
      </c>
      <c r="N2518" t="s">
        <v>42</v>
      </c>
      <c r="O2518" t="s">
        <v>33</v>
      </c>
      <c r="Q2518">
        <v>125.08</v>
      </c>
      <c r="R2518">
        <v>2.9</v>
      </c>
      <c r="S2518" t="s">
        <v>106</v>
      </c>
      <c r="T2518">
        <v>50.6</v>
      </c>
      <c r="V2518">
        <v>100.2</v>
      </c>
      <c r="W2518">
        <v>77</v>
      </c>
      <c r="X2518">
        <v>9.4</v>
      </c>
      <c r="Y2518">
        <v>59.2</v>
      </c>
      <c r="Z2518">
        <v>1397715000</v>
      </c>
      <c r="AA2518">
        <v>35.861660000000001</v>
      </c>
      <c r="AB2518">
        <v>104.195397</v>
      </c>
    </row>
    <row r="2519" spans="1:28" hidden="1">
      <c r="A2519">
        <v>2405</v>
      </c>
      <c r="B2519">
        <v>1100</v>
      </c>
      <c r="C2519" t="s">
        <v>63</v>
      </c>
      <c r="D2519" t="s">
        <v>4659</v>
      </c>
      <c r="E2519">
        <v>46</v>
      </c>
      <c r="G2519" t="s">
        <v>397</v>
      </c>
      <c r="H2519" t="s">
        <v>4660</v>
      </c>
      <c r="I2519" t="s">
        <v>1448</v>
      </c>
      <c r="J2519" t="s">
        <v>63</v>
      </c>
      <c r="K2519" t="s">
        <v>397</v>
      </c>
      <c r="M2519" t="b">
        <v>1</v>
      </c>
      <c r="N2519" t="s">
        <v>42</v>
      </c>
      <c r="O2519" t="s">
        <v>33</v>
      </c>
      <c r="Q2519">
        <v>110.51</v>
      </c>
      <c r="R2519">
        <v>1.8</v>
      </c>
      <c r="S2519" t="s">
        <v>401</v>
      </c>
      <c r="T2519">
        <v>67</v>
      </c>
      <c r="V2519">
        <v>126.6</v>
      </c>
      <c r="W2519">
        <v>82.5</v>
      </c>
      <c r="X2519">
        <v>27.9</v>
      </c>
      <c r="Y2519">
        <v>49.1</v>
      </c>
      <c r="Z2519">
        <v>10285453</v>
      </c>
      <c r="AA2519">
        <v>60.128160999999999</v>
      </c>
      <c r="AB2519">
        <v>18.643501000000001</v>
      </c>
    </row>
    <row r="2520" spans="1:28" hidden="1">
      <c r="A2520">
        <v>2405</v>
      </c>
      <c r="B2520">
        <v>1100</v>
      </c>
      <c r="C2520" t="s">
        <v>217</v>
      </c>
      <c r="D2520" t="s">
        <v>4661</v>
      </c>
      <c r="E2520">
        <v>73</v>
      </c>
      <c r="G2520" t="s">
        <v>172</v>
      </c>
      <c r="H2520" t="s">
        <v>172</v>
      </c>
      <c r="I2520" t="s">
        <v>897</v>
      </c>
      <c r="J2520" t="s">
        <v>217</v>
      </c>
      <c r="K2520" t="s">
        <v>172</v>
      </c>
      <c r="M2520" t="b">
        <v>1</v>
      </c>
      <c r="N2520" t="s">
        <v>419</v>
      </c>
      <c r="O2520" t="s">
        <v>33</v>
      </c>
    </row>
    <row r="2521" spans="1:28">
      <c r="A2521">
        <v>2405</v>
      </c>
      <c r="B2521">
        <v>1100</v>
      </c>
      <c r="C2521" t="s">
        <v>478</v>
      </c>
      <c r="D2521" t="s">
        <v>4662</v>
      </c>
      <c r="E2521">
        <v>47</v>
      </c>
      <c r="F2521" t="str">
        <f>IF(E2521&gt;=90,"90-100",IF(E2521&gt;=80,"80-90",IF(E2521&gt;=70,"70-80",IF(E2521&gt;=60,"60-70",IF(E2521&gt;=50,"50-60",IF(E2521&gt;=40,"40-50",IF(E2521&gt;=30,"30-40","20-30")))))))</f>
        <v>40-50</v>
      </c>
      <c r="G2521" t="s">
        <v>38</v>
      </c>
      <c r="H2521" t="s">
        <v>4663</v>
      </c>
      <c r="I2521" t="s">
        <v>4664</v>
      </c>
      <c r="J2521" t="s">
        <v>478</v>
      </c>
      <c r="K2521" t="s">
        <v>38</v>
      </c>
      <c r="L2521" t="s">
        <v>4665</v>
      </c>
      <c r="M2521" t="b">
        <v>1</v>
      </c>
      <c r="N2521" t="s">
        <v>192</v>
      </c>
      <c r="O2521" t="s">
        <v>4867</v>
      </c>
      <c r="P2521" t="s">
        <v>2196</v>
      </c>
      <c r="Q2521">
        <v>117.24</v>
      </c>
      <c r="R2521">
        <v>7.5</v>
      </c>
      <c r="S2521" t="s">
        <v>44</v>
      </c>
      <c r="T2521">
        <v>88.2</v>
      </c>
      <c r="U2521" t="str">
        <f>IF(T2521&gt;=100,"above 100",IF(T2521&gt;=80,"80-100",IF(T2521&gt;=60,"60-80",IF(T2521&gt;=40,"40-60",IF(T2521&gt;=20,"20-60","0-20")))))</f>
        <v>80-100</v>
      </c>
      <c r="V2521">
        <v>101.8</v>
      </c>
      <c r="W2521">
        <v>78.5</v>
      </c>
      <c r="X2521">
        <v>9.6</v>
      </c>
      <c r="Y2521">
        <v>36.6</v>
      </c>
      <c r="Z2521">
        <v>328239523</v>
      </c>
      <c r="AA2521">
        <v>37.090240000000001</v>
      </c>
      <c r="AB2521">
        <v>-95.712890999999999</v>
      </c>
    </row>
    <row r="2522" spans="1:28" hidden="1">
      <c r="A2522">
        <v>2405</v>
      </c>
      <c r="B2522">
        <v>1100</v>
      </c>
      <c r="C2522" t="s">
        <v>26</v>
      </c>
      <c r="D2522" t="s">
        <v>4666</v>
      </c>
      <c r="E2522">
        <v>81</v>
      </c>
      <c r="G2522" t="s">
        <v>148</v>
      </c>
      <c r="H2522" t="s">
        <v>4667</v>
      </c>
      <c r="I2522" t="s">
        <v>3006</v>
      </c>
      <c r="J2522" t="s">
        <v>26</v>
      </c>
      <c r="K2522" t="s">
        <v>148</v>
      </c>
      <c r="M2522" t="b">
        <v>1</v>
      </c>
      <c r="N2522" t="s">
        <v>42</v>
      </c>
      <c r="O2522" t="s">
        <v>33</v>
      </c>
      <c r="Q2522">
        <v>112.85</v>
      </c>
      <c r="R2522">
        <v>1.4</v>
      </c>
      <c r="S2522" t="s">
        <v>151</v>
      </c>
      <c r="T2522">
        <v>70.2</v>
      </c>
      <c r="V2522">
        <v>104</v>
      </c>
      <c r="W2522">
        <v>80.900000000000006</v>
      </c>
      <c r="X2522">
        <v>11.5</v>
      </c>
      <c r="Y2522">
        <v>48.8</v>
      </c>
      <c r="Z2522">
        <v>83132799</v>
      </c>
      <c r="AA2522">
        <v>51.165691000000002</v>
      </c>
      <c r="AB2522">
        <v>10.451525999999999</v>
      </c>
    </row>
    <row r="2523" spans="1:28" hidden="1">
      <c r="A2523">
        <v>2405</v>
      </c>
      <c r="B2523">
        <v>1100</v>
      </c>
      <c r="C2523" t="s">
        <v>68</v>
      </c>
      <c r="D2523" t="s">
        <v>4668</v>
      </c>
      <c r="E2523">
        <v>53</v>
      </c>
      <c r="G2523" t="s">
        <v>103</v>
      </c>
      <c r="H2523" t="s">
        <v>1785</v>
      </c>
      <c r="I2523" t="s">
        <v>897</v>
      </c>
      <c r="J2523" t="s">
        <v>68</v>
      </c>
      <c r="K2523" t="s">
        <v>172</v>
      </c>
      <c r="M2523" t="b">
        <v>1</v>
      </c>
      <c r="N2523" t="s">
        <v>42</v>
      </c>
      <c r="O2523" t="s">
        <v>33</v>
      </c>
      <c r="Q2523">
        <v>125.08</v>
      </c>
      <c r="R2523">
        <v>2.9</v>
      </c>
      <c r="S2523" t="s">
        <v>106</v>
      </c>
      <c r="T2523">
        <v>50.6</v>
      </c>
      <c r="V2523">
        <v>100.2</v>
      </c>
      <c r="W2523">
        <v>77</v>
      </c>
      <c r="X2523">
        <v>9.4</v>
      </c>
      <c r="Y2523">
        <v>59.2</v>
      </c>
      <c r="Z2523">
        <v>1397715000</v>
      </c>
      <c r="AA2523">
        <v>35.861660000000001</v>
      </c>
      <c r="AB2523">
        <v>104.195397</v>
      </c>
    </row>
    <row r="2524" spans="1:28" hidden="1">
      <c r="A2524">
        <v>2405</v>
      </c>
      <c r="B2524">
        <v>1100</v>
      </c>
      <c r="C2524" t="s">
        <v>217</v>
      </c>
      <c r="D2524" t="s">
        <v>4669</v>
      </c>
      <c r="E2524">
        <v>82</v>
      </c>
      <c r="G2524" t="s">
        <v>810</v>
      </c>
      <c r="H2524" t="s">
        <v>4670</v>
      </c>
      <c r="I2524" t="s">
        <v>3697</v>
      </c>
      <c r="J2524" t="s">
        <v>217</v>
      </c>
      <c r="K2524" t="s">
        <v>810</v>
      </c>
      <c r="M2524" t="b">
        <v>1</v>
      </c>
      <c r="N2524" t="s">
        <v>42</v>
      </c>
      <c r="O2524" t="s">
        <v>33</v>
      </c>
    </row>
    <row r="2525" spans="1:28" hidden="1">
      <c r="A2525">
        <v>2405</v>
      </c>
      <c r="B2525">
        <v>1100</v>
      </c>
      <c r="C2525" t="s">
        <v>101</v>
      </c>
      <c r="D2525" t="s">
        <v>4671</v>
      </c>
      <c r="E2525">
        <v>54</v>
      </c>
      <c r="G2525" t="s">
        <v>103</v>
      </c>
      <c r="H2525" t="s">
        <v>143</v>
      </c>
      <c r="I2525" t="s">
        <v>4672</v>
      </c>
      <c r="J2525" t="s">
        <v>101</v>
      </c>
      <c r="K2525" t="s">
        <v>103</v>
      </c>
      <c r="M2525" t="b">
        <v>1</v>
      </c>
      <c r="N2525" t="s">
        <v>42</v>
      </c>
      <c r="O2525" t="s">
        <v>33</v>
      </c>
      <c r="Q2525">
        <v>125.08</v>
      </c>
      <c r="R2525">
        <v>2.9</v>
      </c>
      <c r="S2525" t="s">
        <v>106</v>
      </c>
      <c r="T2525">
        <v>50.6</v>
      </c>
      <c r="V2525">
        <v>100.2</v>
      </c>
      <c r="W2525">
        <v>77</v>
      </c>
      <c r="X2525">
        <v>9.4</v>
      </c>
      <c r="Y2525">
        <v>59.2</v>
      </c>
      <c r="Z2525">
        <v>1397715000</v>
      </c>
      <c r="AA2525">
        <v>35.861660000000001</v>
      </c>
      <c r="AB2525">
        <v>104.195397</v>
      </c>
    </row>
    <row r="2526" spans="1:28" hidden="1">
      <c r="A2526">
        <v>2405</v>
      </c>
      <c r="B2526">
        <v>1100</v>
      </c>
      <c r="C2526" t="s">
        <v>288</v>
      </c>
      <c r="D2526" t="s">
        <v>4673</v>
      </c>
      <c r="E2526">
        <v>68</v>
      </c>
      <c r="G2526" t="s">
        <v>103</v>
      </c>
      <c r="H2526" t="s">
        <v>3807</v>
      </c>
      <c r="I2526" t="s">
        <v>418</v>
      </c>
      <c r="J2526" t="s">
        <v>288</v>
      </c>
      <c r="K2526" t="s">
        <v>103</v>
      </c>
      <c r="M2526" t="b">
        <v>1</v>
      </c>
      <c r="N2526" t="s">
        <v>42</v>
      </c>
      <c r="O2526" t="s">
        <v>33</v>
      </c>
      <c r="Q2526">
        <v>125.08</v>
      </c>
      <c r="R2526">
        <v>2.9</v>
      </c>
      <c r="S2526" t="s">
        <v>106</v>
      </c>
      <c r="T2526">
        <v>50.6</v>
      </c>
      <c r="V2526">
        <v>100.2</v>
      </c>
      <c r="W2526">
        <v>77</v>
      </c>
      <c r="X2526">
        <v>9.4</v>
      </c>
      <c r="Y2526">
        <v>59.2</v>
      </c>
      <c r="Z2526">
        <v>1397715000</v>
      </c>
      <c r="AA2526">
        <v>35.861660000000001</v>
      </c>
      <c r="AB2526">
        <v>104.195397</v>
      </c>
    </row>
    <row r="2527" spans="1:28" hidden="1">
      <c r="A2527">
        <v>2405</v>
      </c>
      <c r="B2527">
        <v>1100</v>
      </c>
      <c r="C2527" t="s">
        <v>288</v>
      </c>
      <c r="D2527" t="s">
        <v>4674</v>
      </c>
      <c r="E2527">
        <v>61</v>
      </c>
      <c r="G2527" t="s">
        <v>103</v>
      </c>
      <c r="H2527" t="s">
        <v>4675</v>
      </c>
      <c r="I2527" t="s">
        <v>4676</v>
      </c>
      <c r="J2527" t="s">
        <v>288</v>
      </c>
      <c r="K2527" t="s">
        <v>103</v>
      </c>
      <c r="M2527" t="b">
        <v>1</v>
      </c>
      <c r="N2527" t="s">
        <v>192</v>
      </c>
      <c r="O2527" t="s">
        <v>33</v>
      </c>
      <c r="Q2527">
        <v>125.08</v>
      </c>
      <c r="R2527">
        <v>2.9</v>
      </c>
      <c r="S2527" t="s">
        <v>106</v>
      </c>
      <c r="T2527">
        <v>50.6</v>
      </c>
      <c r="V2527">
        <v>100.2</v>
      </c>
      <c r="W2527">
        <v>77</v>
      </c>
      <c r="X2527">
        <v>9.4</v>
      </c>
      <c r="Y2527">
        <v>59.2</v>
      </c>
      <c r="Z2527">
        <v>1397715000</v>
      </c>
      <c r="AA2527">
        <v>35.861660000000001</v>
      </c>
      <c r="AB2527">
        <v>104.195397</v>
      </c>
    </row>
    <row r="2528" spans="1:28" hidden="1">
      <c r="A2528">
        <v>2405</v>
      </c>
      <c r="B2528">
        <v>1100</v>
      </c>
      <c r="C2528" t="s">
        <v>68</v>
      </c>
      <c r="D2528" t="s">
        <v>4677</v>
      </c>
      <c r="E2528">
        <v>72</v>
      </c>
      <c r="G2528" t="s">
        <v>103</v>
      </c>
      <c r="H2528" t="s">
        <v>4473</v>
      </c>
      <c r="I2528" t="s">
        <v>4678</v>
      </c>
      <c r="J2528" t="s">
        <v>68</v>
      </c>
      <c r="K2528" t="s">
        <v>103</v>
      </c>
      <c r="M2528" t="b">
        <v>1</v>
      </c>
      <c r="N2528" t="s">
        <v>42</v>
      </c>
      <c r="O2528" t="s">
        <v>33</v>
      </c>
      <c r="Q2528">
        <v>125.08</v>
      </c>
      <c r="R2528">
        <v>2.9</v>
      </c>
      <c r="S2528" t="s">
        <v>106</v>
      </c>
      <c r="T2528">
        <v>50.6</v>
      </c>
      <c r="V2528">
        <v>100.2</v>
      </c>
      <c r="W2528">
        <v>77</v>
      </c>
      <c r="X2528">
        <v>9.4</v>
      </c>
      <c r="Y2528">
        <v>59.2</v>
      </c>
      <c r="Z2528">
        <v>1397715000</v>
      </c>
      <c r="AA2528">
        <v>35.861660000000001</v>
      </c>
      <c r="AB2528">
        <v>104.195397</v>
      </c>
    </row>
    <row r="2529" spans="1:28" hidden="1">
      <c r="A2529">
        <v>2405</v>
      </c>
      <c r="B2529">
        <v>1100</v>
      </c>
      <c r="C2529" t="s">
        <v>217</v>
      </c>
      <c r="D2529" t="s">
        <v>4679</v>
      </c>
      <c r="E2529">
        <v>83</v>
      </c>
      <c r="G2529" t="s">
        <v>395</v>
      </c>
      <c r="H2529" t="s">
        <v>395</v>
      </c>
      <c r="I2529" t="s">
        <v>217</v>
      </c>
      <c r="J2529" t="s">
        <v>217</v>
      </c>
      <c r="K2529" t="s">
        <v>395</v>
      </c>
      <c r="M2529" t="b">
        <v>1</v>
      </c>
      <c r="N2529" t="s">
        <v>32</v>
      </c>
      <c r="O2529" t="s">
        <v>33</v>
      </c>
      <c r="Q2529">
        <v>114.41</v>
      </c>
      <c r="R2529">
        <v>0.6</v>
      </c>
      <c r="S2529" t="s">
        <v>451</v>
      </c>
      <c r="T2529">
        <v>84.8</v>
      </c>
      <c r="V2529">
        <v>100.6</v>
      </c>
      <c r="W2529">
        <v>83.1</v>
      </c>
      <c r="X2529">
        <v>13.1</v>
      </c>
      <c r="Y2529">
        <v>21</v>
      </c>
      <c r="Z2529">
        <v>5703569</v>
      </c>
      <c r="AA2529">
        <v>1.3520829999999999</v>
      </c>
      <c r="AB2529">
        <v>103.819836</v>
      </c>
    </row>
    <row r="2530" spans="1:28" hidden="1">
      <c r="A2530">
        <v>2405</v>
      </c>
      <c r="B2530">
        <v>1100</v>
      </c>
      <c r="C2530" t="s">
        <v>45</v>
      </c>
      <c r="D2530" t="s">
        <v>4680</v>
      </c>
      <c r="E2530">
        <v>68</v>
      </c>
      <c r="G2530" t="s">
        <v>103</v>
      </c>
      <c r="H2530" t="s">
        <v>104</v>
      </c>
      <c r="I2530" t="s">
        <v>572</v>
      </c>
      <c r="J2530" t="s">
        <v>45</v>
      </c>
      <c r="K2530" t="s">
        <v>103</v>
      </c>
      <c r="M2530" t="b">
        <v>1</v>
      </c>
      <c r="N2530" t="s">
        <v>32</v>
      </c>
      <c r="O2530" t="s">
        <v>88</v>
      </c>
      <c r="Q2530">
        <v>125.08</v>
      </c>
      <c r="R2530">
        <v>2.9</v>
      </c>
      <c r="S2530" t="s">
        <v>106</v>
      </c>
      <c r="T2530">
        <v>50.6</v>
      </c>
      <c r="V2530">
        <v>100.2</v>
      </c>
      <c r="W2530">
        <v>77</v>
      </c>
      <c r="X2530">
        <v>9.4</v>
      </c>
      <c r="Y2530">
        <v>59.2</v>
      </c>
      <c r="Z2530">
        <v>1397715000</v>
      </c>
      <c r="AA2530">
        <v>35.861660000000001</v>
      </c>
      <c r="AB2530">
        <v>104.195397</v>
      </c>
    </row>
    <row r="2531" spans="1:28" hidden="1">
      <c r="A2531">
        <v>2405</v>
      </c>
      <c r="B2531">
        <v>1100</v>
      </c>
      <c r="C2531" t="s">
        <v>101</v>
      </c>
      <c r="D2531" t="s">
        <v>4681</v>
      </c>
      <c r="E2531">
        <v>53</v>
      </c>
      <c r="G2531" t="s">
        <v>103</v>
      </c>
      <c r="H2531" t="s">
        <v>279</v>
      </c>
      <c r="I2531" t="s">
        <v>408</v>
      </c>
      <c r="J2531" t="s">
        <v>101</v>
      </c>
      <c r="K2531" t="s">
        <v>103</v>
      </c>
      <c r="M2531" t="b">
        <v>1</v>
      </c>
      <c r="N2531" t="s">
        <v>42</v>
      </c>
      <c r="O2531" t="s">
        <v>33</v>
      </c>
      <c r="Q2531">
        <v>125.08</v>
      </c>
      <c r="R2531">
        <v>2.9</v>
      </c>
      <c r="S2531" t="s">
        <v>106</v>
      </c>
      <c r="T2531">
        <v>50.6</v>
      </c>
      <c r="V2531">
        <v>100.2</v>
      </c>
      <c r="W2531">
        <v>77</v>
      </c>
      <c r="X2531">
        <v>9.4</v>
      </c>
      <c r="Y2531">
        <v>59.2</v>
      </c>
      <c r="Z2531">
        <v>1397715000</v>
      </c>
      <c r="AA2531">
        <v>35.861660000000001</v>
      </c>
      <c r="AB2531">
        <v>104.195397</v>
      </c>
    </row>
    <row r="2532" spans="1:28" hidden="1">
      <c r="A2532">
        <v>2405</v>
      </c>
      <c r="B2532">
        <v>1100</v>
      </c>
      <c r="C2532" t="s">
        <v>217</v>
      </c>
      <c r="D2532" t="s">
        <v>4682</v>
      </c>
      <c r="E2532">
        <v>81</v>
      </c>
      <c r="I2532" t="s">
        <v>217</v>
      </c>
      <c r="J2532" t="s">
        <v>217</v>
      </c>
      <c r="K2532" t="s">
        <v>810</v>
      </c>
      <c r="M2532" t="b">
        <v>1</v>
      </c>
      <c r="N2532" t="s">
        <v>42</v>
      </c>
      <c r="O2532" t="s">
        <v>33</v>
      </c>
    </row>
    <row r="2533" spans="1:28" hidden="1">
      <c r="A2533">
        <v>2405</v>
      </c>
      <c r="B2533">
        <v>1100</v>
      </c>
      <c r="C2533" t="s">
        <v>63</v>
      </c>
      <c r="D2533" t="s">
        <v>4683</v>
      </c>
      <c r="E2533">
        <v>51</v>
      </c>
      <c r="G2533" t="s">
        <v>103</v>
      </c>
      <c r="H2533" t="s">
        <v>1708</v>
      </c>
      <c r="I2533" t="s">
        <v>4684</v>
      </c>
      <c r="J2533" t="s">
        <v>63</v>
      </c>
      <c r="K2533" t="s">
        <v>103</v>
      </c>
      <c r="M2533" t="b">
        <v>1</v>
      </c>
      <c r="N2533" t="s">
        <v>42</v>
      </c>
      <c r="O2533" t="s">
        <v>33</v>
      </c>
      <c r="Q2533">
        <v>125.08</v>
      </c>
      <c r="R2533">
        <v>2.9</v>
      </c>
      <c r="S2533" t="s">
        <v>106</v>
      </c>
      <c r="T2533">
        <v>50.6</v>
      </c>
      <c r="V2533">
        <v>100.2</v>
      </c>
      <c r="W2533">
        <v>77</v>
      </c>
      <c r="X2533">
        <v>9.4</v>
      </c>
      <c r="Y2533">
        <v>59.2</v>
      </c>
      <c r="Z2533">
        <v>1397715000</v>
      </c>
      <c r="AA2533">
        <v>35.861660000000001</v>
      </c>
      <c r="AB2533">
        <v>104.195397</v>
      </c>
    </row>
    <row r="2534" spans="1:28" hidden="1">
      <c r="A2534">
        <v>2405</v>
      </c>
      <c r="B2534">
        <v>1100</v>
      </c>
      <c r="C2534" t="s">
        <v>236</v>
      </c>
      <c r="D2534" t="s">
        <v>4685</v>
      </c>
      <c r="E2534">
        <v>40</v>
      </c>
      <c r="G2534" t="s">
        <v>103</v>
      </c>
      <c r="H2534" t="s">
        <v>4686</v>
      </c>
      <c r="I2534" t="s">
        <v>4687</v>
      </c>
      <c r="J2534" t="s">
        <v>236</v>
      </c>
      <c r="K2534" t="s">
        <v>103</v>
      </c>
      <c r="M2534" t="b">
        <v>0</v>
      </c>
      <c r="N2534" t="s">
        <v>42</v>
      </c>
      <c r="O2534" t="s">
        <v>33</v>
      </c>
      <c r="Q2534">
        <v>125.08</v>
      </c>
      <c r="R2534">
        <v>2.9</v>
      </c>
      <c r="S2534" t="s">
        <v>106</v>
      </c>
      <c r="T2534">
        <v>50.6</v>
      </c>
      <c r="V2534">
        <v>100.2</v>
      </c>
      <c r="W2534">
        <v>77</v>
      </c>
      <c r="X2534">
        <v>9.4</v>
      </c>
      <c r="Y2534">
        <v>59.2</v>
      </c>
      <c r="Z2534">
        <v>1397715000</v>
      </c>
      <c r="AA2534">
        <v>35.861660000000001</v>
      </c>
      <c r="AB2534">
        <v>104.195397</v>
      </c>
    </row>
    <row r="2535" spans="1:28" hidden="1">
      <c r="A2535">
        <v>2405</v>
      </c>
      <c r="B2535">
        <v>1100</v>
      </c>
      <c r="C2535" t="s">
        <v>469</v>
      </c>
      <c r="D2535" t="s">
        <v>4688</v>
      </c>
      <c r="E2535">
        <v>58</v>
      </c>
      <c r="G2535" t="s">
        <v>103</v>
      </c>
      <c r="H2535" t="s">
        <v>4519</v>
      </c>
      <c r="I2535" t="s">
        <v>2394</v>
      </c>
      <c r="J2535" t="s">
        <v>469</v>
      </c>
      <c r="K2535" t="s">
        <v>103</v>
      </c>
      <c r="M2535" t="b">
        <v>1</v>
      </c>
      <c r="N2535" t="s">
        <v>32</v>
      </c>
      <c r="O2535" t="s">
        <v>33</v>
      </c>
      <c r="Q2535">
        <v>125.08</v>
      </c>
      <c r="R2535">
        <v>2.9</v>
      </c>
      <c r="S2535" t="s">
        <v>106</v>
      </c>
      <c r="T2535">
        <v>50.6</v>
      </c>
      <c r="V2535">
        <v>100.2</v>
      </c>
      <c r="W2535">
        <v>77</v>
      </c>
      <c r="X2535">
        <v>9.4</v>
      </c>
      <c r="Y2535">
        <v>59.2</v>
      </c>
      <c r="Z2535">
        <v>1397715000</v>
      </c>
      <c r="AA2535">
        <v>35.861660000000001</v>
      </c>
      <c r="AB2535">
        <v>104.195397</v>
      </c>
    </row>
    <row r="2536" spans="1:28" hidden="1">
      <c r="A2536">
        <v>2405</v>
      </c>
      <c r="B2536">
        <v>1100</v>
      </c>
      <c r="C2536" t="s">
        <v>26</v>
      </c>
      <c r="D2536" t="s">
        <v>4689</v>
      </c>
      <c r="E2536">
        <v>51</v>
      </c>
      <c r="G2536" t="s">
        <v>103</v>
      </c>
      <c r="H2536" t="s">
        <v>1887</v>
      </c>
      <c r="I2536" t="s">
        <v>410</v>
      </c>
      <c r="J2536" t="s">
        <v>26</v>
      </c>
      <c r="K2536" t="s">
        <v>103</v>
      </c>
      <c r="M2536" t="b">
        <v>1</v>
      </c>
      <c r="N2536" t="s">
        <v>42</v>
      </c>
      <c r="O2536" t="s">
        <v>33</v>
      </c>
      <c r="Q2536">
        <v>125.08</v>
      </c>
      <c r="R2536">
        <v>2.9</v>
      </c>
      <c r="S2536" t="s">
        <v>106</v>
      </c>
      <c r="T2536">
        <v>50.6</v>
      </c>
      <c r="V2536">
        <v>100.2</v>
      </c>
      <c r="W2536">
        <v>77</v>
      </c>
      <c r="X2536">
        <v>9.4</v>
      </c>
      <c r="Y2536">
        <v>59.2</v>
      </c>
      <c r="Z2536">
        <v>1397715000</v>
      </c>
      <c r="AA2536">
        <v>35.861660000000001</v>
      </c>
      <c r="AB2536">
        <v>104.195397</v>
      </c>
    </row>
    <row r="2537" spans="1:28" hidden="1">
      <c r="A2537">
        <v>2405</v>
      </c>
      <c r="B2537">
        <v>1100</v>
      </c>
      <c r="C2537" t="s">
        <v>101</v>
      </c>
      <c r="D2537" t="s">
        <v>4690</v>
      </c>
      <c r="E2537">
        <v>48</v>
      </c>
      <c r="G2537" t="s">
        <v>103</v>
      </c>
      <c r="H2537" t="s">
        <v>463</v>
      </c>
      <c r="I2537" t="s">
        <v>3706</v>
      </c>
      <c r="J2537" t="s">
        <v>101</v>
      </c>
      <c r="K2537" t="s">
        <v>103</v>
      </c>
      <c r="M2537" t="b">
        <v>1</v>
      </c>
      <c r="N2537" t="s">
        <v>853</v>
      </c>
      <c r="O2537" t="s">
        <v>33</v>
      </c>
      <c r="Q2537">
        <v>125.08</v>
      </c>
      <c r="R2537">
        <v>2.9</v>
      </c>
      <c r="S2537" t="s">
        <v>106</v>
      </c>
      <c r="T2537">
        <v>50.6</v>
      </c>
      <c r="V2537">
        <v>100.2</v>
      </c>
      <c r="W2537">
        <v>77</v>
      </c>
      <c r="X2537">
        <v>9.4</v>
      </c>
      <c r="Y2537">
        <v>59.2</v>
      </c>
      <c r="Z2537">
        <v>1397715000</v>
      </c>
      <c r="AA2537">
        <v>35.861660000000001</v>
      </c>
      <c r="AB2537">
        <v>104.195397</v>
      </c>
    </row>
    <row r="2538" spans="1:28" hidden="1">
      <c r="A2538">
        <v>2405</v>
      </c>
      <c r="B2538">
        <v>1100</v>
      </c>
      <c r="C2538" t="s">
        <v>45</v>
      </c>
      <c r="D2538" t="s">
        <v>4691</v>
      </c>
      <c r="E2538">
        <v>50</v>
      </c>
      <c r="G2538" t="s">
        <v>103</v>
      </c>
      <c r="H2538" t="s">
        <v>143</v>
      </c>
      <c r="I2538" t="s">
        <v>312</v>
      </c>
      <c r="J2538" t="s">
        <v>45</v>
      </c>
      <c r="K2538" t="s">
        <v>103</v>
      </c>
      <c r="M2538" t="b">
        <v>1</v>
      </c>
      <c r="N2538" t="s">
        <v>42</v>
      </c>
      <c r="O2538" t="s">
        <v>33</v>
      </c>
      <c r="Q2538">
        <v>125.08</v>
      </c>
      <c r="R2538">
        <v>2.9</v>
      </c>
      <c r="S2538" t="s">
        <v>106</v>
      </c>
      <c r="T2538">
        <v>50.6</v>
      </c>
      <c r="V2538">
        <v>100.2</v>
      </c>
      <c r="W2538">
        <v>77</v>
      </c>
      <c r="X2538">
        <v>9.4</v>
      </c>
      <c r="Y2538">
        <v>59.2</v>
      </c>
      <c r="Z2538">
        <v>1397715000</v>
      </c>
      <c r="AA2538">
        <v>35.861660000000001</v>
      </c>
      <c r="AB2538">
        <v>104.195397</v>
      </c>
    </row>
    <row r="2539" spans="1:28" hidden="1">
      <c r="A2539">
        <v>2405</v>
      </c>
      <c r="B2539">
        <v>1100</v>
      </c>
      <c r="C2539" t="s">
        <v>217</v>
      </c>
      <c r="D2539" t="s">
        <v>4692</v>
      </c>
      <c r="E2539">
        <v>49</v>
      </c>
      <c r="G2539" t="s">
        <v>103</v>
      </c>
      <c r="H2539" t="s">
        <v>176</v>
      </c>
      <c r="I2539" t="s">
        <v>617</v>
      </c>
      <c r="J2539" t="s">
        <v>217</v>
      </c>
      <c r="K2539" t="s">
        <v>103</v>
      </c>
      <c r="M2539" t="b">
        <v>1</v>
      </c>
      <c r="N2539" t="s">
        <v>42</v>
      </c>
      <c r="O2539" t="s">
        <v>33</v>
      </c>
      <c r="Q2539">
        <v>125.08</v>
      </c>
      <c r="R2539">
        <v>2.9</v>
      </c>
      <c r="S2539" t="s">
        <v>106</v>
      </c>
      <c r="T2539">
        <v>50.6</v>
      </c>
      <c r="V2539">
        <v>100.2</v>
      </c>
      <c r="W2539">
        <v>77</v>
      </c>
      <c r="X2539">
        <v>9.4</v>
      </c>
      <c r="Y2539">
        <v>59.2</v>
      </c>
      <c r="Z2539">
        <v>1397715000</v>
      </c>
      <c r="AA2539">
        <v>35.861660000000001</v>
      </c>
      <c r="AB2539">
        <v>104.195397</v>
      </c>
    </row>
    <row r="2540" spans="1:28" hidden="1">
      <c r="A2540">
        <v>2405</v>
      </c>
      <c r="B2540">
        <v>1100</v>
      </c>
      <c r="C2540" t="s">
        <v>217</v>
      </c>
      <c r="D2540" t="s">
        <v>4693</v>
      </c>
      <c r="E2540">
        <v>57</v>
      </c>
      <c r="G2540" t="s">
        <v>172</v>
      </c>
      <c r="H2540" t="s">
        <v>172</v>
      </c>
      <c r="I2540" t="s">
        <v>4566</v>
      </c>
      <c r="J2540" t="s">
        <v>217</v>
      </c>
      <c r="K2540" t="s">
        <v>172</v>
      </c>
      <c r="M2540" t="b">
        <v>0</v>
      </c>
      <c r="N2540" t="s">
        <v>42</v>
      </c>
      <c r="O2540" t="s">
        <v>88</v>
      </c>
    </row>
    <row r="2541" spans="1:28" hidden="1">
      <c r="A2541">
        <v>2540</v>
      </c>
      <c r="B2541">
        <v>1000</v>
      </c>
      <c r="C2541" t="s">
        <v>101</v>
      </c>
      <c r="D2541" t="s">
        <v>4694</v>
      </c>
      <c r="E2541">
        <v>68</v>
      </c>
      <c r="G2541" t="s">
        <v>77</v>
      </c>
      <c r="H2541" t="s">
        <v>248</v>
      </c>
      <c r="I2541" t="s">
        <v>3706</v>
      </c>
      <c r="J2541" t="s">
        <v>101</v>
      </c>
      <c r="K2541" t="s">
        <v>77</v>
      </c>
      <c r="M2541" t="b">
        <v>0</v>
      </c>
      <c r="N2541" t="s">
        <v>192</v>
      </c>
      <c r="O2541" t="s">
        <v>33</v>
      </c>
      <c r="Q2541">
        <v>180.44</v>
      </c>
      <c r="R2541">
        <v>7.7</v>
      </c>
      <c r="S2541" t="s">
        <v>81</v>
      </c>
      <c r="T2541">
        <v>28.1</v>
      </c>
      <c r="V2541">
        <v>113</v>
      </c>
      <c r="W2541">
        <v>69.400000000000006</v>
      </c>
      <c r="X2541">
        <v>11.2</v>
      </c>
      <c r="Y2541">
        <v>49.7</v>
      </c>
      <c r="Z2541">
        <v>1366417754</v>
      </c>
      <c r="AA2541">
        <v>20.593684</v>
      </c>
      <c r="AB2541">
        <v>78.962879999999998</v>
      </c>
    </row>
    <row r="2542" spans="1:28" hidden="1">
      <c r="A2542">
        <v>2540</v>
      </c>
      <c r="B2542">
        <v>1000</v>
      </c>
      <c r="C2542" t="s">
        <v>54</v>
      </c>
      <c r="D2542" t="s">
        <v>4695</v>
      </c>
      <c r="E2542">
        <v>44</v>
      </c>
      <c r="G2542" t="s">
        <v>203</v>
      </c>
      <c r="H2542" t="s">
        <v>204</v>
      </c>
      <c r="I2542" t="s">
        <v>231</v>
      </c>
      <c r="J2542" t="s">
        <v>54</v>
      </c>
      <c r="K2542" t="s">
        <v>148</v>
      </c>
      <c r="M2542" t="b">
        <v>1</v>
      </c>
      <c r="N2542" t="s">
        <v>42</v>
      </c>
      <c r="O2542" t="s">
        <v>33</v>
      </c>
      <c r="Q2542">
        <v>119.62</v>
      </c>
      <c r="R2542">
        <v>1.7</v>
      </c>
      <c r="S2542" t="s">
        <v>206</v>
      </c>
      <c r="T2542">
        <v>60</v>
      </c>
      <c r="V2542">
        <v>101.2</v>
      </c>
      <c r="W2542">
        <v>81.3</v>
      </c>
      <c r="X2542">
        <v>25.5</v>
      </c>
      <c r="Y2542">
        <v>30.6</v>
      </c>
      <c r="Z2542">
        <v>66834405</v>
      </c>
      <c r="AA2542">
        <v>55.378050999999999</v>
      </c>
      <c r="AB2542">
        <v>-3.4359730000000002</v>
      </c>
    </row>
    <row r="2543" spans="1:28" hidden="1">
      <c r="A2543">
        <v>2540</v>
      </c>
      <c r="B2543">
        <v>1000</v>
      </c>
      <c r="C2543" t="s">
        <v>26</v>
      </c>
      <c r="D2543" t="s">
        <v>4696</v>
      </c>
      <c r="E2543">
        <v>76</v>
      </c>
      <c r="G2543" t="s">
        <v>198</v>
      </c>
      <c r="H2543" t="s">
        <v>199</v>
      </c>
      <c r="I2543" t="s">
        <v>150</v>
      </c>
      <c r="J2543" t="s">
        <v>26</v>
      </c>
      <c r="K2543" t="s">
        <v>198</v>
      </c>
      <c r="M2543" t="b">
        <v>1</v>
      </c>
      <c r="N2543" t="s">
        <v>42</v>
      </c>
      <c r="O2543" t="s">
        <v>33</v>
      </c>
      <c r="Q2543">
        <v>105.48</v>
      </c>
      <c r="R2543">
        <v>0.5</v>
      </c>
      <c r="S2543" t="s">
        <v>201</v>
      </c>
      <c r="T2543">
        <v>63.2</v>
      </c>
      <c r="V2543">
        <v>98.8</v>
      </c>
      <c r="W2543">
        <v>84.2</v>
      </c>
      <c r="X2543">
        <v>11.9</v>
      </c>
      <c r="Y2543">
        <v>46.7</v>
      </c>
      <c r="Z2543">
        <v>126226568</v>
      </c>
      <c r="AA2543">
        <v>36.204824000000002</v>
      </c>
      <c r="AB2543">
        <v>138.25292400000001</v>
      </c>
    </row>
    <row r="2544" spans="1:28" hidden="1">
      <c r="A2544">
        <v>2540</v>
      </c>
      <c r="B2544">
        <v>1000</v>
      </c>
      <c r="C2544" t="s">
        <v>288</v>
      </c>
      <c r="D2544" t="s">
        <v>4697</v>
      </c>
      <c r="E2544">
        <v>44</v>
      </c>
      <c r="G2544" t="s">
        <v>148</v>
      </c>
      <c r="H2544" t="s">
        <v>2681</v>
      </c>
      <c r="I2544" t="s">
        <v>2682</v>
      </c>
      <c r="J2544" t="s">
        <v>288</v>
      </c>
      <c r="K2544" t="s">
        <v>148</v>
      </c>
      <c r="M2544" t="b">
        <v>0</v>
      </c>
      <c r="N2544" t="s">
        <v>42</v>
      </c>
      <c r="O2544" t="s">
        <v>88</v>
      </c>
      <c r="Q2544">
        <v>112.85</v>
      </c>
      <c r="R2544">
        <v>1.4</v>
      </c>
      <c r="S2544" t="s">
        <v>151</v>
      </c>
      <c r="T2544">
        <v>70.2</v>
      </c>
      <c r="V2544">
        <v>104</v>
      </c>
      <c r="W2544">
        <v>80.900000000000006</v>
      </c>
      <c r="X2544">
        <v>11.5</v>
      </c>
      <c r="Y2544">
        <v>48.8</v>
      </c>
      <c r="Z2544">
        <v>83132799</v>
      </c>
      <c r="AA2544">
        <v>51.165691000000002</v>
      </c>
      <c r="AB2544">
        <v>10.451525999999999</v>
      </c>
    </row>
    <row r="2545" spans="1:28" hidden="1">
      <c r="A2545">
        <v>2540</v>
      </c>
      <c r="B2545">
        <v>1000</v>
      </c>
      <c r="C2545" t="s">
        <v>288</v>
      </c>
      <c r="D2545" t="s">
        <v>4698</v>
      </c>
      <c r="E2545">
        <v>43</v>
      </c>
      <c r="G2545" t="s">
        <v>148</v>
      </c>
      <c r="H2545" t="s">
        <v>2681</v>
      </c>
      <c r="I2545" t="s">
        <v>2682</v>
      </c>
      <c r="J2545" t="s">
        <v>288</v>
      </c>
      <c r="K2545" t="s">
        <v>148</v>
      </c>
      <c r="M2545" t="b">
        <v>0</v>
      </c>
      <c r="N2545" t="s">
        <v>419</v>
      </c>
      <c r="O2545" t="s">
        <v>88</v>
      </c>
      <c r="Q2545">
        <v>112.85</v>
      </c>
      <c r="R2545">
        <v>1.4</v>
      </c>
      <c r="S2545" t="s">
        <v>151</v>
      </c>
      <c r="T2545">
        <v>70.2</v>
      </c>
      <c r="V2545">
        <v>104</v>
      </c>
      <c r="W2545">
        <v>80.900000000000006</v>
      </c>
      <c r="X2545">
        <v>11.5</v>
      </c>
      <c r="Y2545">
        <v>48.8</v>
      </c>
      <c r="Z2545">
        <v>83132799</v>
      </c>
      <c r="AA2545">
        <v>51.165691000000002</v>
      </c>
      <c r="AB2545">
        <v>10.451525999999999</v>
      </c>
    </row>
    <row r="2546" spans="1:28" hidden="1">
      <c r="A2546">
        <v>2540</v>
      </c>
      <c r="B2546">
        <v>1000</v>
      </c>
      <c r="C2546" t="s">
        <v>288</v>
      </c>
      <c r="D2546" t="s">
        <v>4699</v>
      </c>
      <c r="E2546">
        <v>40</v>
      </c>
      <c r="G2546" t="s">
        <v>148</v>
      </c>
      <c r="H2546" t="s">
        <v>2681</v>
      </c>
      <c r="I2546" t="s">
        <v>2682</v>
      </c>
      <c r="J2546" t="s">
        <v>288</v>
      </c>
      <c r="K2546" t="s">
        <v>148</v>
      </c>
      <c r="M2546" t="b">
        <v>0</v>
      </c>
      <c r="N2546" t="s">
        <v>419</v>
      </c>
      <c r="O2546" t="s">
        <v>33</v>
      </c>
      <c r="Q2546">
        <v>112.85</v>
      </c>
      <c r="R2546">
        <v>1.4</v>
      </c>
      <c r="S2546" t="s">
        <v>151</v>
      </c>
      <c r="T2546">
        <v>70.2</v>
      </c>
      <c r="V2546">
        <v>104</v>
      </c>
      <c r="W2546">
        <v>80.900000000000006</v>
      </c>
      <c r="X2546">
        <v>11.5</v>
      </c>
      <c r="Y2546">
        <v>48.8</v>
      </c>
      <c r="Z2546">
        <v>83132799</v>
      </c>
      <c r="AA2546">
        <v>51.165691000000002</v>
      </c>
      <c r="AB2546">
        <v>10.451525999999999</v>
      </c>
    </row>
    <row r="2547" spans="1:28" hidden="1">
      <c r="A2547">
        <v>2540</v>
      </c>
      <c r="B2547">
        <v>1000</v>
      </c>
      <c r="C2547" t="s">
        <v>288</v>
      </c>
      <c r="D2547" t="s">
        <v>4700</v>
      </c>
      <c r="E2547">
        <v>33</v>
      </c>
      <c r="G2547" t="s">
        <v>148</v>
      </c>
      <c r="H2547" t="s">
        <v>2681</v>
      </c>
      <c r="I2547" t="s">
        <v>2682</v>
      </c>
      <c r="J2547" t="s">
        <v>288</v>
      </c>
      <c r="K2547" t="s">
        <v>148</v>
      </c>
      <c r="M2547" t="b">
        <v>0</v>
      </c>
      <c r="N2547" t="s">
        <v>42</v>
      </c>
      <c r="O2547" t="s">
        <v>33</v>
      </c>
      <c r="Q2547">
        <v>112.85</v>
      </c>
      <c r="R2547">
        <v>1.4</v>
      </c>
      <c r="S2547" t="s">
        <v>151</v>
      </c>
      <c r="T2547">
        <v>70.2</v>
      </c>
      <c r="V2547">
        <v>104</v>
      </c>
      <c r="W2547">
        <v>80.900000000000006</v>
      </c>
      <c r="X2547">
        <v>11.5</v>
      </c>
      <c r="Y2547">
        <v>48.8</v>
      </c>
      <c r="Z2547">
        <v>83132799</v>
      </c>
      <c r="AA2547">
        <v>51.165691000000002</v>
      </c>
      <c r="AB2547">
        <v>10.451525999999999</v>
      </c>
    </row>
    <row r="2548" spans="1:28" hidden="1">
      <c r="A2548">
        <v>2540</v>
      </c>
      <c r="B2548">
        <v>1000</v>
      </c>
      <c r="C2548" t="s">
        <v>75</v>
      </c>
      <c r="D2548" t="s">
        <v>4701</v>
      </c>
      <c r="E2548">
        <v>98</v>
      </c>
      <c r="G2548" t="s">
        <v>3830</v>
      </c>
      <c r="H2548" t="s">
        <v>3845</v>
      </c>
      <c r="I2548" t="s">
        <v>4702</v>
      </c>
      <c r="J2548" t="s">
        <v>75</v>
      </c>
      <c r="K2548" t="s">
        <v>3830</v>
      </c>
      <c r="M2548" t="b">
        <v>0</v>
      </c>
      <c r="N2548" t="s">
        <v>42</v>
      </c>
      <c r="O2548" t="s">
        <v>88</v>
      </c>
      <c r="Q2548">
        <v>129.78</v>
      </c>
      <c r="R2548">
        <v>2.1</v>
      </c>
      <c r="S2548" t="s">
        <v>3846</v>
      </c>
      <c r="T2548">
        <v>70.7</v>
      </c>
      <c r="V2548">
        <v>106.9</v>
      </c>
      <c r="W2548">
        <v>76.5</v>
      </c>
      <c r="X2548">
        <v>14.3</v>
      </c>
      <c r="Y2548">
        <v>36.799999999999997</v>
      </c>
      <c r="Z2548">
        <v>32510453</v>
      </c>
      <c r="AA2548">
        <v>-9.1899669999999993</v>
      </c>
      <c r="AB2548">
        <v>-75.015152</v>
      </c>
    </row>
    <row r="2549" spans="1:28" hidden="1">
      <c r="A2549">
        <v>2540</v>
      </c>
      <c r="B2549">
        <v>1000</v>
      </c>
      <c r="C2549" t="s">
        <v>63</v>
      </c>
      <c r="D2549" t="s">
        <v>4703</v>
      </c>
      <c r="E2549">
        <v>76</v>
      </c>
      <c r="G2549" t="s">
        <v>38</v>
      </c>
      <c r="H2549" t="s">
        <v>257</v>
      </c>
      <c r="I2549" t="s">
        <v>4704</v>
      </c>
      <c r="J2549" t="s">
        <v>63</v>
      </c>
      <c r="K2549" t="s">
        <v>38</v>
      </c>
      <c r="M2549" t="b">
        <v>1</v>
      </c>
      <c r="N2549" t="s">
        <v>192</v>
      </c>
      <c r="O2549" t="s">
        <v>33</v>
      </c>
      <c r="P2549" t="s">
        <v>4028</v>
      </c>
      <c r="Q2549">
        <v>117.24</v>
      </c>
      <c r="R2549">
        <v>7.5</v>
      </c>
      <c r="S2549" t="s">
        <v>44</v>
      </c>
      <c r="T2549">
        <v>88.2</v>
      </c>
      <c r="V2549">
        <v>101.8</v>
      </c>
      <c r="W2549">
        <v>78.5</v>
      </c>
      <c r="X2549">
        <v>9.6</v>
      </c>
      <c r="Y2549">
        <v>36.6</v>
      </c>
      <c r="Z2549">
        <v>328239523</v>
      </c>
      <c r="AA2549">
        <v>37.090240000000001</v>
      </c>
      <c r="AB2549">
        <v>-95.712890999999999</v>
      </c>
    </row>
    <row r="2550" spans="1:28" hidden="1">
      <c r="A2550">
        <v>2540</v>
      </c>
      <c r="B2550">
        <v>1000</v>
      </c>
      <c r="C2550" t="s">
        <v>179</v>
      </c>
      <c r="D2550" t="s">
        <v>4705</v>
      </c>
      <c r="E2550">
        <v>70</v>
      </c>
      <c r="G2550" t="s">
        <v>198</v>
      </c>
      <c r="H2550" t="s">
        <v>199</v>
      </c>
      <c r="I2550" t="s">
        <v>4569</v>
      </c>
      <c r="J2550" t="s">
        <v>179</v>
      </c>
      <c r="K2550" t="s">
        <v>198</v>
      </c>
      <c r="M2550" t="b">
        <v>0</v>
      </c>
      <c r="N2550" t="s">
        <v>853</v>
      </c>
      <c r="O2550" t="s">
        <v>33</v>
      </c>
      <c r="Q2550">
        <v>105.48</v>
      </c>
      <c r="R2550">
        <v>0.5</v>
      </c>
      <c r="S2550" t="s">
        <v>201</v>
      </c>
      <c r="T2550">
        <v>63.2</v>
      </c>
      <c r="V2550">
        <v>98.8</v>
      </c>
      <c r="W2550">
        <v>84.2</v>
      </c>
      <c r="X2550">
        <v>11.9</v>
      </c>
      <c r="Y2550">
        <v>46.7</v>
      </c>
      <c r="Z2550">
        <v>126226568</v>
      </c>
      <c r="AA2550">
        <v>36.204824000000002</v>
      </c>
      <c r="AB2550">
        <v>138.25292400000001</v>
      </c>
    </row>
    <row r="2551" spans="1:28" hidden="1">
      <c r="A2551">
        <v>2540</v>
      </c>
      <c r="B2551">
        <v>1000</v>
      </c>
      <c r="C2551" t="s">
        <v>54</v>
      </c>
      <c r="D2551" t="s">
        <v>4706</v>
      </c>
      <c r="E2551">
        <v>75</v>
      </c>
      <c r="G2551" t="s">
        <v>28</v>
      </c>
      <c r="H2551" t="s">
        <v>29</v>
      </c>
      <c r="I2551" t="s">
        <v>4143</v>
      </c>
      <c r="J2551" t="s">
        <v>54</v>
      </c>
      <c r="K2551" t="s">
        <v>28</v>
      </c>
      <c r="M2551" t="b">
        <v>1</v>
      </c>
      <c r="N2551" t="s">
        <v>42</v>
      </c>
      <c r="O2551" t="s">
        <v>33</v>
      </c>
      <c r="Q2551">
        <v>110.05</v>
      </c>
      <c r="R2551">
        <v>1.1000000000000001</v>
      </c>
      <c r="S2551" t="s">
        <v>35</v>
      </c>
      <c r="T2551">
        <v>65.599999999999994</v>
      </c>
      <c r="V2551">
        <v>102.5</v>
      </c>
      <c r="W2551">
        <v>82.5</v>
      </c>
      <c r="X2551">
        <v>24.2</v>
      </c>
      <c r="Y2551">
        <v>60.7</v>
      </c>
      <c r="Z2551">
        <v>67059887</v>
      </c>
      <c r="AA2551">
        <v>46.227637999999999</v>
      </c>
      <c r="AB2551">
        <v>2.213749</v>
      </c>
    </row>
    <row r="2552" spans="1:28" hidden="1">
      <c r="A2552">
        <v>2540</v>
      </c>
      <c r="B2552">
        <v>1000</v>
      </c>
      <c r="C2552" t="s">
        <v>154</v>
      </c>
      <c r="D2552" t="s">
        <v>4707</v>
      </c>
      <c r="G2552" t="s">
        <v>810</v>
      </c>
      <c r="H2552" t="s">
        <v>811</v>
      </c>
      <c r="I2552" t="s">
        <v>3452</v>
      </c>
      <c r="J2552" t="s">
        <v>154</v>
      </c>
      <c r="K2552" t="s">
        <v>810</v>
      </c>
      <c r="M2552" t="b">
        <v>0</v>
      </c>
      <c r="N2552" t="s">
        <v>42</v>
      </c>
      <c r="O2552" t="s">
        <v>33</v>
      </c>
    </row>
    <row r="2553" spans="1:28" hidden="1">
      <c r="A2553">
        <v>2540</v>
      </c>
      <c r="B2553">
        <v>1000</v>
      </c>
      <c r="C2553" t="s">
        <v>217</v>
      </c>
      <c r="D2553" t="s">
        <v>4708</v>
      </c>
      <c r="E2553">
        <v>64</v>
      </c>
      <c r="G2553" t="s">
        <v>103</v>
      </c>
      <c r="H2553" t="s">
        <v>2646</v>
      </c>
      <c r="I2553" t="s">
        <v>217</v>
      </c>
      <c r="J2553" t="s">
        <v>217</v>
      </c>
      <c r="K2553" t="s">
        <v>103</v>
      </c>
      <c r="M2553" t="b">
        <v>1</v>
      </c>
      <c r="N2553" t="s">
        <v>42</v>
      </c>
      <c r="O2553" t="s">
        <v>33</v>
      </c>
      <c r="Q2553">
        <v>125.08</v>
      </c>
      <c r="R2553">
        <v>2.9</v>
      </c>
      <c r="S2553" t="s">
        <v>106</v>
      </c>
      <c r="T2553">
        <v>50.6</v>
      </c>
      <c r="V2553">
        <v>100.2</v>
      </c>
      <c r="W2553">
        <v>77</v>
      </c>
      <c r="X2553">
        <v>9.4</v>
      </c>
      <c r="Y2553">
        <v>59.2</v>
      </c>
      <c r="Z2553">
        <v>1397715000</v>
      </c>
      <c r="AA2553">
        <v>35.861660000000001</v>
      </c>
      <c r="AB2553">
        <v>104.195397</v>
      </c>
    </row>
    <row r="2554" spans="1:28" hidden="1">
      <c r="A2554">
        <v>2540</v>
      </c>
      <c r="B2554">
        <v>1000</v>
      </c>
      <c r="C2554" t="s">
        <v>63</v>
      </c>
      <c r="D2554" t="s">
        <v>4709</v>
      </c>
      <c r="E2554">
        <v>45</v>
      </c>
      <c r="G2554" t="s">
        <v>103</v>
      </c>
      <c r="H2554" t="s">
        <v>215</v>
      </c>
      <c r="I2554" t="s">
        <v>4710</v>
      </c>
      <c r="J2554" t="s">
        <v>63</v>
      </c>
      <c r="K2554" t="s">
        <v>103</v>
      </c>
      <c r="M2554" t="b">
        <v>1</v>
      </c>
      <c r="N2554" t="s">
        <v>853</v>
      </c>
      <c r="O2554" t="s">
        <v>33</v>
      </c>
      <c r="Q2554">
        <v>125.08</v>
      </c>
      <c r="R2554">
        <v>2.9</v>
      </c>
      <c r="S2554" t="s">
        <v>106</v>
      </c>
      <c r="T2554">
        <v>50.6</v>
      </c>
      <c r="V2554">
        <v>100.2</v>
      </c>
      <c r="W2554">
        <v>77</v>
      </c>
      <c r="X2554">
        <v>9.4</v>
      </c>
      <c r="Y2554">
        <v>59.2</v>
      </c>
      <c r="Z2554">
        <v>1397715000</v>
      </c>
      <c r="AA2554">
        <v>35.861660000000001</v>
      </c>
      <c r="AB2554">
        <v>104.195397</v>
      </c>
    </row>
    <row r="2555" spans="1:28" hidden="1">
      <c r="A2555">
        <v>2540</v>
      </c>
      <c r="B2555">
        <v>1000</v>
      </c>
      <c r="C2555" t="s">
        <v>217</v>
      </c>
      <c r="D2555" t="s">
        <v>4711</v>
      </c>
      <c r="E2555">
        <v>59</v>
      </c>
      <c r="G2555" t="s">
        <v>103</v>
      </c>
      <c r="H2555" t="s">
        <v>4111</v>
      </c>
      <c r="I2555" t="s">
        <v>4712</v>
      </c>
      <c r="J2555" t="s">
        <v>217</v>
      </c>
      <c r="K2555" t="s">
        <v>103</v>
      </c>
      <c r="M2555" t="b">
        <v>1</v>
      </c>
      <c r="N2555" t="s">
        <v>42</v>
      </c>
      <c r="O2555" t="s">
        <v>33</v>
      </c>
      <c r="Q2555">
        <v>125.08</v>
      </c>
      <c r="R2555">
        <v>2.9</v>
      </c>
      <c r="S2555" t="s">
        <v>106</v>
      </c>
      <c r="T2555">
        <v>50.6</v>
      </c>
      <c r="V2555">
        <v>100.2</v>
      </c>
      <c r="W2555">
        <v>77</v>
      </c>
      <c r="X2555">
        <v>9.4</v>
      </c>
      <c r="Y2555">
        <v>59.2</v>
      </c>
      <c r="Z2555">
        <v>1397715000</v>
      </c>
      <c r="AA2555">
        <v>35.861660000000001</v>
      </c>
      <c r="AB2555">
        <v>104.195397</v>
      </c>
    </row>
    <row r="2556" spans="1:28" hidden="1">
      <c r="A2556">
        <v>2540</v>
      </c>
      <c r="B2556">
        <v>1000</v>
      </c>
      <c r="C2556" t="s">
        <v>45</v>
      </c>
      <c r="D2556" t="s">
        <v>4713</v>
      </c>
      <c r="E2556">
        <v>49</v>
      </c>
      <c r="G2556" t="s">
        <v>38</v>
      </c>
      <c r="H2556" t="s">
        <v>403</v>
      </c>
      <c r="I2556" t="s">
        <v>245</v>
      </c>
      <c r="J2556" t="s">
        <v>45</v>
      </c>
      <c r="K2556" t="s">
        <v>103</v>
      </c>
      <c r="M2556" t="b">
        <v>1</v>
      </c>
      <c r="N2556" t="s">
        <v>42</v>
      </c>
      <c r="O2556" t="s">
        <v>33</v>
      </c>
      <c r="Q2556">
        <v>117.24</v>
      </c>
      <c r="R2556">
        <v>7.5</v>
      </c>
      <c r="S2556" t="s">
        <v>44</v>
      </c>
      <c r="T2556">
        <v>88.2</v>
      </c>
      <c r="V2556">
        <v>101.8</v>
      </c>
      <c r="W2556">
        <v>78.5</v>
      </c>
      <c r="X2556">
        <v>9.6</v>
      </c>
      <c r="Y2556">
        <v>36.6</v>
      </c>
      <c r="Z2556">
        <v>328239523</v>
      </c>
      <c r="AA2556">
        <v>37.090240000000001</v>
      </c>
      <c r="AB2556">
        <v>-95.712890999999999</v>
      </c>
    </row>
    <row r="2557" spans="1:28" hidden="1">
      <c r="A2557">
        <v>2540</v>
      </c>
      <c r="B2557">
        <v>1000</v>
      </c>
      <c r="C2557" t="s">
        <v>250</v>
      </c>
      <c r="D2557" t="s">
        <v>4714</v>
      </c>
      <c r="E2557">
        <v>55</v>
      </c>
      <c r="G2557" t="s">
        <v>103</v>
      </c>
      <c r="H2557" t="s">
        <v>195</v>
      </c>
      <c r="I2557" t="s">
        <v>196</v>
      </c>
      <c r="J2557" t="s">
        <v>250</v>
      </c>
      <c r="K2557" t="s">
        <v>103</v>
      </c>
      <c r="M2557" t="b">
        <v>1</v>
      </c>
      <c r="N2557" t="s">
        <v>42</v>
      </c>
      <c r="O2557" t="s">
        <v>33</v>
      </c>
      <c r="Q2557">
        <v>125.08</v>
      </c>
      <c r="R2557">
        <v>2.9</v>
      </c>
      <c r="S2557" t="s">
        <v>106</v>
      </c>
      <c r="T2557">
        <v>50.6</v>
      </c>
      <c r="V2557">
        <v>100.2</v>
      </c>
      <c r="W2557">
        <v>77</v>
      </c>
      <c r="X2557">
        <v>9.4</v>
      </c>
      <c r="Y2557">
        <v>59.2</v>
      </c>
      <c r="Z2557">
        <v>1397715000</v>
      </c>
      <c r="AA2557">
        <v>35.861660000000001</v>
      </c>
      <c r="AB2557">
        <v>104.195397</v>
      </c>
    </row>
    <row r="2558" spans="1:28" hidden="1">
      <c r="A2558">
        <v>2540</v>
      </c>
      <c r="B2558">
        <v>1000</v>
      </c>
      <c r="C2558" t="s">
        <v>101</v>
      </c>
      <c r="D2558" t="s">
        <v>4715</v>
      </c>
      <c r="E2558">
        <v>65</v>
      </c>
      <c r="G2558" t="s">
        <v>172</v>
      </c>
      <c r="H2558" t="s">
        <v>172</v>
      </c>
      <c r="I2558" t="s">
        <v>1875</v>
      </c>
      <c r="J2558" t="s">
        <v>101</v>
      </c>
      <c r="K2558" t="s">
        <v>172</v>
      </c>
      <c r="M2558" t="b">
        <v>1</v>
      </c>
      <c r="N2558" t="s">
        <v>42</v>
      </c>
      <c r="O2558" t="s">
        <v>33</v>
      </c>
    </row>
    <row r="2559" spans="1:28" hidden="1">
      <c r="A2559">
        <v>2540</v>
      </c>
      <c r="B2559">
        <v>1000</v>
      </c>
      <c r="C2559" t="s">
        <v>217</v>
      </c>
      <c r="D2559" t="s">
        <v>4716</v>
      </c>
      <c r="E2559">
        <v>72</v>
      </c>
      <c r="G2559" t="s">
        <v>77</v>
      </c>
      <c r="H2559" t="s">
        <v>4717</v>
      </c>
      <c r="I2559" t="s">
        <v>4718</v>
      </c>
      <c r="J2559" t="s">
        <v>217</v>
      </c>
      <c r="K2559" t="s">
        <v>77</v>
      </c>
      <c r="M2559" t="b">
        <v>1</v>
      </c>
      <c r="N2559" t="s">
        <v>853</v>
      </c>
      <c r="O2559" t="s">
        <v>33</v>
      </c>
      <c r="Q2559">
        <v>180.44</v>
      </c>
      <c r="R2559">
        <v>7.7</v>
      </c>
      <c r="S2559" t="s">
        <v>81</v>
      </c>
      <c r="T2559">
        <v>28.1</v>
      </c>
      <c r="V2559">
        <v>113</v>
      </c>
      <c r="W2559">
        <v>69.400000000000006</v>
      </c>
      <c r="X2559">
        <v>11.2</v>
      </c>
      <c r="Y2559">
        <v>49.7</v>
      </c>
      <c r="Z2559">
        <v>1366417754</v>
      </c>
      <c r="AA2559">
        <v>20.593684</v>
      </c>
      <c r="AB2559">
        <v>78.962879999999998</v>
      </c>
    </row>
    <row r="2560" spans="1:28" hidden="1">
      <c r="A2560">
        <v>2540</v>
      </c>
      <c r="B2560">
        <v>1000</v>
      </c>
      <c r="C2560" t="s">
        <v>221</v>
      </c>
      <c r="D2560" t="s">
        <v>4719</v>
      </c>
      <c r="E2560">
        <v>57</v>
      </c>
      <c r="G2560" t="s">
        <v>339</v>
      </c>
      <c r="H2560" t="s">
        <v>339</v>
      </c>
      <c r="I2560" t="s">
        <v>223</v>
      </c>
      <c r="J2560" t="s">
        <v>221</v>
      </c>
      <c r="K2560" t="s">
        <v>203</v>
      </c>
      <c r="M2560" t="b">
        <v>1</v>
      </c>
      <c r="N2560" t="s">
        <v>192</v>
      </c>
      <c r="O2560" t="s">
        <v>33</v>
      </c>
      <c r="S2560" t="s">
        <v>343</v>
      </c>
      <c r="Z2560">
        <v>38964</v>
      </c>
      <c r="AA2560">
        <v>43.738417599999998</v>
      </c>
      <c r="AB2560">
        <v>7.4246157999999998</v>
      </c>
    </row>
    <row r="2561" spans="1:28" hidden="1">
      <c r="A2561">
        <v>2540</v>
      </c>
      <c r="B2561">
        <v>1000</v>
      </c>
      <c r="C2561" t="s">
        <v>54</v>
      </c>
      <c r="D2561" t="s">
        <v>4720</v>
      </c>
      <c r="E2561">
        <v>64</v>
      </c>
      <c r="G2561" t="s">
        <v>172</v>
      </c>
      <c r="H2561" t="s">
        <v>172</v>
      </c>
      <c r="I2561" t="s">
        <v>4721</v>
      </c>
      <c r="J2561" t="s">
        <v>54</v>
      </c>
      <c r="K2561" t="s">
        <v>172</v>
      </c>
      <c r="M2561" t="b">
        <v>1</v>
      </c>
      <c r="N2561" t="s">
        <v>419</v>
      </c>
      <c r="O2561" t="s">
        <v>88</v>
      </c>
    </row>
    <row r="2562" spans="1:28" hidden="1">
      <c r="A2562">
        <v>2540</v>
      </c>
      <c r="B2562">
        <v>1000</v>
      </c>
      <c r="C2562" t="s">
        <v>75</v>
      </c>
      <c r="D2562" t="s">
        <v>4722</v>
      </c>
      <c r="E2562">
        <v>67</v>
      </c>
      <c r="G2562" t="s">
        <v>1267</v>
      </c>
      <c r="H2562" t="s">
        <v>1268</v>
      </c>
      <c r="I2562" t="s">
        <v>75</v>
      </c>
      <c r="J2562" t="s">
        <v>75</v>
      </c>
      <c r="K2562" t="s">
        <v>1267</v>
      </c>
      <c r="M2562" t="b">
        <v>1</v>
      </c>
      <c r="N2562" t="s">
        <v>42</v>
      </c>
      <c r="O2562" t="s">
        <v>33</v>
      </c>
      <c r="Q2562">
        <v>234.44</v>
      </c>
      <c r="R2562">
        <v>15.2</v>
      </c>
      <c r="S2562" t="s">
        <v>1270</v>
      </c>
      <c r="T2562">
        <v>23.9</v>
      </c>
      <c r="V2562">
        <v>93.2</v>
      </c>
      <c r="W2562">
        <v>77.400000000000006</v>
      </c>
      <c r="X2562">
        <v>17.899999999999999</v>
      </c>
      <c r="Y2562">
        <v>42.3</v>
      </c>
      <c r="Z2562">
        <v>83429615</v>
      </c>
      <c r="AA2562">
        <v>38.963745000000003</v>
      </c>
      <c r="AB2562">
        <v>35.243321999999999</v>
      </c>
    </row>
    <row r="2563" spans="1:28" hidden="1">
      <c r="A2563">
        <v>2540</v>
      </c>
      <c r="B2563">
        <v>1000</v>
      </c>
      <c r="C2563" t="s">
        <v>45</v>
      </c>
      <c r="D2563" t="s">
        <v>4723</v>
      </c>
      <c r="E2563">
        <v>56</v>
      </c>
      <c r="G2563" t="s">
        <v>38</v>
      </c>
      <c r="H2563" t="s">
        <v>4724</v>
      </c>
      <c r="I2563" t="s">
        <v>572</v>
      </c>
      <c r="J2563" t="s">
        <v>45</v>
      </c>
      <c r="K2563" t="s">
        <v>38</v>
      </c>
      <c r="M2563" t="b">
        <v>1</v>
      </c>
      <c r="N2563" t="s">
        <v>42</v>
      </c>
      <c r="O2563" t="s">
        <v>33</v>
      </c>
      <c r="Q2563">
        <v>117.24</v>
      </c>
      <c r="R2563">
        <v>7.5</v>
      </c>
      <c r="S2563" t="s">
        <v>44</v>
      </c>
      <c r="T2563">
        <v>88.2</v>
      </c>
      <c r="V2563">
        <v>101.8</v>
      </c>
      <c r="W2563">
        <v>78.5</v>
      </c>
      <c r="X2563">
        <v>9.6</v>
      </c>
      <c r="Y2563">
        <v>36.6</v>
      </c>
      <c r="Z2563">
        <v>328239523</v>
      </c>
      <c r="AA2563">
        <v>37.090240000000001</v>
      </c>
      <c r="AB2563">
        <v>-95.712890999999999</v>
      </c>
    </row>
    <row r="2564" spans="1:28" hidden="1">
      <c r="A2564">
        <v>2540</v>
      </c>
      <c r="B2564">
        <v>1000</v>
      </c>
      <c r="C2564" t="s">
        <v>221</v>
      </c>
      <c r="D2564" t="s">
        <v>4725</v>
      </c>
      <c r="E2564">
        <v>63</v>
      </c>
      <c r="G2564" t="s">
        <v>339</v>
      </c>
      <c r="H2564" t="s">
        <v>339</v>
      </c>
      <c r="I2564" t="s">
        <v>4726</v>
      </c>
      <c r="J2564" t="s">
        <v>221</v>
      </c>
      <c r="K2564" t="s">
        <v>203</v>
      </c>
      <c r="M2564" t="b">
        <v>1</v>
      </c>
      <c r="N2564" t="s">
        <v>42</v>
      </c>
      <c r="O2564" t="s">
        <v>33</v>
      </c>
      <c r="S2564" t="s">
        <v>343</v>
      </c>
      <c r="Z2564">
        <v>38964</v>
      </c>
      <c r="AA2564">
        <v>43.738417599999998</v>
      </c>
      <c r="AB2564">
        <v>7.4246157999999998</v>
      </c>
    </row>
    <row r="2565" spans="1:28" hidden="1">
      <c r="A2565">
        <v>2540</v>
      </c>
      <c r="B2565">
        <v>1000</v>
      </c>
      <c r="C2565" t="s">
        <v>45</v>
      </c>
      <c r="D2565" t="s">
        <v>4727</v>
      </c>
      <c r="E2565">
        <v>50</v>
      </c>
      <c r="G2565" t="s">
        <v>103</v>
      </c>
      <c r="H2565" t="s">
        <v>489</v>
      </c>
      <c r="I2565" t="s">
        <v>572</v>
      </c>
      <c r="J2565" t="s">
        <v>45</v>
      </c>
      <c r="K2565" t="s">
        <v>103</v>
      </c>
      <c r="M2565" t="b">
        <v>1</v>
      </c>
      <c r="N2565" t="s">
        <v>192</v>
      </c>
      <c r="O2565" t="s">
        <v>33</v>
      </c>
      <c r="Q2565">
        <v>125.08</v>
      </c>
      <c r="R2565">
        <v>2.9</v>
      </c>
      <c r="S2565" t="s">
        <v>106</v>
      </c>
      <c r="T2565">
        <v>50.6</v>
      </c>
      <c r="V2565">
        <v>100.2</v>
      </c>
      <c r="W2565">
        <v>77</v>
      </c>
      <c r="X2565">
        <v>9.4</v>
      </c>
      <c r="Y2565">
        <v>59.2</v>
      </c>
      <c r="Z2565">
        <v>1397715000</v>
      </c>
      <c r="AA2565">
        <v>35.861660000000001</v>
      </c>
      <c r="AB2565">
        <v>104.195397</v>
      </c>
    </row>
    <row r="2566" spans="1:28" hidden="1">
      <c r="A2566">
        <v>2540</v>
      </c>
      <c r="B2566">
        <v>1000</v>
      </c>
      <c r="C2566" t="s">
        <v>288</v>
      </c>
      <c r="D2566" t="s">
        <v>4728</v>
      </c>
      <c r="E2566">
        <v>58</v>
      </c>
      <c r="G2566" t="s">
        <v>103</v>
      </c>
      <c r="H2566" t="s">
        <v>143</v>
      </c>
      <c r="I2566" t="s">
        <v>418</v>
      </c>
      <c r="J2566" t="s">
        <v>288</v>
      </c>
      <c r="K2566" t="s">
        <v>103</v>
      </c>
      <c r="M2566" t="b">
        <v>1</v>
      </c>
      <c r="N2566" t="s">
        <v>42</v>
      </c>
      <c r="O2566" t="s">
        <v>88</v>
      </c>
      <c r="Q2566">
        <v>125.08</v>
      </c>
      <c r="R2566">
        <v>2.9</v>
      </c>
      <c r="S2566" t="s">
        <v>106</v>
      </c>
      <c r="T2566">
        <v>50.6</v>
      </c>
      <c r="V2566">
        <v>100.2</v>
      </c>
      <c r="W2566">
        <v>77</v>
      </c>
      <c r="X2566">
        <v>9.4</v>
      </c>
      <c r="Y2566">
        <v>59.2</v>
      </c>
      <c r="Z2566">
        <v>1397715000</v>
      </c>
      <c r="AA2566">
        <v>35.861660000000001</v>
      </c>
      <c r="AB2566">
        <v>104.195397</v>
      </c>
    </row>
    <row r="2567" spans="1:28" hidden="1">
      <c r="A2567">
        <v>2540</v>
      </c>
      <c r="B2567">
        <v>1000</v>
      </c>
      <c r="C2567" t="s">
        <v>288</v>
      </c>
      <c r="D2567" t="s">
        <v>4729</v>
      </c>
      <c r="E2567">
        <v>68</v>
      </c>
      <c r="G2567" t="s">
        <v>887</v>
      </c>
      <c r="H2567" t="s">
        <v>4730</v>
      </c>
      <c r="I2567" t="s">
        <v>440</v>
      </c>
      <c r="J2567" t="s">
        <v>288</v>
      </c>
      <c r="K2567" t="s">
        <v>887</v>
      </c>
      <c r="M2567" t="b">
        <v>0</v>
      </c>
      <c r="N2567" t="s">
        <v>42</v>
      </c>
      <c r="O2567" t="s">
        <v>88</v>
      </c>
      <c r="Q2567">
        <v>110.35</v>
      </c>
      <c r="R2567">
        <v>0.8</v>
      </c>
      <c r="S2567" t="s">
        <v>889</v>
      </c>
      <c r="T2567">
        <v>80.599999999999994</v>
      </c>
      <c r="V2567">
        <v>101.3</v>
      </c>
      <c r="W2567">
        <v>81</v>
      </c>
      <c r="X2567">
        <v>32.4</v>
      </c>
      <c r="Y2567">
        <v>23.8</v>
      </c>
      <c r="Z2567">
        <v>5818553</v>
      </c>
      <c r="AA2567">
        <v>56.263919999999999</v>
      </c>
      <c r="AB2567">
        <v>9.5017849999999999</v>
      </c>
    </row>
    <row r="2568" spans="1:28">
      <c r="A2568">
        <v>2540</v>
      </c>
      <c r="B2568">
        <v>1000</v>
      </c>
      <c r="C2568" t="s">
        <v>26</v>
      </c>
      <c r="D2568" t="s">
        <v>4731</v>
      </c>
      <c r="E2568">
        <v>66</v>
      </c>
      <c r="F2568" t="str">
        <f>IF(E2568&gt;=90,"90-100",IF(E2568&gt;=80,"80-90",IF(E2568&gt;=70,"70-80",IF(E2568&gt;=60,"60-70",IF(E2568&gt;=50,"50-60",IF(E2568&gt;=40,"40-50",IF(E2568&gt;=30,"30-40","20-30")))))))</f>
        <v>60-70</v>
      </c>
      <c r="G2568" t="s">
        <v>38</v>
      </c>
      <c r="H2568" t="s">
        <v>652</v>
      </c>
      <c r="I2568" t="s">
        <v>2688</v>
      </c>
      <c r="J2568" t="s">
        <v>26</v>
      </c>
      <c r="K2568" t="s">
        <v>38</v>
      </c>
      <c r="L2568" t="s">
        <v>2689</v>
      </c>
      <c r="M2568" t="b">
        <v>0</v>
      </c>
      <c r="N2568" t="s">
        <v>42</v>
      </c>
      <c r="O2568" t="s">
        <v>4867</v>
      </c>
      <c r="P2568" t="s">
        <v>121</v>
      </c>
      <c r="Q2568">
        <v>117.24</v>
      </c>
      <c r="R2568">
        <v>7.5</v>
      </c>
      <c r="S2568" t="s">
        <v>44</v>
      </c>
      <c r="T2568">
        <v>88.2</v>
      </c>
      <c r="U2568" t="str">
        <f>IF(T2568&gt;=100,"above 100",IF(T2568&gt;=80,"80-100",IF(T2568&gt;=60,"60-80",IF(T2568&gt;=40,"40-60",IF(T2568&gt;=20,"20-60","0-20")))))</f>
        <v>80-100</v>
      </c>
      <c r="V2568">
        <v>101.8</v>
      </c>
      <c r="W2568">
        <v>78.5</v>
      </c>
      <c r="X2568">
        <v>9.6</v>
      </c>
      <c r="Y2568">
        <v>36.6</v>
      </c>
      <c r="Z2568">
        <v>328239523</v>
      </c>
      <c r="AA2568">
        <v>37.090240000000001</v>
      </c>
      <c r="AB2568">
        <v>-95.712890999999999</v>
      </c>
    </row>
    <row r="2569" spans="1:28" hidden="1">
      <c r="A2569">
        <v>2540</v>
      </c>
      <c r="B2569">
        <v>1000</v>
      </c>
      <c r="C2569" t="s">
        <v>217</v>
      </c>
      <c r="D2569" t="s">
        <v>4732</v>
      </c>
      <c r="E2569">
        <v>56</v>
      </c>
      <c r="G2569" t="s">
        <v>103</v>
      </c>
      <c r="H2569" t="s">
        <v>176</v>
      </c>
      <c r="I2569" t="s">
        <v>4733</v>
      </c>
      <c r="J2569" t="s">
        <v>217</v>
      </c>
      <c r="K2569" t="s">
        <v>103</v>
      </c>
      <c r="M2569" t="b">
        <v>1</v>
      </c>
      <c r="N2569" t="s">
        <v>42</v>
      </c>
      <c r="O2569" t="s">
        <v>33</v>
      </c>
      <c r="Q2569">
        <v>125.08</v>
      </c>
      <c r="R2569">
        <v>2.9</v>
      </c>
      <c r="S2569" t="s">
        <v>106</v>
      </c>
      <c r="T2569">
        <v>50.6</v>
      </c>
      <c r="V2569">
        <v>100.2</v>
      </c>
      <c r="W2569">
        <v>77</v>
      </c>
      <c r="X2569">
        <v>9.4</v>
      </c>
      <c r="Y2569">
        <v>59.2</v>
      </c>
      <c r="Z2569">
        <v>1397715000</v>
      </c>
      <c r="AA2569">
        <v>35.861660000000001</v>
      </c>
      <c r="AB2569">
        <v>104.195397</v>
      </c>
    </row>
    <row r="2570" spans="1:28" hidden="1">
      <c r="A2570">
        <v>2540</v>
      </c>
      <c r="B2570">
        <v>1000</v>
      </c>
      <c r="C2570" t="s">
        <v>221</v>
      </c>
      <c r="D2570" t="s">
        <v>4734</v>
      </c>
      <c r="E2570">
        <v>60</v>
      </c>
      <c r="G2570" t="s">
        <v>103</v>
      </c>
      <c r="H2570" t="s">
        <v>1090</v>
      </c>
      <c r="I2570" t="s">
        <v>223</v>
      </c>
      <c r="J2570" t="s">
        <v>221</v>
      </c>
      <c r="K2570" t="s">
        <v>103</v>
      </c>
      <c r="M2570" t="b">
        <v>1</v>
      </c>
      <c r="N2570" t="s">
        <v>42</v>
      </c>
      <c r="O2570" t="s">
        <v>33</v>
      </c>
      <c r="Q2570">
        <v>125.08</v>
      </c>
      <c r="R2570">
        <v>2.9</v>
      </c>
      <c r="S2570" t="s">
        <v>106</v>
      </c>
      <c r="T2570">
        <v>50.6</v>
      </c>
      <c r="V2570">
        <v>100.2</v>
      </c>
      <c r="W2570">
        <v>77</v>
      </c>
      <c r="X2570">
        <v>9.4</v>
      </c>
      <c r="Y2570">
        <v>59.2</v>
      </c>
      <c r="Z2570">
        <v>1397715000</v>
      </c>
      <c r="AA2570">
        <v>35.861660000000001</v>
      </c>
      <c r="AB2570">
        <v>104.195397</v>
      </c>
    </row>
    <row r="2571" spans="1:28" hidden="1">
      <c r="A2571">
        <v>2540</v>
      </c>
      <c r="B2571">
        <v>1000</v>
      </c>
      <c r="C2571" t="s">
        <v>54</v>
      </c>
      <c r="D2571" t="s">
        <v>4735</v>
      </c>
      <c r="E2571">
        <v>79</v>
      </c>
      <c r="G2571" t="s">
        <v>397</v>
      </c>
      <c r="H2571" t="s">
        <v>398</v>
      </c>
      <c r="I2571" t="s">
        <v>1466</v>
      </c>
      <c r="J2571" t="s">
        <v>54</v>
      </c>
      <c r="K2571" t="s">
        <v>397</v>
      </c>
      <c r="M2571" t="b">
        <v>1</v>
      </c>
      <c r="N2571" t="s">
        <v>42</v>
      </c>
      <c r="O2571" t="s">
        <v>33</v>
      </c>
      <c r="Q2571">
        <v>110.51</v>
      </c>
      <c r="R2571">
        <v>1.8</v>
      </c>
      <c r="S2571" t="s">
        <v>401</v>
      </c>
      <c r="T2571">
        <v>67</v>
      </c>
      <c r="V2571">
        <v>126.6</v>
      </c>
      <c r="W2571">
        <v>82.5</v>
      </c>
      <c r="X2571">
        <v>27.9</v>
      </c>
      <c r="Y2571">
        <v>49.1</v>
      </c>
      <c r="Z2571">
        <v>10285453</v>
      </c>
      <c r="AA2571">
        <v>60.128160999999999</v>
      </c>
      <c r="AB2571">
        <v>18.643501000000001</v>
      </c>
    </row>
    <row r="2572" spans="1:28" hidden="1">
      <c r="A2572">
        <v>2540</v>
      </c>
      <c r="B2572">
        <v>1000</v>
      </c>
      <c r="C2572" t="s">
        <v>308</v>
      </c>
      <c r="D2572" t="s">
        <v>4736</v>
      </c>
      <c r="E2572">
        <v>52</v>
      </c>
      <c r="G2572" t="s">
        <v>339</v>
      </c>
      <c r="H2572" t="s">
        <v>340</v>
      </c>
      <c r="I2572" t="s">
        <v>4559</v>
      </c>
      <c r="J2572" t="s">
        <v>308</v>
      </c>
      <c r="K2572" t="s">
        <v>467</v>
      </c>
      <c r="M2572" t="b">
        <v>0</v>
      </c>
      <c r="N2572" t="s">
        <v>853</v>
      </c>
      <c r="O2572" t="s">
        <v>88</v>
      </c>
      <c r="S2572" t="s">
        <v>343</v>
      </c>
      <c r="Z2572">
        <v>38964</v>
      </c>
      <c r="AA2572">
        <v>43.738417599999998</v>
      </c>
      <c r="AB2572">
        <v>7.4246157999999998</v>
      </c>
    </row>
    <row r="2573" spans="1:28" hidden="1">
      <c r="A2573">
        <v>2540</v>
      </c>
      <c r="B2573">
        <v>1000</v>
      </c>
      <c r="C2573" t="s">
        <v>308</v>
      </c>
      <c r="D2573" t="s">
        <v>4737</v>
      </c>
      <c r="E2573">
        <v>56</v>
      </c>
      <c r="G2573" t="s">
        <v>339</v>
      </c>
      <c r="H2573" t="s">
        <v>340</v>
      </c>
      <c r="I2573" t="s">
        <v>4559</v>
      </c>
      <c r="J2573" t="s">
        <v>308</v>
      </c>
      <c r="K2573" t="s">
        <v>467</v>
      </c>
      <c r="M2573" t="b">
        <v>0</v>
      </c>
      <c r="N2573" t="s">
        <v>42</v>
      </c>
      <c r="O2573" t="s">
        <v>33</v>
      </c>
      <c r="S2573" t="s">
        <v>343</v>
      </c>
      <c r="Z2573">
        <v>38964</v>
      </c>
      <c r="AA2573">
        <v>43.738417599999998</v>
      </c>
      <c r="AB2573">
        <v>7.4246157999999998</v>
      </c>
    </row>
    <row r="2574" spans="1:28" hidden="1">
      <c r="A2574">
        <v>2540</v>
      </c>
      <c r="B2574">
        <v>1000</v>
      </c>
      <c r="C2574" t="s">
        <v>217</v>
      </c>
      <c r="D2574" t="s">
        <v>4738</v>
      </c>
      <c r="E2574">
        <v>55</v>
      </c>
      <c r="G2574" t="s">
        <v>103</v>
      </c>
      <c r="H2574" t="s">
        <v>1831</v>
      </c>
      <c r="I2574" t="s">
        <v>2735</v>
      </c>
      <c r="J2574" t="s">
        <v>217</v>
      </c>
      <c r="K2574" t="s">
        <v>103</v>
      </c>
      <c r="M2574" t="b">
        <v>1</v>
      </c>
      <c r="N2574" t="s">
        <v>42</v>
      </c>
      <c r="O2574" t="s">
        <v>88</v>
      </c>
      <c r="Q2574">
        <v>125.08</v>
      </c>
      <c r="R2574">
        <v>2.9</v>
      </c>
      <c r="S2574" t="s">
        <v>106</v>
      </c>
      <c r="T2574">
        <v>50.6</v>
      </c>
      <c r="V2574">
        <v>100.2</v>
      </c>
      <c r="W2574">
        <v>77</v>
      </c>
      <c r="X2574">
        <v>9.4</v>
      </c>
      <c r="Y2574">
        <v>59.2</v>
      </c>
      <c r="Z2574">
        <v>1397715000</v>
      </c>
      <c r="AA2574">
        <v>35.861660000000001</v>
      </c>
      <c r="AB2574">
        <v>104.195397</v>
      </c>
    </row>
    <row r="2575" spans="1:28" hidden="1">
      <c r="A2575">
        <v>2540</v>
      </c>
      <c r="B2575">
        <v>1000</v>
      </c>
      <c r="C2575" t="s">
        <v>217</v>
      </c>
      <c r="D2575" t="s">
        <v>4739</v>
      </c>
      <c r="E2575">
        <v>66</v>
      </c>
      <c r="G2575" t="s">
        <v>103</v>
      </c>
      <c r="H2575" t="s">
        <v>521</v>
      </c>
      <c r="I2575" t="s">
        <v>217</v>
      </c>
      <c r="J2575" t="s">
        <v>217</v>
      </c>
      <c r="K2575" t="s">
        <v>103</v>
      </c>
      <c r="M2575" t="b">
        <v>1</v>
      </c>
      <c r="N2575" t="s">
        <v>42</v>
      </c>
      <c r="O2575" t="s">
        <v>33</v>
      </c>
      <c r="Q2575">
        <v>125.08</v>
      </c>
      <c r="R2575">
        <v>2.9</v>
      </c>
      <c r="S2575" t="s">
        <v>106</v>
      </c>
      <c r="T2575">
        <v>50.6</v>
      </c>
      <c r="V2575">
        <v>100.2</v>
      </c>
      <c r="W2575">
        <v>77</v>
      </c>
      <c r="X2575">
        <v>9.4</v>
      </c>
      <c r="Y2575">
        <v>59.2</v>
      </c>
      <c r="Z2575">
        <v>1397715000</v>
      </c>
      <c r="AA2575">
        <v>35.861660000000001</v>
      </c>
      <c r="AB2575">
        <v>104.195397</v>
      </c>
    </row>
    <row r="2576" spans="1:28" hidden="1">
      <c r="A2576">
        <v>2540</v>
      </c>
      <c r="B2576">
        <v>1000</v>
      </c>
      <c r="C2576" t="s">
        <v>250</v>
      </c>
      <c r="D2576" t="s">
        <v>4740</v>
      </c>
      <c r="E2576">
        <v>79</v>
      </c>
      <c r="G2576" t="s">
        <v>252</v>
      </c>
      <c r="H2576" t="s">
        <v>253</v>
      </c>
      <c r="I2576" t="s">
        <v>254</v>
      </c>
      <c r="J2576" t="s">
        <v>250</v>
      </c>
      <c r="K2576" t="s">
        <v>252</v>
      </c>
      <c r="M2576" t="b">
        <v>0</v>
      </c>
      <c r="N2576" t="s">
        <v>192</v>
      </c>
      <c r="O2576" t="s">
        <v>88</v>
      </c>
      <c r="Q2576">
        <v>151.18</v>
      </c>
      <c r="R2576">
        <v>3</v>
      </c>
      <c r="S2576" t="s">
        <v>255</v>
      </c>
      <c r="T2576">
        <v>36.299999999999997</v>
      </c>
      <c r="V2576">
        <v>106.4</v>
      </c>
      <c r="W2576">
        <v>71.5</v>
      </c>
      <c r="X2576">
        <v>10.199999999999999</v>
      </c>
      <c r="Y2576">
        <v>30.1</v>
      </c>
      <c r="Z2576">
        <v>270203917</v>
      </c>
      <c r="AA2576">
        <v>-0.78927499999999995</v>
      </c>
      <c r="AB2576">
        <v>113.92132700000001</v>
      </c>
    </row>
    <row r="2577" spans="1:28" hidden="1">
      <c r="A2577">
        <v>2540</v>
      </c>
      <c r="B2577">
        <v>1000</v>
      </c>
      <c r="C2577" t="s">
        <v>45</v>
      </c>
      <c r="D2577" t="s">
        <v>4741</v>
      </c>
      <c r="E2577">
        <v>46</v>
      </c>
      <c r="G2577" t="s">
        <v>103</v>
      </c>
      <c r="H2577" t="s">
        <v>143</v>
      </c>
      <c r="I2577" t="s">
        <v>617</v>
      </c>
      <c r="J2577" t="s">
        <v>45</v>
      </c>
      <c r="K2577" t="s">
        <v>103</v>
      </c>
      <c r="M2577" t="b">
        <v>1</v>
      </c>
      <c r="N2577" t="s">
        <v>42</v>
      </c>
      <c r="O2577" t="s">
        <v>33</v>
      </c>
      <c r="Q2577">
        <v>125.08</v>
      </c>
      <c r="R2577">
        <v>2.9</v>
      </c>
      <c r="S2577" t="s">
        <v>106</v>
      </c>
      <c r="T2577">
        <v>50.6</v>
      </c>
      <c r="V2577">
        <v>100.2</v>
      </c>
      <c r="W2577">
        <v>77</v>
      </c>
      <c r="X2577">
        <v>9.4</v>
      </c>
      <c r="Y2577">
        <v>59.2</v>
      </c>
      <c r="Z2577">
        <v>1397715000</v>
      </c>
      <c r="AA2577">
        <v>35.861660000000001</v>
      </c>
      <c r="AB2577">
        <v>104.195397</v>
      </c>
    </row>
    <row r="2578" spans="1:28">
      <c r="A2578">
        <v>2540</v>
      </c>
      <c r="B2578">
        <v>1000</v>
      </c>
      <c r="C2578" t="s">
        <v>26</v>
      </c>
      <c r="D2578" t="s">
        <v>4742</v>
      </c>
      <c r="E2578">
        <v>70</v>
      </c>
      <c r="F2578" t="s">
        <v>4845</v>
      </c>
      <c r="G2578" t="s">
        <v>611</v>
      </c>
      <c r="H2578" t="s">
        <v>612</v>
      </c>
      <c r="I2578" t="s">
        <v>2279</v>
      </c>
      <c r="J2578" t="s">
        <v>26</v>
      </c>
      <c r="K2578" t="s">
        <v>611</v>
      </c>
      <c r="L2578" t="s">
        <v>4743</v>
      </c>
      <c r="M2578" t="b">
        <v>0</v>
      </c>
      <c r="N2578" t="s">
        <v>42</v>
      </c>
      <c r="O2578" t="s">
        <v>33</v>
      </c>
      <c r="Q2578">
        <v>115.16</v>
      </c>
      <c r="R2578">
        <v>0.4</v>
      </c>
      <c r="S2578" t="s">
        <v>615</v>
      </c>
      <c r="T2578">
        <v>94.3</v>
      </c>
      <c r="U2578" t="str">
        <f>IF(T2578&gt;=100,"above 100",IF(T2578&gt;=80,"80-100",IF(T2578&gt;=60,"60-80",IF(T2578&gt;=40,"40-60",IF(T2578&gt;=20,"20-60","0-20")))))</f>
        <v>80-100</v>
      </c>
      <c r="V2578">
        <v>98.1</v>
      </c>
      <c r="W2578">
        <v>82.6</v>
      </c>
      <c r="X2578">
        <v>15.6</v>
      </c>
      <c r="Y2578">
        <v>33.200000000000003</v>
      </c>
      <c r="Z2578">
        <v>51709098</v>
      </c>
      <c r="AA2578">
        <v>35.907756999999997</v>
      </c>
      <c r="AB2578">
        <v>127.76692199999999</v>
      </c>
    </row>
    <row r="2579" spans="1:28" hidden="1">
      <c r="A2579">
        <v>2540</v>
      </c>
      <c r="B2579">
        <v>1000</v>
      </c>
      <c r="C2579" t="s">
        <v>288</v>
      </c>
      <c r="D2579" t="s">
        <v>4744</v>
      </c>
      <c r="E2579">
        <v>59</v>
      </c>
      <c r="G2579" t="s">
        <v>103</v>
      </c>
      <c r="H2579" t="s">
        <v>215</v>
      </c>
      <c r="I2579" t="s">
        <v>4745</v>
      </c>
      <c r="J2579" t="s">
        <v>288</v>
      </c>
      <c r="K2579" t="s">
        <v>103</v>
      </c>
      <c r="M2579" t="b">
        <v>1</v>
      </c>
      <c r="N2579" t="s">
        <v>853</v>
      </c>
      <c r="O2579" t="s">
        <v>33</v>
      </c>
      <c r="Q2579">
        <v>125.08</v>
      </c>
      <c r="R2579">
        <v>2.9</v>
      </c>
      <c r="S2579" t="s">
        <v>106</v>
      </c>
      <c r="T2579">
        <v>50.6</v>
      </c>
      <c r="V2579">
        <v>100.2</v>
      </c>
      <c r="W2579">
        <v>77</v>
      </c>
      <c r="X2579">
        <v>9.4</v>
      </c>
      <c r="Y2579">
        <v>59.2</v>
      </c>
      <c r="Z2579">
        <v>1397715000</v>
      </c>
      <c r="AA2579">
        <v>35.861660000000001</v>
      </c>
      <c r="AB2579">
        <v>104.195397</v>
      </c>
    </row>
    <row r="2580" spans="1:28" hidden="1">
      <c r="A2580">
        <v>2540</v>
      </c>
      <c r="B2580">
        <v>1000</v>
      </c>
      <c r="C2580" t="s">
        <v>45</v>
      </c>
      <c r="D2580" t="s">
        <v>4746</v>
      </c>
      <c r="E2580">
        <v>45</v>
      </c>
      <c r="G2580" t="s">
        <v>164</v>
      </c>
      <c r="H2580" t="s">
        <v>1761</v>
      </c>
      <c r="I2580" t="s">
        <v>4747</v>
      </c>
      <c r="J2580" t="s">
        <v>45</v>
      </c>
      <c r="K2580" t="s">
        <v>164</v>
      </c>
      <c r="M2580" t="b">
        <v>1</v>
      </c>
      <c r="N2580" t="s">
        <v>192</v>
      </c>
      <c r="O2580" t="s">
        <v>33</v>
      </c>
      <c r="Q2580">
        <v>110.62</v>
      </c>
      <c r="R2580">
        <v>0.6</v>
      </c>
      <c r="S2580" t="s">
        <v>539</v>
      </c>
      <c r="T2580">
        <v>61.9</v>
      </c>
      <c r="V2580">
        <v>101.9</v>
      </c>
      <c r="W2580">
        <v>82.9</v>
      </c>
      <c r="X2580">
        <v>24.3</v>
      </c>
      <c r="Y2580">
        <v>59.1</v>
      </c>
      <c r="Z2580">
        <v>60297396</v>
      </c>
      <c r="AA2580">
        <v>41.871940000000002</v>
      </c>
      <c r="AB2580">
        <v>12.56738</v>
      </c>
    </row>
    <row r="2581" spans="1:28" hidden="1">
      <c r="A2581">
        <v>2540</v>
      </c>
      <c r="B2581">
        <v>1000</v>
      </c>
      <c r="C2581" t="s">
        <v>54</v>
      </c>
      <c r="D2581" t="s">
        <v>4748</v>
      </c>
      <c r="E2581">
        <v>68</v>
      </c>
      <c r="G2581" t="s">
        <v>148</v>
      </c>
      <c r="H2581" t="s">
        <v>1903</v>
      </c>
      <c r="I2581" t="s">
        <v>231</v>
      </c>
      <c r="J2581" t="s">
        <v>54</v>
      </c>
      <c r="K2581" t="s">
        <v>148</v>
      </c>
      <c r="M2581" t="b">
        <v>1</v>
      </c>
      <c r="N2581" t="s">
        <v>42</v>
      </c>
      <c r="O2581" t="s">
        <v>88</v>
      </c>
      <c r="Q2581">
        <v>112.85</v>
      </c>
      <c r="R2581">
        <v>1.4</v>
      </c>
      <c r="S2581" t="s">
        <v>151</v>
      </c>
      <c r="T2581">
        <v>70.2</v>
      </c>
      <c r="V2581">
        <v>104</v>
      </c>
      <c r="W2581">
        <v>80.900000000000006</v>
      </c>
      <c r="X2581">
        <v>11.5</v>
      </c>
      <c r="Y2581">
        <v>48.8</v>
      </c>
      <c r="Z2581">
        <v>83132799</v>
      </c>
      <c r="AA2581">
        <v>51.165691000000002</v>
      </c>
      <c r="AB2581">
        <v>10.451525999999999</v>
      </c>
    </row>
    <row r="2582" spans="1:28" hidden="1">
      <c r="A2582">
        <v>2540</v>
      </c>
      <c r="B2582">
        <v>1000</v>
      </c>
      <c r="C2582" t="s">
        <v>217</v>
      </c>
      <c r="D2582" t="s">
        <v>4749</v>
      </c>
      <c r="E2582">
        <v>70</v>
      </c>
      <c r="G2582" t="s">
        <v>77</v>
      </c>
      <c r="H2582" t="s">
        <v>78</v>
      </c>
      <c r="I2582" t="s">
        <v>4750</v>
      </c>
      <c r="J2582" t="s">
        <v>217</v>
      </c>
      <c r="K2582" t="s">
        <v>77</v>
      </c>
      <c r="M2582" t="b">
        <v>1</v>
      </c>
      <c r="N2582" t="s">
        <v>192</v>
      </c>
      <c r="O2582" t="s">
        <v>33</v>
      </c>
      <c r="Q2582">
        <v>180.44</v>
      </c>
      <c r="R2582">
        <v>7.7</v>
      </c>
      <c r="S2582" t="s">
        <v>81</v>
      </c>
      <c r="T2582">
        <v>28.1</v>
      </c>
      <c r="V2582">
        <v>113</v>
      </c>
      <c r="W2582">
        <v>69.400000000000006</v>
      </c>
      <c r="X2582">
        <v>11.2</v>
      </c>
      <c r="Y2582">
        <v>49.7</v>
      </c>
      <c r="Z2582">
        <v>1366417754</v>
      </c>
      <c r="AA2582">
        <v>20.593684</v>
      </c>
      <c r="AB2582">
        <v>78.962879999999998</v>
      </c>
    </row>
    <row r="2583" spans="1:28">
      <c r="A2583">
        <v>2540</v>
      </c>
      <c r="B2583">
        <v>1000</v>
      </c>
      <c r="C2583" t="s">
        <v>478</v>
      </c>
      <c r="D2583" t="s">
        <v>4751</v>
      </c>
      <c r="E2583">
        <v>38</v>
      </c>
      <c r="F2583" t="str">
        <f>IF(E2583&gt;=90,"90-100",IF(E2583&gt;=80,"80-90",IF(E2583&gt;=70,"70-80",IF(E2583&gt;=60,"60-70",IF(E2583&gt;=50,"50-60",IF(E2583&gt;=40,"40-50",IF(E2583&gt;=30,"30-40","20-30")))))))</f>
        <v>30-40</v>
      </c>
      <c r="G2583" t="s">
        <v>38</v>
      </c>
      <c r="H2583" t="s">
        <v>635</v>
      </c>
      <c r="I2583" t="s">
        <v>4752</v>
      </c>
      <c r="J2583" t="s">
        <v>478</v>
      </c>
      <c r="K2583" t="s">
        <v>38</v>
      </c>
      <c r="L2583" t="s">
        <v>4753</v>
      </c>
      <c r="M2583" t="b">
        <v>1</v>
      </c>
      <c r="N2583" t="s">
        <v>192</v>
      </c>
      <c r="O2583" t="s">
        <v>4867</v>
      </c>
      <c r="P2583" t="s">
        <v>2196</v>
      </c>
      <c r="Q2583">
        <v>117.24</v>
      </c>
      <c r="R2583">
        <v>7.5</v>
      </c>
      <c r="S2583" t="s">
        <v>44</v>
      </c>
      <c r="T2583">
        <v>88.2</v>
      </c>
      <c r="U2583" t="str">
        <f>IF(T2583&gt;=100,"above 100",IF(T2583&gt;=80,"80-100",IF(T2583&gt;=60,"60-80",IF(T2583&gt;=40,"40-60",IF(T2583&gt;=20,"20-60","0-20")))))</f>
        <v>80-100</v>
      </c>
      <c r="V2583">
        <v>101.8</v>
      </c>
      <c r="W2583">
        <v>78.5</v>
      </c>
      <c r="X2583">
        <v>9.6</v>
      </c>
      <c r="Y2583">
        <v>36.6</v>
      </c>
      <c r="Z2583">
        <v>328239523</v>
      </c>
      <c r="AA2583">
        <v>37.090240000000001</v>
      </c>
      <c r="AB2583">
        <v>-95.712890999999999</v>
      </c>
    </row>
    <row r="2584" spans="1:28" hidden="1">
      <c r="A2584">
        <v>2540</v>
      </c>
      <c r="B2584">
        <v>1000</v>
      </c>
      <c r="C2584" t="s">
        <v>26</v>
      </c>
      <c r="D2584" t="s">
        <v>4754</v>
      </c>
      <c r="E2584">
        <v>56</v>
      </c>
      <c r="G2584" t="s">
        <v>833</v>
      </c>
      <c r="H2584" t="s">
        <v>834</v>
      </c>
      <c r="I2584" t="s">
        <v>4755</v>
      </c>
      <c r="J2584" t="s">
        <v>26</v>
      </c>
      <c r="K2584" t="s">
        <v>833</v>
      </c>
      <c r="M2584" t="b">
        <v>0</v>
      </c>
      <c r="N2584" t="s">
        <v>42</v>
      </c>
      <c r="O2584" t="s">
        <v>33</v>
      </c>
      <c r="Q2584">
        <v>120.27</v>
      </c>
      <c r="R2584">
        <v>2.2000000000000002</v>
      </c>
      <c r="S2584" t="s">
        <v>835</v>
      </c>
      <c r="T2584">
        <v>82</v>
      </c>
      <c r="V2584">
        <v>100.3</v>
      </c>
      <c r="W2584">
        <v>82.8</v>
      </c>
      <c r="X2584">
        <v>23.9</v>
      </c>
      <c r="Y2584">
        <v>36.200000000000003</v>
      </c>
      <c r="Z2584">
        <v>5347896</v>
      </c>
      <c r="AA2584">
        <v>60.472023999999998</v>
      </c>
      <c r="AB2584">
        <v>8.4689460000000008</v>
      </c>
    </row>
    <row r="2585" spans="1:28" hidden="1">
      <c r="A2585">
        <v>2540</v>
      </c>
      <c r="B2585">
        <v>1000</v>
      </c>
      <c r="C2585" t="s">
        <v>45</v>
      </c>
      <c r="D2585" t="s">
        <v>4756</v>
      </c>
      <c r="E2585">
        <v>93</v>
      </c>
      <c r="G2585" t="s">
        <v>342</v>
      </c>
      <c r="H2585" t="s">
        <v>4757</v>
      </c>
      <c r="I2585" t="s">
        <v>572</v>
      </c>
      <c r="J2585" t="s">
        <v>45</v>
      </c>
      <c r="K2585" t="s">
        <v>342</v>
      </c>
      <c r="M2585" t="b">
        <v>1</v>
      </c>
      <c r="N2585" t="s">
        <v>419</v>
      </c>
      <c r="O2585" t="s">
        <v>33</v>
      </c>
      <c r="Q2585">
        <v>108.15</v>
      </c>
      <c r="R2585">
        <v>0.8</v>
      </c>
      <c r="S2585" t="s">
        <v>532</v>
      </c>
      <c r="T2585">
        <v>63.4</v>
      </c>
      <c r="V2585">
        <v>104.9</v>
      </c>
      <c r="W2585">
        <v>82.8</v>
      </c>
      <c r="X2585">
        <v>23.1</v>
      </c>
      <c r="Y2585">
        <v>25.3</v>
      </c>
      <c r="Z2585">
        <v>9053300</v>
      </c>
      <c r="AA2585">
        <v>31.046050999999999</v>
      </c>
      <c r="AB2585">
        <v>34.851612000000003</v>
      </c>
    </row>
    <row r="2586" spans="1:28" hidden="1">
      <c r="A2586">
        <v>2540</v>
      </c>
      <c r="B2586">
        <v>1000</v>
      </c>
      <c r="C2586" t="s">
        <v>217</v>
      </c>
      <c r="D2586" t="s">
        <v>4758</v>
      </c>
      <c r="E2586">
        <v>75</v>
      </c>
      <c r="G2586" t="s">
        <v>77</v>
      </c>
      <c r="H2586" t="s">
        <v>248</v>
      </c>
      <c r="I2586" t="s">
        <v>4759</v>
      </c>
      <c r="J2586" t="s">
        <v>217</v>
      </c>
      <c r="K2586" t="s">
        <v>77</v>
      </c>
      <c r="M2586" t="b">
        <v>1</v>
      </c>
      <c r="N2586" t="s">
        <v>853</v>
      </c>
      <c r="O2586" t="s">
        <v>33</v>
      </c>
      <c r="Q2586">
        <v>180.44</v>
      </c>
      <c r="R2586">
        <v>7.7</v>
      </c>
      <c r="S2586" t="s">
        <v>81</v>
      </c>
      <c r="T2586">
        <v>28.1</v>
      </c>
      <c r="V2586">
        <v>113</v>
      </c>
      <c r="W2586">
        <v>69.400000000000006</v>
      </c>
      <c r="X2586">
        <v>11.2</v>
      </c>
      <c r="Y2586">
        <v>49.7</v>
      </c>
      <c r="Z2586">
        <v>1366417754</v>
      </c>
      <c r="AA2586">
        <v>20.593684</v>
      </c>
      <c r="AB2586">
        <v>78.962879999999998</v>
      </c>
    </row>
    <row r="2587" spans="1:28" hidden="1">
      <c r="A2587">
        <v>2540</v>
      </c>
      <c r="B2587">
        <v>1000</v>
      </c>
      <c r="C2587" t="s">
        <v>54</v>
      </c>
      <c r="D2587" t="s">
        <v>4760</v>
      </c>
      <c r="E2587">
        <v>53</v>
      </c>
      <c r="G2587" t="s">
        <v>384</v>
      </c>
      <c r="H2587" t="s">
        <v>562</v>
      </c>
      <c r="I2587" t="s">
        <v>383</v>
      </c>
      <c r="J2587" t="s">
        <v>54</v>
      </c>
      <c r="K2587" t="s">
        <v>384</v>
      </c>
      <c r="M2587" t="b">
        <v>1</v>
      </c>
      <c r="N2587" t="s">
        <v>419</v>
      </c>
      <c r="O2587" t="s">
        <v>33</v>
      </c>
      <c r="Q2587">
        <v>167.4</v>
      </c>
      <c r="R2587">
        <v>3.7</v>
      </c>
      <c r="S2587" t="s">
        <v>563</v>
      </c>
      <c r="T2587">
        <v>51.3</v>
      </c>
      <c r="V2587">
        <v>115.4</v>
      </c>
      <c r="W2587">
        <v>75.7</v>
      </c>
      <c r="X2587">
        <v>14.2</v>
      </c>
      <c r="Y2587">
        <v>65.099999999999994</v>
      </c>
      <c r="Z2587">
        <v>212559417</v>
      </c>
      <c r="AA2587">
        <v>-14.235004</v>
      </c>
      <c r="AB2587">
        <v>-51.925280000000001</v>
      </c>
    </row>
    <row r="2588" spans="1:28" hidden="1">
      <c r="A2588">
        <v>2540</v>
      </c>
      <c r="B2588">
        <v>1000</v>
      </c>
      <c r="C2588" t="s">
        <v>478</v>
      </c>
      <c r="D2588" t="s">
        <v>4761</v>
      </c>
      <c r="E2588">
        <v>79</v>
      </c>
      <c r="G2588" t="s">
        <v>38</v>
      </c>
      <c r="H2588" t="s">
        <v>2008</v>
      </c>
      <c r="I2588" t="s">
        <v>4762</v>
      </c>
      <c r="J2588" t="s">
        <v>478</v>
      </c>
      <c r="K2588" t="s">
        <v>38</v>
      </c>
      <c r="M2588" t="b">
        <v>1</v>
      </c>
      <c r="N2588" t="s">
        <v>419</v>
      </c>
      <c r="O2588" t="s">
        <v>33</v>
      </c>
      <c r="Q2588">
        <v>117.24</v>
      </c>
      <c r="R2588">
        <v>7.5</v>
      </c>
      <c r="S2588" t="s">
        <v>44</v>
      </c>
      <c r="T2588">
        <v>88.2</v>
      </c>
      <c r="V2588">
        <v>101.8</v>
      </c>
      <c r="W2588">
        <v>78.5</v>
      </c>
      <c r="X2588">
        <v>9.6</v>
      </c>
      <c r="Y2588">
        <v>36.6</v>
      </c>
      <c r="Z2588">
        <v>328239523</v>
      </c>
      <c r="AA2588">
        <v>37.090240000000001</v>
      </c>
      <c r="AB2588">
        <v>-95.712890999999999</v>
      </c>
    </row>
    <row r="2589" spans="1:28" hidden="1">
      <c r="A2589">
        <v>2540</v>
      </c>
      <c r="B2589">
        <v>1000</v>
      </c>
      <c r="C2589" t="s">
        <v>45</v>
      </c>
      <c r="D2589" t="s">
        <v>4763</v>
      </c>
      <c r="E2589">
        <v>53</v>
      </c>
      <c r="G2589" t="s">
        <v>38</v>
      </c>
      <c r="H2589" t="s">
        <v>307</v>
      </c>
      <c r="I2589" t="s">
        <v>1343</v>
      </c>
      <c r="J2589" t="s">
        <v>45</v>
      </c>
      <c r="K2589" t="s">
        <v>38</v>
      </c>
      <c r="M2589" t="b">
        <v>1</v>
      </c>
      <c r="N2589" t="s">
        <v>192</v>
      </c>
      <c r="O2589" t="s">
        <v>33</v>
      </c>
      <c r="Q2589">
        <v>117.24</v>
      </c>
      <c r="R2589">
        <v>7.5</v>
      </c>
      <c r="S2589" t="s">
        <v>44</v>
      </c>
      <c r="T2589">
        <v>88.2</v>
      </c>
      <c r="V2589">
        <v>101.8</v>
      </c>
      <c r="W2589">
        <v>78.5</v>
      </c>
      <c r="X2589">
        <v>9.6</v>
      </c>
      <c r="Y2589">
        <v>36.6</v>
      </c>
      <c r="Z2589">
        <v>328239523</v>
      </c>
      <c r="AA2589">
        <v>37.090240000000001</v>
      </c>
      <c r="AB2589">
        <v>-95.712890999999999</v>
      </c>
    </row>
    <row r="2590" spans="1:28" hidden="1">
      <c r="A2590">
        <v>2540</v>
      </c>
      <c r="B2590">
        <v>1000</v>
      </c>
      <c r="C2590" t="s">
        <v>250</v>
      </c>
      <c r="D2590" t="s">
        <v>4764</v>
      </c>
      <c r="E2590">
        <v>68</v>
      </c>
      <c r="G2590" t="s">
        <v>395</v>
      </c>
      <c r="H2590" t="s">
        <v>395</v>
      </c>
      <c r="I2590" t="s">
        <v>4765</v>
      </c>
      <c r="J2590" t="s">
        <v>250</v>
      </c>
      <c r="K2590" t="s">
        <v>4766</v>
      </c>
      <c r="M2590" t="b">
        <v>1</v>
      </c>
      <c r="N2590" t="s">
        <v>192</v>
      </c>
      <c r="O2590" t="s">
        <v>33</v>
      </c>
      <c r="Q2590">
        <v>114.41</v>
      </c>
      <c r="R2590">
        <v>0.6</v>
      </c>
      <c r="S2590" t="s">
        <v>451</v>
      </c>
      <c r="T2590">
        <v>84.8</v>
      </c>
      <c r="V2590">
        <v>100.6</v>
      </c>
      <c r="W2590">
        <v>83.1</v>
      </c>
      <c r="X2590">
        <v>13.1</v>
      </c>
      <c r="Y2590">
        <v>21</v>
      </c>
      <c r="Z2590">
        <v>5703569</v>
      </c>
      <c r="AA2590">
        <v>1.3520829999999999</v>
      </c>
      <c r="AB2590">
        <v>103.819836</v>
      </c>
    </row>
    <row r="2591" spans="1:28" hidden="1">
      <c r="A2591">
        <v>2540</v>
      </c>
      <c r="B2591">
        <v>1000</v>
      </c>
      <c r="C2591" t="s">
        <v>26</v>
      </c>
      <c r="D2591" t="s">
        <v>4767</v>
      </c>
      <c r="E2591">
        <v>48</v>
      </c>
      <c r="G2591" t="s">
        <v>611</v>
      </c>
      <c r="H2591" t="s">
        <v>612</v>
      </c>
      <c r="I2591" t="s">
        <v>2158</v>
      </c>
      <c r="J2591" t="s">
        <v>26</v>
      </c>
      <c r="K2591" t="s">
        <v>611</v>
      </c>
      <c r="M2591" t="b">
        <v>1</v>
      </c>
      <c r="N2591" t="s">
        <v>42</v>
      </c>
      <c r="O2591" t="s">
        <v>33</v>
      </c>
      <c r="Q2591">
        <v>115.16</v>
      </c>
      <c r="R2591">
        <v>0.4</v>
      </c>
      <c r="S2591" t="s">
        <v>615</v>
      </c>
      <c r="T2591">
        <v>94.3</v>
      </c>
      <c r="V2591">
        <v>98.1</v>
      </c>
      <c r="W2591">
        <v>82.6</v>
      </c>
      <c r="X2591">
        <v>15.6</v>
      </c>
      <c r="Y2591">
        <v>33.200000000000003</v>
      </c>
      <c r="Z2591">
        <v>51709098</v>
      </c>
      <c r="AA2591">
        <v>35.907756999999997</v>
      </c>
      <c r="AB2591">
        <v>127.76692199999999</v>
      </c>
    </row>
    <row r="2592" spans="1:28" hidden="1">
      <c r="A2592">
        <v>2540</v>
      </c>
      <c r="B2592">
        <v>1000</v>
      </c>
      <c r="C2592" t="s">
        <v>75</v>
      </c>
      <c r="D2592" t="s">
        <v>4768</v>
      </c>
      <c r="E2592">
        <v>60</v>
      </c>
      <c r="G2592" t="s">
        <v>1160</v>
      </c>
      <c r="H2592" t="s">
        <v>3021</v>
      </c>
      <c r="I2592" t="s">
        <v>3204</v>
      </c>
      <c r="J2592" t="s">
        <v>75</v>
      </c>
      <c r="K2592" t="s">
        <v>342</v>
      </c>
      <c r="M2592" t="b">
        <v>1</v>
      </c>
      <c r="N2592" t="s">
        <v>419</v>
      </c>
      <c r="O2592" t="s">
        <v>33</v>
      </c>
      <c r="Q2592">
        <v>281.66000000000003</v>
      </c>
      <c r="R2592">
        <v>7.9</v>
      </c>
      <c r="S2592" t="s">
        <v>1163</v>
      </c>
      <c r="T2592">
        <v>82.7</v>
      </c>
      <c r="V2592">
        <v>99</v>
      </c>
      <c r="W2592">
        <v>71.599999999999994</v>
      </c>
      <c r="X2592">
        <v>20.100000000000001</v>
      </c>
      <c r="Y2592">
        <v>45.2</v>
      </c>
      <c r="Z2592">
        <v>44385155</v>
      </c>
      <c r="AA2592">
        <v>48.379432999999999</v>
      </c>
      <c r="AB2592">
        <v>31.165579999999999</v>
      </c>
    </row>
    <row r="2593" spans="1:28" hidden="1">
      <c r="A2593">
        <v>2540</v>
      </c>
      <c r="B2593">
        <v>1000</v>
      </c>
      <c r="C2593" t="s">
        <v>221</v>
      </c>
      <c r="D2593" t="s">
        <v>4769</v>
      </c>
      <c r="E2593">
        <v>55</v>
      </c>
      <c r="G2593" t="s">
        <v>103</v>
      </c>
      <c r="H2593" t="s">
        <v>489</v>
      </c>
      <c r="I2593" t="s">
        <v>223</v>
      </c>
      <c r="J2593" t="s">
        <v>221</v>
      </c>
      <c r="K2593" t="s">
        <v>103</v>
      </c>
      <c r="M2593" t="b">
        <v>1</v>
      </c>
      <c r="N2593" t="s">
        <v>42</v>
      </c>
      <c r="O2593" t="s">
        <v>33</v>
      </c>
      <c r="Q2593">
        <v>125.08</v>
      </c>
      <c r="R2593">
        <v>2.9</v>
      </c>
      <c r="S2593" t="s">
        <v>106</v>
      </c>
      <c r="T2593">
        <v>50.6</v>
      </c>
      <c r="V2593">
        <v>100.2</v>
      </c>
      <c r="W2593">
        <v>77</v>
      </c>
      <c r="X2593">
        <v>9.4</v>
      </c>
      <c r="Y2593">
        <v>59.2</v>
      </c>
      <c r="Z2593">
        <v>1397715000</v>
      </c>
      <c r="AA2593">
        <v>35.861660000000001</v>
      </c>
      <c r="AB2593">
        <v>104.195397</v>
      </c>
    </row>
    <row r="2594" spans="1:28">
      <c r="A2594">
        <v>2540</v>
      </c>
      <c r="B2594">
        <v>1000</v>
      </c>
      <c r="C2594" t="s">
        <v>217</v>
      </c>
      <c r="D2594" t="s">
        <v>4770</v>
      </c>
      <c r="E2594">
        <v>74</v>
      </c>
      <c r="F2594" t="s">
        <v>4845</v>
      </c>
      <c r="G2594" t="s">
        <v>611</v>
      </c>
      <c r="H2594" t="s">
        <v>612</v>
      </c>
      <c r="I2594" t="s">
        <v>897</v>
      </c>
      <c r="J2594" t="s">
        <v>217</v>
      </c>
      <c r="K2594" t="s">
        <v>611</v>
      </c>
      <c r="L2594" t="s">
        <v>4771</v>
      </c>
      <c r="M2594" t="b">
        <v>0</v>
      </c>
      <c r="N2594" t="s">
        <v>42</v>
      </c>
      <c r="O2594" t="s">
        <v>33</v>
      </c>
      <c r="Q2594">
        <v>115.16</v>
      </c>
      <c r="R2594">
        <v>0.4</v>
      </c>
      <c r="S2594" t="s">
        <v>615</v>
      </c>
      <c r="T2594">
        <v>94.3</v>
      </c>
      <c r="U2594" t="str">
        <f>IF(T2594&gt;=100,"above 100",IF(T2594&gt;=80,"80-100",IF(T2594&gt;=60,"60-80",IF(T2594&gt;=40,"40-60",IF(T2594&gt;=20,"20-60","0-20")))))</f>
        <v>80-100</v>
      </c>
      <c r="V2594">
        <v>98.1</v>
      </c>
      <c r="W2594">
        <v>82.6</v>
      </c>
      <c r="X2594">
        <v>15.6</v>
      </c>
      <c r="Y2594">
        <v>33.200000000000003</v>
      </c>
      <c r="Z2594">
        <v>51709098</v>
      </c>
      <c r="AA2594">
        <v>35.907756999999997</v>
      </c>
      <c r="AB2594">
        <v>127.76692199999999</v>
      </c>
    </row>
    <row r="2595" spans="1:28" hidden="1">
      <c r="A2595">
        <v>2540</v>
      </c>
      <c r="B2595">
        <v>1000</v>
      </c>
      <c r="C2595" t="s">
        <v>221</v>
      </c>
      <c r="D2595" t="s">
        <v>4772</v>
      </c>
      <c r="E2595">
        <v>78</v>
      </c>
      <c r="G2595" t="s">
        <v>395</v>
      </c>
      <c r="H2595" t="s">
        <v>395</v>
      </c>
      <c r="I2595" t="s">
        <v>1843</v>
      </c>
      <c r="J2595" t="s">
        <v>221</v>
      </c>
      <c r="K2595" t="s">
        <v>395</v>
      </c>
      <c r="M2595" t="b">
        <v>1</v>
      </c>
      <c r="N2595" t="s">
        <v>192</v>
      </c>
      <c r="O2595" t="s">
        <v>33</v>
      </c>
      <c r="Q2595">
        <v>114.41</v>
      </c>
      <c r="R2595">
        <v>0.6</v>
      </c>
      <c r="S2595" t="s">
        <v>451</v>
      </c>
      <c r="T2595">
        <v>84.8</v>
      </c>
      <c r="V2595">
        <v>100.6</v>
      </c>
      <c r="W2595">
        <v>83.1</v>
      </c>
      <c r="X2595">
        <v>13.1</v>
      </c>
      <c r="Y2595">
        <v>21</v>
      </c>
      <c r="Z2595">
        <v>5703569</v>
      </c>
      <c r="AA2595">
        <v>1.3520829999999999</v>
      </c>
      <c r="AB2595">
        <v>103.819836</v>
      </c>
    </row>
    <row r="2596" spans="1:28" hidden="1">
      <c r="A2596">
        <v>2540</v>
      </c>
      <c r="B2596">
        <v>1000</v>
      </c>
      <c r="C2596" t="s">
        <v>221</v>
      </c>
      <c r="D2596" t="s">
        <v>4773</v>
      </c>
      <c r="E2596">
        <v>82</v>
      </c>
      <c r="G2596" t="s">
        <v>38</v>
      </c>
      <c r="H2596" t="s">
        <v>257</v>
      </c>
      <c r="I2596" t="s">
        <v>223</v>
      </c>
      <c r="J2596" t="s">
        <v>221</v>
      </c>
      <c r="K2596" t="s">
        <v>38</v>
      </c>
      <c r="M2596" t="b">
        <v>1</v>
      </c>
      <c r="N2596" t="s">
        <v>192</v>
      </c>
      <c r="O2596" t="s">
        <v>33</v>
      </c>
      <c r="Q2596">
        <v>117.24</v>
      </c>
      <c r="R2596">
        <v>7.5</v>
      </c>
      <c r="S2596" t="s">
        <v>44</v>
      </c>
      <c r="T2596">
        <v>88.2</v>
      </c>
      <c r="V2596">
        <v>101.8</v>
      </c>
      <c r="W2596">
        <v>78.5</v>
      </c>
      <c r="X2596">
        <v>9.6</v>
      </c>
      <c r="Y2596">
        <v>36.6</v>
      </c>
      <c r="Z2596">
        <v>328239523</v>
      </c>
      <c r="AA2596">
        <v>37.090240000000001</v>
      </c>
      <c r="AB2596">
        <v>-95.712890999999999</v>
      </c>
    </row>
    <row r="2597" spans="1:28" hidden="1">
      <c r="A2597">
        <v>2540</v>
      </c>
      <c r="B2597">
        <v>1000</v>
      </c>
      <c r="C2597" t="s">
        <v>54</v>
      </c>
      <c r="D2597" t="s">
        <v>4774</v>
      </c>
      <c r="E2597">
        <v>57</v>
      </c>
      <c r="G2597" t="s">
        <v>263</v>
      </c>
      <c r="H2597" t="s">
        <v>274</v>
      </c>
      <c r="I2597" t="s">
        <v>883</v>
      </c>
      <c r="J2597" t="s">
        <v>54</v>
      </c>
      <c r="K2597" t="s">
        <v>263</v>
      </c>
      <c r="M2597" t="b">
        <v>1</v>
      </c>
      <c r="N2597" t="s">
        <v>853</v>
      </c>
      <c r="O2597" t="s">
        <v>33</v>
      </c>
      <c r="Q2597">
        <v>180.75</v>
      </c>
      <c r="R2597">
        <v>4.5</v>
      </c>
      <c r="S2597" t="s">
        <v>276</v>
      </c>
      <c r="T2597">
        <v>81.900000000000006</v>
      </c>
      <c r="V2597">
        <v>102.6</v>
      </c>
      <c r="W2597">
        <v>72.7</v>
      </c>
      <c r="X2597">
        <v>11.4</v>
      </c>
      <c r="Y2597">
        <v>46.2</v>
      </c>
      <c r="Z2597">
        <v>144373535</v>
      </c>
      <c r="AA2597">
        <v>61.524009999999997</v>
      </c>
      <c r="AB2597">
        <v>105.31875599999999</v>
      </c>
    </row>
    <row r="2598" spans="1:28" hidden="1">
      <c r="A2598">
        <v>2540</v>
      </c>
      <c r="B2598">
        <v>1000</v>
      </c>
      <c r="C2598" t="s">
        <v>54</v>
      </c>
      <c r="D2598" t="s">
        <v>4775</v>
      </c>
      <c r="E2598">
        <v>73</v>
      </c>
      <c r="G2598" t="s">
        <v>541</v>
      </c>
      <c r="H2598" t="s">
        <v>4776</v>
      </c>
      <c r="I2598" t="s">
        <v>383</v>
      </c>
      <c r="J2598" t="s">
        <v>54</v>
      </c>
      <c r="K2598" t="s">
        <v>541</v>
      </c>
      <c r="M2598" t="b">
        <v>1</v>
      </c>
      <c r="N2598" t="s">
        <v>42</v>
      </c>
      <c r="O2598" t="s">
        <v>33</v>
      </c>
      <c r="Q2598">
        <v>158.93</v>
      </c>
      <c r="R2598">
        <v>4.0999999999999996</v>
      </c>
      <c r="S2598" t="s">
        <v>543</v>
      </c>
      <c r="T2598">
        <v>22.4</v>
      </c>
      <c r="V2598">
        <v>100.9</v>
      </c>
      <c r="W2598">
        <v>63.9</v>
      </c>
      <c r="X2598">
        <v>27.5</v>
      </c>
      <c r="Y2598">
        <v>29.2</v>
      </c>
      <c r="Z2598">
        <v>58558270</v>
      </c>
      <c r="AA2598">
        <v>-30.559481999999999</v>
      </c>
      <c r="AB2598">
        <v>22.937505999999999</v>
      </c>
    </row>
    <row r="2599" spans="1:28" hidden="1">
      <c r="A2599">
        <v>2540</v>
      </c>
      <c r="B2599">
        <v>1000</v>
      </c>
      <c r="C2599" t="s">
        <v>45</v>
      </c>
      <c r="D2599" t="s">
        <v>4777</v>
      </c>
      <c r="E2599">
        <v>45</v>
      </c>
      <c r="G2599" t="s">
        <v>103</v>
      </c>
      <c r="H2599" t="s">
        <v>143</v>
      </c>
      <c r="I2599" t="s">
        <v>617</v>
      </c>
      <c r="J2599" t="s">
        <v>45</v>
      </c>
      <c r="K2599" t="s">
        <v>103</v>
      </c>
      <c r="M2599" t="b">
        <v>1</v>
      </c>
      <c r="N2599" t="s">
        <v>42</v>
      </c>
      <c r="O2599" t="s">
        <v>33</v>
      </c>
      <c r="Q2599">
        <v>125.08</v>
      </c>
      <c r="R2599">
        <v>2.9</v>
      </c>
      <c r="S2599" t="s">
        <v>106</v>
      </c>
      <c r="T2599">
        <v>50.6</v>
      </c>
      <c r="V2599">
        <v>100.2</v>
      </c>
      <c r="W2599">
        <v>77</v>
      </c>
      <c r="X2599">
        <v>9.4</v>
      </c>
      <c r="Y2599">
        <v>59.2</v>
      </c>
      <c r="Z2599">
        <v>1397715000</v>
      </c>
      <c r="AA2599">
        <v>35.861660000000001</v>
      </c>
      <c r="AB2599">
        <v>104.195397</v>
      </c>
    </row>
    <row r="2600" spans="1:28" hidden="1">
      <c r="A2600">
        <v>2540</v>
      </c>
      <c r="B2600">
        <v>1000</v>
      </c>
      <c r="C2600" t="s">
        <v>26</v>
      </c>
      <c r="D2600" t="s">
        <v>4778</v>
      </c>
      <c r="E2600">
        <v>69</v>
      </c>
      <c r="G2600" t="s">
        <v>103</v>
      </c>
      <c r="H2600" t="s">
        <v>1494</v>
      </c>
      <c r="I2600" t="s">
        <v>1561</v>
      </c>
      <c r="J2600" t="s">
        <v>26</v>
      </c>
      <c r="K2600" t="s">
        <v>103</v>
      </c>
      <c r="M2600" t="b">
        <v>1</v>
      </c>
      <c r="N2600" t="s">
        <v>419</v>
      </c>
      <c r="O2600" t="s">
        <v>33</v>
      </c>
      <c r="Q2600">
        <v>125.08</v>
      </c>
      <c r="R2600">
        <v>2.9</v>
      </c>
      <c r="S2600" t="s">
        <v>106</v>
      </c>
      <c r="T2600">
        <v>50.6</v>
      </c>
      <c r="V2600">
        <v>100.2</v>
      </c>
      <c r="W2600">
        <v>77</v>
      </c>
      <c r="X2600">
        <v>9.4</v>
      </c>
      <c r="Y2600">
        <v>59.2</v>
      </c>
      <c r="Z2600">
        <v>1397715000</v>
      </c>
      <c r="AA2600">
        <v>35.861660000000001</v>
      </c>
      <c r="AB2600">
        <v>104.195397</v>
      </c>
    </row>
    <row r="2601" spans="1:28" hidden="1">
      <c r="A2601">
        <v>2540</v>
      </c>
      <c r="B2601">
        <v>1000</v>
      </c>
      <c r="C2601" t="s">
        <v>288</v>
      </c>
      <c r="D2601" t="s">
        <v>4779</v>
      </c>
      <c r="E2601">
        <v>74</v>
      </c>
      <c r="G2601" t="s">
        <v>395</v>
      </c>
      <c r="H2601" t="s">
        <v>395</v>
      </c>
      <c r="I2601" t="s">
        <v>288</v>
      </c>
      <c r="J2601" t="s">
        <v>288</v>
      </c>
      <c r="K2601" t="s">
        <v>395</v>
      </c>
      <c r="M2601" t="b">
        <v>1</v>
      </c>
      <c r="N2601" t="s">
        <v>192</v>
      </c>
      <c r="O2601" t="s">
        <v>33</v>
      </c>
      <c r="Q2601">
        <v>114.41</v>
      </c>
      <c r="R2601">
        <v>0.6</v>
      </c>
      <c r="S2601" t="s">
        <v>451</v>
      </c>
      <c r="T2601">
        <v>84.8</v>
      </c>
      <c r="V2601">
        <v>100.6</v>
      </c>
      <c r="W2601">
        <v>83.1</v>
      </c>
      <c r="X2601">
        <v>13.1</v>
      </c>
      <c r="Y2601">
        <v>21</v>
      </c>
      <c r="Z2601">
        <v>5703569</v>
      </c>
      <c r="AA2601">
        <v>1.3520829999999999</v>
      </c>
      <c r="AB2601">
        <v>103.819836</v>
      </c>
    </row>
    <row r="2602" spans="1:28" hidden="1">
      <c r="A2602">
        <v>2540</v>
      </c>
      <c r="B2602">
        <v>1000</v>
      </c>
      <c r="C2602" t="s">
        <v>45</v>
      </c>
      <c r="D2602" t="s">
        <v>4780</v>
      </c>
      <c r="E2602">
        <v>59</v>
      </c>
      <c r="G2602" t="s">
        <v>103</v>
      </c>
      <c r="H2602" t="s">
        <v>215</v>
      </c>
      <c r="I2602" t="s">
        <v>897</v>
      </c>
      <c r="J2602" t="s">
        <v>45</v>
      </c>
      <c r="K2602" t="s">
        <v>103</v>
      </c>
      <c r="M2602" t="b">
        <v>1</v>
      </c>
      <c r="N2602" t="s">
        <v>42</v>
      </c>
      <c r="O2602" t="s">
        <v>33</v>
      </c>
      <c r="Q2602">
        <v>125.08</v>
      </c>
      <c r="R2602">
        <v>2.9</v>
      </c>
      <c r="S2602" t="s">
        <v>106</v>
      </c>
      <c r="T2602">
        <v>50.6</v>
      </c>
      <c r="V2602">
        <v>100.2</v>
      </c>
      <c r="W2602">
        <v>77</v>
      </c>
      <c r="X2602">
        <v>9.4</v>
      </c>
      <c r="Y2602">
        <v>59.2</v>
      </c>
      <c r="Z2602">
        <v>1397715000</v>
      </c>
      <c r="AA2602">
        <v>35.861660000000001</v>
      </c>
      <c r="AB2602">
        <v>104.195397</v>
      </c>
    </row>
    <row r="2603" spans="1:28" hidden="1">
      <c r="A2603">
        <v>2540</v>
      </c>
      <c r="B2603">
        <v>1000</v>
      </c>
      <c r="C2603" t="s">
        <v>217</v>
      </c>
      <c r="D2603" t="s">
        <v>4781</v>
      </c>
      <c r="E2603">
        <v>52</v>
      </c>
      <c r="G2603" t="s">
        <v>103</v>
      </c>
      <c r="H2603" t="s">
        <v>215</v>
      </c>
      <c r="I2603" t="s">
        <v>4782</v>
      </c>
      <c r="J2603" t="s">
        <v>217</v>
      </c>
      <c r="K2603" t="s">
        <v>103</v>
      </c>
      <c r="M2603" t="b">
        <v>1</v>
      </c>
      <c r="N2603" t="s">
        <v>42</v>
      </c>
      <c r="O2603" t="s">
        <v>88</v>
      </c>
      <c r="Q2603">
        <v>125.08</v>
      </c>
      <c r="R2603">
        <v>2.9</v>
      </c>
      <c r="S2603" t="s">
        <v>106</v>
      </c>
      <c r="T2603">
        <v>50.6</v>
      </c>
      <c r="V2603">
        <v>100.2</v>
      </c>
      <c r="W2603">
        <v>77</v>
      </c>
      <c r="X2603">
        <v>9.4</v>
      </c>
      <c r="Y2603">
        <v>59.2</v>
      </c>
      <c r="Z2603">
        <v>1397715000</v>
      </c>
      <c r="AA2603">
        <v>35.861660000000001</v>
      </c>
      <c r="AB2603">
        <v>104.195397</v>
      </c>
    </row>
    <row r="2604" spans="1:28">
      <c r="A2604">
        <v>2540</v>
      </c>
      <c r="B2604">
        <v>1000</v>
      </c>
      <c r="C2604" t="s">
        <v>45</v>
      </c>
      <c r="D2604" t="s">
        <v>4783</v>
      </c>
      <c r="E2604">
        <v>36</v>
      </c>
      <c r="F2604" t="str">
        <f>IF(E2604&gt;=90,"90-100",IF(E2604&gt;=80,"80-90",IF(E2604&gt;=70,"70-80",IF(E2604&gt;=60,"60-70",IF(E2604&gt;=50,"50-60",IF(E2604&gt;=40,"40-50",IF(E2604&gt;=30,"30-40","20-30")))))))</f>
        <v>30-40</v>
      </c>
      <c r="G2604" t="s">
        <v>38</v>
      </c>
      <c r="H2604" t="s">
        <v>652</v>
      </c>
      <c r="I2604" t="s">
        <v>4784</v>
      </c>
      <c r="J2604" t="s">
        <v>45</v>
      </c>
      <c r="K2604" t="s">
        <v>127</v>
      </c>
      <c r="L2604" t="s">
        <v>4785</v>
      </c>
      <c r="M2604" t="b">
        <v>1</v>
      </c>
      <c r="N2604" t="s">
        <v>42</v>
      </c>
      <c r="O2604" t="s">
        <v>4867</v>
      </c>
      <c r="P2604" t="s">
        <v>146</v>
      </c>
      <c r="Q2604">
        <v>117.24</v>
      </c>
      <c r="R2604">
        <v>7.5</v>
      </c>
      <c r="S2604" t="s">
        <v>44</v>
      </c>
      <c r="T2604">
        <v>88.2</v>
      </c>
      <c r="U2604" t="str">
        <f>IF(T2604&gt;=100,"above 100",IF(T2604&gt;=80,"80-100",IF(T2604&gt;=60,"60-80",IF(T2604&gt;=40,"40-60",IF(T2604&gt;=20,"20-60","0-20")))))</f>
        <v>80-100</v>
      </c>
      <c r="V2604">
        <v>101.8</v>
      </c>
      <c r="W2604">
        <v>78.5</v>
      </c>
      <c r="X2604">
        <v>9.6</v>
      </c>
      <c r="Y2604">
        <v>36.6</v>
      </c>
      <c r="Z2604">
        <v>328239523</v>
      </c>
      <c r="AA2604">
        <v>37.090240000000001</v>
      </c>
      <c r="AB2604">
        <v>-95.712890999999999</v>
      </c>
    </row>
    <row r="2605" spans="1:28" hidden="1">
      <c r="A2605">
        <v>2540</v>
      </c>
      <c r="B2605">
        <v>1000</v>
      </c>
      <c r="C2605" t="s">
        <v>217</v>
      </c>
      <c r="D2605" t="s">
        <v>4786</v>
      </c>
      <c r="G2605" t="s">
        <v>148</v>
      </c>
      <c r="H2605" t="s">
        <v>4787</v>
      </c>
      <c r="I2605" t="s">
        <v>3018</v>
      </c>
      <c r="J2605" t="s">
        <v>217</v>
      </c>
      <c r="K2605" t="s">
        <v>148</v>
      </c>
      <c r="M2605" t="b">
        <v>0</v>
      </c>
      <c r="N2605" t="s">
        <v>42</v>
      </c>
      <c r="O2605" t="s">
        <v>88</v>
      </c>
      <c r="Q2605">
        <v>112.85</v>
      </c>
      <c r="R2605">
        <v>1.4</v>
      </c>
      <c r="S2605" t="s">
        <v>151</v>
      </c>
      <c r="T2605">
        <v>70.2</v>
      </c>
      <c r="V2605">
        <v>104</v>
      </c>
      <c r="W2605">
        <v>80.900000000000006</v>
      </c>
      <c r="X2605">
        <v>11.5</v>
      </c>
      <c r="Y2605">
        <v>48.8</v>
      </c>
      <c r="Z2605">
        <v>83132799</v>
      </c>
      <c r="AA2605">
        <v>51.165691000000002</v>
      </c>
      <c r="AB2605">
        <v>10.451525999999999</v>
      </c>
    </row>
    <row r="2606" spans="1:28" hidden="1">
      <c r="A2606">
        <v>2540</v>
      </c>
      <c r="B2606">
        <v>1000</v>
      </c>
      <c r="C2606" t="s">
        <v>217</v>
      </c>
      <c r="D2606" t="s">
        <v>4788</v>
      </c>
      <c r="E2606">
        <v>56</v>
      </c>
      <c r="G2606" t="s">
        <v>148</v>
      </c>
      <c r="H2606" t="s">
        <v>4789</v>
      </c>
      <c r="I2606" t="s">
        <v>3018</v>
      </c>
      <c r="J2606" t="s">
        <v>217</v>
      </c>
      <c r="K2606" t="s">
        <v>148</v>
      </c>
      <c r="M2606" t="b">
        <v>0</v>
      </c>
      <c r="N2606" t="s">
        <v>42</v>
      </c>
      <c r="O2606" t="s">
        <v>88</v>
      </c>
      <c r="Q2606">
        <v>112.85</v>
      </c>
      <c r="R2606">
        <v>1.4</v>
      </c>
      <c r="S2606" t="s">
        <v>151</v>
      </c>
      <c r="T2606">
        <v>70.2</v>
      </c>
      <c r="V2606">
        <v>104</v>
      </c>
      <c r="W2606">
        <v>80.900000000000006</v>
      </c>
      <c r="X2606">
        <v>11.5</v>
      </c>
      <c r="Y2606">
        <v>48.8</v>
      </c>
      <c r="Z2606">
        <v>83132799</v>
      </c>
      <c r="AA2606">
        <v>51.165691000000002</v>
      </c>
      <c r="AB2606">
        <v>10.451525999999999</v>
      </c>
    </row>
    <row r="2607" spans="1:28" hidden="1">
      <c r="A2607">
        <v>2540</v>
      </c>
      <c r="B2607">
        <v>1000</v>
      </c>
      <c r="C2607" t="s">
        <v>469</v>
      </c>
      <c r="D2607" t="s">
        <v>4790</v>
      </c>
      <c r="E2607">
        <v>51</v>
      </c>
      <c r="G2607" t="s">
        <v>263</v>
      </c>
      <c r="H2607" t="s">
        <v>274</v>
      </c>
      <c r="I2607" t="s">
        <v>2361</v>
      </c>
      <c r="J2607" t="s">
        <v>469</v>
      </c>
      <c r="K2607" t="s">
        <v>263</v>
      </c>
      <c r="M2607" t="b">
        <v>1</v>
      </c>
      <c r="N2607" t="s">
        <v>853</v>
      </c>
      <c r="O2607" t="s">
        <v>33</v>
      </c>
      <c r="Q2607">
        <v>180.75</v>
      </c>
      <c r="R2607">
        <v>4.5</v>
      </c>
      <c r="S2607" t="s">
        <v>276</v>
      </c>
      <c r="T2607">
        <v>81.900000000000006</v>
      </c>
      <c r="V2607">
        <v>102.6</v>
      </c>
      <c r="W2607">
        <v>72.7</v>
      </c>
      <c r="X2607">
        <v>11.4</v>
      </c>
      <c r="Y2607">
        <v>46.2</v>
      </c>
      <c r="Z2607">
        <v>144373535</v>
      </c>
      <c r="AA2607">
        <v>61.524009999999997</v>
      </c>
      <c r="AB2607">
        <v>105.31875599999999</v>
      </c>
    </row>
    <row r="2608" spans="1:28" hidden="1">
      <c r="A2608">
        <v>2540</v>
      </c>
      <c r="B2608">
        <v>1000</v>
      </c>
      <c r="C2608" t="s">
        <v>217</v>
      </c>
      <c r="D2608" t="s">
        <v>4791</v>
      </c>
      <c r="E2608">
        <v>78</v>
      </c>
      <c r="G2608" t="s">
        <v>164</v>
      </c>
      <c r="H2608" t="s">
        <v>4792</v>
      </c>
      <c r="I2608" t="s">
        <v>4793</v>
      </c>
      <c r="J2608" t="s">
        <v>217</v>
      </c>
      <c r="K2608" t="s">
        <v>164</v>
      </c>
      <c r="M2608" t="b">
        <v>1</v>
      </c>
      <c r="N2608" t="s">
        <v>192</v>
      </c>
      <c r="O2608" t="s">
        <v>33</v>
      </c>
      <c r="Q2608">
        <v>110.62</v>
      </c>
      <c r="R2608">
        <v>0.6</v>
      </c>
      <c r="S2608" t="s">
        <v>539</v>
      </c>
      <c r="T2608">
        <v>61.9</v>
      </c>
      <c r="V2608">
        <v>101.9</v>
      </c>
      <c r="W2608">
        <v>82.9</v>
      </c>
      <c r="X2608">
        <v>24.3</v>
      </c>
      <c r="Y2608">
        <v>59.1</v>
      </c>
      <c r="Z2608">
        <v>60297396</v>
      </c>
      <c r="AA2608">
        <v>41.871940000000002</v>
      </c>
      <c r="AB2608">
        <v>12.56738</v>
      </c>
    </row>
    <row r="2609" spans="1:28" hidden="1">
      <c r="A2609">
        <v>2540</v>
      </c>
      <c r="B2609">
        <v>1000</v>
      </c>
      <c r="C2609" t="s">
        <v>54</v>
      </c>
      <c r="D2609" t="s">
        <v>4794</v>
      </c>
      <c r="E2609">
        <v>77</v>
      </c>
      <c r="I2609" t="s">
        <v>1152</v>
      </c>
      <c r="J2609" t="s">
        <v>54</v>
      </c>
      <c r="K2609" t="s">
        <v>4795</v>
      </c>
      <c r="M2609" t="b">
        <v>0</v>
      </c>
      <c r="N2609" t="s">
        <v>192</v>
      </c>
      <c r="O2609" t="s">
        <v>33</v>
      </c>
    </row>
    <row r="2610" spans="1:28">
      <c r="A2610">
        <v>2540</v>
      </c>
      <c r="B2610">
        <v>1000</v>
      </c>
      <c r="C2610" t="s">
        <v>63</v>
      </c>
      <c r="D2610" t="s">
        <v>4796</v>
      </c>
      <c r="E2610">
        <v>53</v>
      </c>
      <c r="F2610" t="str">
        <f>IF(E2610&gt;=90,"90-100",IF(E2610&gt;=80,"80-90",IF(E2610&gt;=70,"70-80",IF(E2610&gt;=60,"60-70",IF(E2610&gt;=50,"50-60",IF(E2610&gt;=40,"40-50",IF(E2610&gt;=30,"30-40","20-30")))))))</f>
        <v>50-60</v>
      </c>
      <c r="G2610" t="s">
        <v>38</v>
      </c>
      <c r="H2610" t="s">
        <v>739</v>
      </c>
      <c r="I2610" t="s">
        <v>4797</v>
      </c>
      <c r="J2610" t="s">
        <v>63</v>
      </c>
      <c r="K2610" t="s">
        <v>38</v>
      </c>
      <c r="L2610" t="s">
        <v>4798</v>
      </c>
      <c r="M2610" t="b">
        <v>1</v>
      </c>
      <c r="N2610" t="s">
        <v>419</v>
      </c>
      <c r="O2610" t="s">
        <v>4867</v>
      </c>
      <c r="P2610" t="s">
        <v>121</v>
      </c>
      <c r="Q2610">
        <v>117.24</v>
      </c>
      <c r="R2610">
        <v>7.5</v>
      </c>
      <c r="S2610" t="s">
        <v>44</v>
      </c>
      <c r="T2610">
        <v>88.2</v>
      </c>
      <c r="U2610" t="str">
        <f>IF(T2610&gt;=100,"above 100",IF(T2610&gt;=80,"80-100",IF(T2610&gt;=60,"60-80",IF(T2610&gt;=40,"40-60",IF(T2610&gt;=20,"20-60","0-20")))))</f>
        <v>80-100</v>
      </c>
      <c r="V2610">
        <v>101.8</v>
      </c>
      <c r="W2610">
        <v>78.5</v>
      </c>
      <c r="X2610">
        <v>9.6</v>
      </c>
      <c r="Y2610">
        <v>36.6</v>
      </c>
      <c r="Z2610">
        <v>328239523</v>
      </c>
      <c r="AA2610">
        <v>37.090240000000001</v>
      </c>
      <c r="AB2610">
        <v>-95.712890999999999</v>
      </c>
    </row>
    <row r="2611" spans="1:28" hidden="1">
      <c r="A2611">
        <v>2540</v>
      </c>
      <c r="B2611">
        <v>1000</v>
      </c>
      <c r="C2611" t="s">
        <v>26</v>
      </c>
      <c r="D2611" t="s">
        <v>4799</v>
      </c>
      <c r="G2611" t="s">
        <v>127</v>
      </c>
      <c r="H2611" t="s">
        <v>2615</v>
      </c>
      <c r="I2611" t="s">
        <v>2279</v>
      </c>
      <c r="J2611" t="s">
        <v>26</v>
      </c>
      <c r="K2611" t="s">
        <v>127</v>
      </c>
      <c r="M2611" t="b">
        <v>1</v>
      </c>
      <c r="N2611" t="s">
        <v>192</v>
      </c>
      <c r="O2611" t="s">
        <v>33</v>
      </c>
      <c r="Q2611">
        <v>116.76</v>
      </c>
      <c r="R2611">
        <v>1.9</v>
      </c>
      <c r="S2611" t="s">
        <v>132</v>
      </c>
      <c r="T2611">
        <v>68.900000000000006</v>
      </c>
      <c r="V2611">
        <v>100.9</v>
      </c>
      <c r="W2611">
        <v>81.900000000000006</v>
      </c>
      <c r="X2611">
        <v>12.8</v>
      </c>
      <c r="Y2611">
        <v>24.5</v>
      </c>
      <c r="Z2611">
        <v>36991981</v>
      </c>
      <c r="AA2611">
        <v>56.130366000000002</v>
      </c>
      <c r="AB2611">
        <v>-106.346771</v>
      </c>
    </row>
    <row r="2612" spans="1:28" hidden="1">
      <c r="A2612">
        <v>2540</v>
      </c>
      <c r="B2612">
        <v>1000</v>
      </c>
      <c r="C2612" t="s">
        <v>101</v>
      </c>
      <c r="D2612" t="s">
        <v>4800</v>
      </c>
      <c r="E2612">
        <v>74</v>
      </c>
      <c r="G2612" t="s">
        <v>1841</v>
      </c>
      <c r="I2612" t="s">
        <v>414</v>
      </c>
      <c r="J2612" t="s">
        <v>101</v>
      </c>
      <c r="K2612" t="s">
        <v>384</v>
      </c>
      <c r="M2612" t="b">
        <v>0</v>
      </c>
      <c r="N2612" t="s">
        <v>419</v>
      </c>
      <c r="O2612" t="s">
        <v>88</v>
      </c>
    </row>
    <row r="2613" spans="1:28" hidden="1">
      <c r="A2613">
        <v>2540</v>
      </c>
      <c r="B2613">
        <v>1000</v>
      </c>
      <c r="C2613" t="s">
        <v>250</v>
      </c>
      <c r="D2613" t="s">
        <v>4801</v>
      </c>
      <c r="E2613">
        <v>76</v>
      </c>
      <c r="G2613" t="s">
        <v>38</v>
      </c>
      <c r="H2613" t="s">
        <v>301</v>
      </c>
      <c r="I2613" t="s">
        <v>3525</v>
      </c>
      <c r="J2613" t="s">
        <v>250</v>
      </c>
      <c r="K2613" t="s">
        <v>38</v>
      </c>
      <c r="M2613" t="b">
        <v>1</v>
      </c>
      <c r="N2613" t="s">
        <v>42</v>
      </c>
      <c r="O2613" t="s">
        <v>33</v>
      </c>
      <c r="Q2613">
        <v>117.24</v>
      </c>
      <c r="R2613">
        <v>7.5</v>
      </c>
      <c r="S2613" t="s">
        <v>44</v>
      </c>
      <c r="T2613">
        <v>88.2</v>
      </c>
      <c r="V2613">
        <v>101.8</v>
      </c>
      <c r="W2613">
        <v>78.5</v>
      </c>
      <c r="X2613">
        <v>9.6</v>
      </c>
      <c r="Y2613">
        <v>36.6</v>
      </c>
      <c r="Z2613">
        <v>328239523</v>
      </c>
      <c r="AA2613">
        <v>37.090240000000001</v>
      </c>
      <c r="AB2613">
        <v>-95.712890999999999</v>
      </c>
    </row>
    <row r="2614" spans="1:28" hidden="1">
      <c r="A2614">
        <v>2540</v>
      </c>
      <c r="B2614">
        <v>1000</v>
      </c>
      <c r="C2614" t="s">
        <v>63</v>
      </c>
      <c r="D2614" t="s">
        <v>4802</v>
      </c>
      <c r="E2614">
        <v>69</v>
      </c>
      <c r="G2614" t="s">
        <v>252</v>
      </c>
      <c r="H2614" t="s">
        <v>253</v>
      </c>
      <c r="I2614" t="s">
        <v>4803</v>
      </c>
      <c r="J2614" t="s">
        <v>63</v>
      </c>
      <c r="K2614" t="s">
        <v>252</v>
      </c>
      <c r="M2614" t="b">
        <v>1</v>
      </c>
      <c r="N2614" t="s">
        <v>42</v>
      </c>
      <c r="O2614" t="s">
        <v>33</v>
      </c>
      <c r="Q2614">
        <v>151.18</v>
      </c>
      <c r="R2614">
        <v>3</v>
      </c>
      <c r="S2614" t="s">
        <v>255</v>
      </c>
      <c r="T2614">
        <v>36.299999999999997</v>
      </c>
      <c r="V2614">
        <v>106.4</v>
      </c>
      <c r="W2614">
        <v>71.5</v>
      </c>
      <c r="X2614">
        <v>10.199999999999999</v>
      </c>
      <c r="Y2614">
        <v>30.1</v>
      </c>
      <c r="Z2614">
        <v>270203917</v>
      </c>
      <c r="AA2614">
        <v>-0.78927499999999995</v>
      </c>
      <c r="AB2614">
        <v>113.92132700000001</v>
      </c>
    </row>
    <row r="2615" spans="1:28" hidden="1">
      <c r="A2615">
        <v>2540</v>
      </c>
      <c r="B2615">
        <v>1000</v>
      </c>
      <c r="C2615" t="s">
        <v>45</v>
      </c>
      <c r="D2615" t="s">
        <v>4804</v>
      </c>
      <c r="E2615">
        <v>68</v>
      </c>
      <c r="G2615" t="s">
        <v>38</v>
      </c>
      <c r="H2615" t="s">
        <v>3744</v>
      </c>
      <c r="I2615" t="s">
        <v>4805</v>
      </c>
      <c r="J2615" t="s">
        <v>45</v>
      </c>
      <c r="K2615" t="s">
        <v>38</v>
      </c>
      <c r="M2615" t="b">
        <v>1</v>
      </c>
      <c r="N2615" t="s">
        <v>419</v>
      </c>
      <c r="O2615" t="s">
        <v>88</v>
      </c>
      <c r="Q2615">
        <v>117.24</v>
      </c>
      <c r="R2615">
        <v>7.5</v>
      </c>
      <c r="S2615" t="s">
        <v>44</v>
      </c>
      <c r="T2615">
        <v>88.2</v>
      </c>
      <c r="V2615">
        <v>101.8</v>
      </c>
      <c r="W2615">
        <v>78.5</v>
      </c>
      <c r="X2615">
        <v>9.6</v>
      </c>
      <c r="Y2615">
        <v>36.6</v>
      </c>
      <c r="Z2615">
        <v>328239523</v>
      </c>
      <c r="AA2615">
        <v>37.090240000000001</v>
      </c>
      <c r="AB2615">
        <v>-95.712890999999999</v>
      </c>
    </row>
    <row r="2616" spans="1:28" hidden="1">
      <c r="A2616">
        <v>2540</v>
      </c>
      <c r="B2616">
        <v>1000</v>
      </c>
      <c r="C2616" t="s">
        <v>45</v>
      </c>
      <c r="D2616" t="s">
        <v>4806</v>
      </c>
      <c r="E2616">
        <v>73</v>
      </c>
      <c r="G2616" t="s">
        <v>38</v>
      </c>
      <c r="H2616" t="s">
        <v>3652</v>
      </c>
      <c r="I2616" t="s">
        <v>3365</v>
      </c>
      <c r="J2616" t="s">
        <v>45</v>
      </c>
      <c r="K2616" t="s">
        <v>38</v>
      </c>
      <c r="M2616" t="b">
        <v>1</v>
      </c>
      <c r="N2616" t="s">
        <v>42</v>
      </c>
      <c r="O2616" t="s">
        <v>33</v>
      </c>
      <c r="Q2616">
        <v>117.24</v>
      </c>
      <c r="R2616">
        <v>7.5</v>
      </c>
      <c r="S2616" t="s">
        <v>44</v>
      </c>
      <c r="T2616">
        <v>88.2</v>
      </c>
      <c r="V2616">
        <v>101.8</v>
      </c>
      <c r="W2616">
        <v>78.5</v>
      </c>
      <c r="X2616">
        <v>9.6</v>
      </c>
      <c r="Y2616">
        <v>36.6</v>
      </c>
      <c r="Z2616">
        <v>328239523</v>
      </c>
      <c r="AA2616">
        <v>37.090240000000001</v>
      </c>
      <c r="AB2616">
        <v>-95.712890999999999</v>
      </c>
    </row>
    <row r="2617" spans="1:28" hidden="1">
      <c r="A2617">
        <v>2540</v>
      </c>
      <c r="B2617">
        <v>1000</v>
      </c>
      <c r="C2617" t="s">
        <v>308</v>
      </c>
      <c r="D2617" t="s">
        <v>4807</v>
      </c>
      <c r="E2617">
        <v>60</v>
      </c>
      <c r="G2617" t="s">
        <v>833</v>
      </c>
      <c r="H2617" t="s">
        <v>834</v>
      </c>
      <c r="I2617" t="s">
        <v>1843</v>
      </c>
      <c r="J2617" t="s">
        <v>308</v>
      </c>
      <c r="K2617" t="s">
        <v>833</v>
      </c>
      <c r="M2617" t="b">
        <v>1</v>
      </c>
      <c r="N2617" t="s">
        <v>42</v>
      </c>
      <c r="O2617" t="s">
        <v>33</v>
      </c>
      <c r="Q2617">
        <v>120.27</v>
      </c>
      <c r="R2617">
        <v>2.2000000000000002</v>
      </c>
      <c r="S2617" t="s">
        <v>835</v>
      </c>
      <c r="T2617">
        <v>82</v>
      </c>
      <c r="V2617">
        <v>100.3</v>
      </c>
      <c r="W2617">
        <v>82.8</v>
      </c>
      <c r="X2617">
        <v>23.9</v>
      </c>
      <c r="Y2617">
        <v>36.200000000000003</v>
      </c>
      <c r="Z2617">
        <v>5347896</v>
      </c>
      <c r="AA2617">
        <v>60.472023999999998</v>
      </c>
      <c r="AB2617">
        <v>8.4689460000000008</v>
      </c>
    </row>
    <row r="2618" spans="1:28" hidden="1">
      <c r="A2618">
        <v>2540</v>
      </c>
      <c r="B2618">
        <v>1000</v>
      </c>
      <c r="C2618" t="s">
        <v>75</v>
      </c>
      <c r="D2618" t="s">
        <v>4808</v>
      </c>
      <c r="E2618">
        <v>53</v>
      </c>
      <c r="G2618" t="s">
        <v>263</v>
      </c>
      <c r="H2618" t="s">
        <v>274</v>
      </c>
      <c r="I2618" t="s">
        <v>4809</v>
      </c>
      <c r="J2618" t="s">
        <v>75</v>
      </c>
      <c r="K2618" t="s">
        <v>263</v>
      </c>
      <c r="M2618" t="b">
        <v>1</v>
      </c>
      <c r="N2618" t="s">
        <v>192</v>
      </c>
      <c r="O2618" t="s">
        <v>33</v>
      </c>
      <c r="Q2618">
        <v>180.75</v>
      </c>
      <c r="R2618">
        <v>4.5</v>
      </c>
      <c r="S2618" t="s">
        <v>276</v>
      </c>
      <c r="T2618">
        <v>81.900000000000006</v>
      </c>
      <c r="V2618">
        <v>102.6</v>
      </c>
      <c r="W2618">
        <v>72.7</v>
      </c>
      <c r="X2618">
        <v>11.4</v>
      </c>
      <c r="Y2618">
        <v>46.2</v>
      </c>
      <c r="Z2618">
        <v>144373535</v>
      </c>
      <c r="AA2618">
        <v>61.524009999999997</v>
      </c>
      <c r="AB2618">
        <v>105.31875599999999</v>
      </c>
    </row>
    <row r="2619" spans="1:28" hidden="1">
      <c r="A2619">
        <v>2540</v>
      </c>
      <c r="B2619">
        <v>1000</v>
      </c>
      <c r="C2619" t="s">
        <v>54</v>
      </c>
      <c r="D2619" t="s">
        <v>4810</v>
      </c>
      <c r="E2619">
        <v>51</v>
      </c>
      <c r="G2619" t="s">
        <v>263</v>
      </c>
      <c r="H2619" t="s">
        <v>274</v>
      </c>
      <c r="I2619" t="s">
        <v>4811</v>
      </c>
      <c r="J2619" t="s">
        <v>54</v>
      </c>
      <c r="K2619" t="s">
        <v>263</v>
      </c>
      <c r="M2619" t="b">
        <v>1</v>
      </c>
      <c r="N2619" t="s">
        <v>853</v>
      </c>
      <c r="O2619" t="s">
        <v>33</v>
      </c>
      <c r="Q2619">
        <v>180.75</v>
      </c>
      <c r="R2619">
        <v>4.5</v>
      </c>
      <c r="S2619" t="s">
        <v>276</v>
      </c>
      <c r="T2619">
        <v>81.900000000000006</v>
      </c>
      <c r="V2619">
        <v>102.6</v>
      </c>
      <c r="W2619">
        <v>72.7</v>
      </c>
      <c r="X2619">
        <v>11.4</v>
      </c>
      <c r="Y2619">
        <v>46.2</v>
      </c>
      <c r="Z2619">
        <v>144373535</v>
      </c>
      <c r="AA2619">
        <v>61.524009999999997</v>
      </c>
      <c r="AB2619">
        <v>105.31875599999999</v>
      </c>
    </row>
    <row r="2620" spans="1:28" hidden="1">
      <c r="A2620">
        <v>2540</v>
      </c>
      <c r="B2620">
        <v>1000</v>
      </c>
      <c r="C2620" t="s">
        <v>217</v>
      </c>
      <c r="D2620" t="s">
        <v>4812</v>
      </c>
      <c r="E2620">
        <v>70</v>
      </c>
      <c r="G2620" t="s">
        <v>252</v>
      </c>
      <c r="H2620" t="s">
        <v>3255</v>
      </c>
      <c r="I2620" t="s">
        <v>450</v>
      </c>
      <c r="J2620" t="s">
        <v>217</v>
      </c>
      <c r="K2620" t="s">
        <v>252</v>
      </c>
      <c r="M2620" t="b">
        <v>0</v>
      </c>
      <c r="N2620" t="s">
        <v>212</v>
      </c>
      <c r="O2620" t="s">
        <v>33</v>
      </c>
      <c r="Q2620">
        <v>151.18</v>
      </c>
      <c r="R2620">
        <v>3</v>
      </c>
      <c r="S2620" t="s">
        <v>255</v>
      </c>
      <c r="T2620">
        <v>36.299999999999997</v>
      </c>
      <c r="V2620">
        <v>106.4</v>
      </c>
      <c r="W2620">
        <v>71.5</v>
      </c>
      <c r="X2620">
        <v>10.199999999999999</v>
      </c>
      <c r="Y2620">
        <v>30.1</v>
      </c>
      <c r="Z2620">
        <v>270203917</v>
      </c>
      <c r="AA2620">
        <v>-0.78927499999999995</v>
      </c>
      <c r="AB2620">
        <v>113.92132700000001</v>
      </c>
    </row>
    <row r="2621" spans="1:28" hidden="1">
      <c r="A2621">
        <v>2540</v>
      </c>
      <c r="B2621">
        <v>1000</v>
      </c>
      <c r="C2621" t="s">
        <v>217</v>
      </c>
      <c r="D2621" t="s">
        <v>4813</v>
      </c>
      <c r="E2621">
        <v>59</v>
      </c>
      <c r="G2621" t="s">
        <v>252</v>
      </c>
      <c r="H2621" t="s">
        <v>253</v>
      </c>
      <c r="I2621" t="s">
        <v>217</v>
      </c>
      <c r="J2621" t="s">
        <v>217</v>
      </c>
      <c r="K2621" t="s">
        <v>252</v>
      </c>
      <c r="M2621" t="b">
        <v>0</v>
      </c>
      <c r="N2621" t="s">
        <v>192</v>
      </c>
      <c r="O2621" t="s">
        <v>33</v>
      </c>
      <c r="Q2621">
        <v>151.18</v>
      </c>
      <c r="R2621">
        <v>3</v>
      </c>
      <c r="S2621" t="s">
        <v>255</v>
      </c>
      <c r="T2621">
        <v>36.299999999999997</v>
      </c>
      <c r="V2621">
        <v>106.4</v>
      </c>
      <c r="W2621">
        <v>71.5</v>
      </c>
      <c r="X2621">
        <v>10.199999999999999</v>
      </c>
      <c r="Y2621">
        <v>30.1</v>
      </c>
      <c r="Z2621">
        <v>270203917</v>
      </c>
      <c r="AA2621">
        <v>-0.78927499999999995</v>
      </c>
      <c r="AB2621">
        <v>113.92132700000001</v>
      </c>
    </row>
    <row r="2622" spans="1:28" hidden="1">
      <c r="A2622">
        <v>2540</v>
      </c>
      <c r="B2622">
        <v>1000</v>
      </c>
      <c r="C2622" t="s">
        <v>101</v>
      </c>
      <c r="D2622" t="s">
        <v>4814</v>
      </c>
      <c r="E2622">
        <v>77</v>
      </c>
      <c r="G2622" t="s">
        <v>38</v>
      </c>
      <c r="H2622" t="s">
        <v>4815</v>
      </c>
      <c r="I2622" t="s">
        <v>4816</v>
      </c>
      <c r="J2622" t="s">
        <v>101</v>
      </c>
      <c r="K2622" t="s">
        <v>38</v>
      </c>
      <c r="M2622" t="b">
        <v>1</v>
      </c>
      <c r="N2622" t="s">
        <v>192</v>
      </c>
      <c r="O2622" t="s">
        <v>33</v>
      </c>
      <c r="Q2622">
        <v>117.24</v>
      </c>
      <c r="R2622">
        <v>7.5</v>
      </c>
      <c r="S2622" t="s">
        <v>44</v>
      </c>
      <c r="T2622">
        <v>88.2</v>
      </c>
      <c r="V2622">
        <v>101.8</v>
      </c>
      <c r="W2622">
        <v>78.5</v>
      </c>
      <c r="X2622">
        <v>9.6</v>
      </c>
      <c r="Y2622">
        <v>36.6</v>
      </c>
      <c r="Z2622">
        <v>328239523</v>
      </c>
      <c r="AA2622">
        <v>37.090240000000001</v>
      </c>
      <c r="AB2622">
        <v>-95.712890999999999</v>
      </c>
    </row>
    <row r="2623" spans="1:28" hidden="1">
      <c r="A2623">
        <v>2540</v>
      </c>
      <c r="B2623">
        <v>1000</v>
      </c>
      <c r="C2623" t="s">
        <v>63</v>
      </c>
      <c r="D2623" t="s">
        <v>4817</v>
      </c>
      <c r="E2623">
        <v>82</v>
      </c>
      <c r="G2623" t="s">
        <v>198</v>
      </c>
      <c r="H2623" t="s">
        <v>320</v>
      </c>
      <c r="I2623" t="s">
        <v>1448</v>
      </c>
      <c r="J2623" t="s">
        <v>63</v>
      </c>
      <c r="K2623" t="s">
        <v>198</v>
      </c>
      <c r="M2623" t="b">
        <v>1</v>
      </c>
      <c r="N2623" t="s">
        <v>192</v>
      </c>
      <c r="O2623" t="s">
        <v>33</v>
      </c>
      <c r="Q2623">
        <v>105.48</v>
      </c>
      <c r="R2623">
        <v>0.5</v>
      </c>
      <c r="S2623" t="s">
        <v>201</v>
      </c>
      <c r="T2623">
        <v>63.2</v>
      </c>
      <c r="V2623">
        <v>98.8</v>
      </c>
      <c r="W2623">
        <v>84.2</v>
      </c>
      <c r="X2623">
        <v>11.9</v>
      </c>
      <c r="Y2623">
        <v>46.7</v>
      </c>
      <c r="Z2623">
        <v>126226568</v>
      </c>
      <c r="AA2623">
        <v>36.204824000000002</v>
      </c>
      <c r="AB2623">
        <v>138.25292400000001</v>
      </c>
    </row>
    <row r="2624" spans="1:28" hidden="1">
      <c r="A2624">
        <v>2540</v>
      </c>
      <c r="B2624">
        <v>1000</v>
      </c>
      <c r="C2624" t="s">
        <v>68</v>
      </c>
      <c r="D2624" t="s">
        <v>4818</v>
      </c>
      <c r="E2624">
        <v>75</v>
      </c>
      <c r="G2624" t="s">
        <v>1267</v>
      </c>
      <c r="H2624" t="s">
        <v>1268</v>
      </c>
      <c r="I2624" t="s">
        <v>68</v>
      </c>
      <c r="J2624" t="s">
        <v>68</v>
      </c>
      <c r="K2624" t="s">
        <v>1267</v>
      </c>
      <c r="M2624" t="b">
        <v>1</v>
      </c>
      <c r="N2624" t="s">
        <v>42</v>
      </c>
      <c r="O2624" t="s">
        <v>33</v>
      </c>
      <c r="Q2624">
        <v>234.44</v>
      </c>
      <c r="R2624">
        <v>15.2</v>
      </c>
      <c r="S2624" t="s">
        <v>1270</v>
      </c>
      <c r="T2624">
        <v>23.9</v>
      </c>
      <c r="V2624">
        <v>93.2</v>
      </c>
      <c r="W2624">
        <v>77.400000000000006</v>
      </c>
      <c r="X2624">
        <v>17.899999999999999</v>
      </c>
      <c r="Y2624">
        <v>42.3</v>
      </c>
      <c r="Z2624">
        <v>83429615</v>
      </c>
      <c r="AA2624">
        <v>38.963745000000003</v>
      </c>
      <c r="AB2624">
        <v>35.243321999999999</v>
      </c>
    </row>
    <row r="2625" spans="1:28" hidden="1">
      <c r="A2625">
        <v>2540</v>
      </c>
      <c r="B2625">
        <v>1000</v>
      </c>
      <c r="C2625" t="s">
        <v>45</v>
      </c>
      <c r="D2625" t="s">
        <v>4819</v>
      </c>
      <c r="E2625">
        <v>70</v>
      </c>
      <c r="G2625" t="s">
        <v>198</v>
      </c>
      <c r="H2625" t="s">
        <v>4820</v>
      </c>
      <c r="I2625" t="s">
        <v>572</v>
      </c>
      <c r="J2625" t="s">
        <v>45</v>
      </c>
      <c r="K2625" t="s">
        <v>198</v>
      </c>
      <c r="M2625" t="b">
        <v>1</v>
      </c>
      <c r="N2625" t="s">
        <v>419</v>
      </c>
      <c r="O2625" t="s">
        <v>33</v>
      </c>
      <c r="Q2625">
        <v>105.48</v>
      </c>
      <c r="R2625">
        <v>0.5</v>
      </c>
      <c r="S2625" t="s">
        <v>201</v>
      </c>
      <c r="T2625">
        <v>63.2</v>
      </c>
      <c r="V2625">
        <v>98.8</v>
      </c>
      <c r="W2625">
        <v>84.2</v>
      </c>
      <c r="X2625">
        <v>11.9</v>
      </c>
      <c r="Y2625">
        <v>46.7</v>
      </c>
      <c r="Z2625">
        <v>126226568</v>
      </c>
      <c r="AA2625">
        <v>36.204824000000002</v>
      </c>
      <c r="AB2625">
        <v>138.25292400000001</v>
      </c>
    </row>
    <row r="2626" spans="1:28" hidden="1">
      <c r="A2626">
        <v>2540</v>
      </c>
      <c r="B2626">
        <v>1000</v>
      </c>
      <c r="C2626" t="s">
        <v>288</v>
      </c>
      <c r="D2626" t="s">
        <v>4821</v>
      </c>
      <c r="E2626">
        <v>54</v>
      </c>
      <c r="G2626" t="s">
        <v>103</v>
      </c>
      <c r="H2626" t="s">
        <v>176</v>
      </c>
      <c r="I2626" t="s">
        <v>971</v>
      </c>
      <c r="J2626" t="s">
        <v>288</v>
      </c>
      <c r="K2626" t="s">
        <v>103</v>
      </c>
      <c r="M2626" t="b">
        <v>1</v>
      </c>
      <c r="N2626" t="s">
        <v>853</v>
      </c>
      <c r="O2626" t="s">
        <v>33</v>
      </c>
      <c r="Q2626">
        <v>125.08</v>
      </c>
      <c r="R2626">
        <v>2.9</v>
      </c>
      <c r="S2626" t="s">
        <v>106</v>
      </c>
      <c r="T2626">
        <v>50.6</v>
      </c>
      <c r="V2626">
        <v>100.2</v>
      </c>
      <c r="W2626">
        <v>77</v>
      </c>
      <c r="X2626">
        <v>9.4</v>
      </c>
      <c r="Y2626">
        <v>59.2</v>
      </c>
      <c r="Z2626">
        <v>1397715000</v>
      </c>
      <c r="AA2626">
        <v>35.861660000000001</v>
      </c>
      <c r="AB2626">
        <v>104.195397</v>
      </c>
    </row>
    <row r="2627" spans="1:28" hidden="1">
      <c r="A2627">
        <v>2540</v>
      </c>
      <c r="B2627">
        <v>1000</v>
      </c>
      <c r="C2627" t="s">
        <v>36</v>
      </c>
      <c r="D2627" t="s">
        <v>4822</v>
      </c>
      <c r="E2627">
        <v>53</v>
      </c>
      <c r="G2627" t="s">
        <v>103</v>
      </c>
      <c r="H2627" t="s">
        <v>633</v>
      </c>
      <c r="I2627" t="s">
        <v>506</v>
      </c>
      <c r="J2627" t="s">
        <v>36</v>
      </c>
      <c r="K2627" t="s">
        <v>103</v>
      </c>
      <c r="M2627" t="b">
        <v>1</v>
      </c>
      <c r="N2627" t="s">
        <v>42</v>
      </c>
      <c r="O2627" t="s">
        <v>33</v>
      </c>
      <c r="Q2627">
        <v>125.08</v>
      </c>
      <c r="R2627">
        <v>2.9</v>
      </c>
      <c r="S2627" t="s">
        <v>106</v>
      </c>
      <c r="T2627">
        <v>50.6</v>
      </c>
      <c r="V2627">
        <v>100.2</v>
      </c>
      <c r="W2627">
        <v>77</v>
      </c>
      <c r="X2627">
        <v>9.4</v>
      </c>
      <c r="Y2627">
        <v>59.2</v>
      </c>
      <c r="Z2627">
        <v>1397715000</v>
      </c>
      <c r="AA2627">
        <v>35.861660000000001</v>
      </c>
      <c r="AB2627">
        <v>104.195397</v>
      </c>
    </row>
    <row r="2628" spans="1:28" hidden="1">
      <c r="A2628">
        <v>2540</v>
      </c>
      <c r="B2628">
        <v>1000</v>
      </c>
      <c r="C2628" t="s">
        <v>154</v>
      </c>
      <c r="D2628" t="s">
        <v>4823</v>
      </c>
      <c r="E2628">
        <v>77</v>
      </c>
      <c r="I2628" t="s">
        <v>154</v>
      </c>
      <c r="J2628" t="s">
        <v>154</v>
      </c>
      <c r="K2628" t="s">
        <v>198</v>
      </c>
      <c r="M2628" t="b">
        <v>1</v>
      </c>
      <c r="N2628" t="s">
        <v>853</v>
      </c>
      <c r="O2628" t="s">
        <v>33</v>
      </c>
    </row>
    <row r="2629" spans="1:28" hidden="1">
      <c r="A2629">
        <v>2540</v>
      </c>
      <c r="B2629">
        <v>1000</v>
      </c>
      <c r="C2629" t="s">
        <v>54</v>
      </c>
      <c r="D2629" t="s">
        <v>4824</v>
      </c>
      <c r="E2629">
        <v>72</v>
      </c>
      <c r="G2629" t="s">
        <v>127</v>
      </c>
      <c r="H2629" t="s">
        <v>128</v>
      </c>
      <c r="I2629" t="s">
        <v>3449</v>
      </c>
      <c r="J2629" t="s">
        <v>54</v>
      </c>
      <c r="K2629" t="s">
        <v>127</v>
      </c>
      <c r="M2629" t="b">
        <v>1</v>
      </c>
      <c r="N2629" t="s">
        <v>853</v>
      </c>
      <c r="O2629" t="s">
        <v>33</v>
      </c>
      <c r="Q2629">
        <v>116.76</v>
      </c>
      <c r="R2629">
        <v>1.9</v>
      </c>
      <c r="S2629" t="s">
        <v>132</v>
      </c>
      <c r="T2629">
        <v>68.900000000000006</v>
      </c>
      <c r="V2629">
        <v>100.9</v>
      </c>
      <c r="W2629">
        <v>81.900000000000006</v>
      </c>
      <c r="X2629">
        <v>12.8</v>
      </c>
      <c r="Y2629">
        <v>24.5</v>
      </c>
      <c r="Z2629">
        <v>36991981</v>
      </c>
      <c r="AA2629">
        <v>56.130366000000002</v>
      </c>
      <c r="AB2629">
        <v>-106.346771</v>
      </c>
    </row>
    <row r="2630" spans="1:28" hidden="1">
      <c r="A2630">
        <v>2540</v>
      </c>
      <c r="B2630">
        <v>1000</v>
      </c>
      <c r="C2630" t="s">
        <v>101</v>
      </c>
      <c r="D2630" t="s">
        <v>4825</v>
      </c>
      <c r="E2630">
        <v>60</v>
      </c>
      <c r="G2630" t="s">
        <v>103</v>
      </c>
      <c r="H2630" t="s">
        <v>4826</v>
      </c>
      <c r="I2630" t="s">
        <v>522</v>
      </c>
      <c r="J2630" t="s">
        <v>101</v>
      </c>
      <c r="K2630" t="s">
        <v>103</v>
      </c>
      <c r="M2630" t="b">
        <v>1</v>
      </c>
      <c r="N2630" t="s">
        <v>42</v>
      </c>
      <c r="O2630" t="s">
        <v>33</v>
      </c>
      <c r="Q2630">
        <v>125.08</v>
      </c>
      <c r="R2630">
        <v>2.9</v>
      </c>
      <c r="S2630" t="s">
        <v>106</v>
      </c>
      <c r="T2630">
        <v>50.6</v>
      </c>
      <c r="V2630">
        <v>100.2</v>
      </c>
      <c r="W2630">
        <v>77</v>
      </c>
      <c r="X2630">
        <v>9.4</v>
      </c>
      <c r="Y2630">
        <v>59.2</v>
      </c>
      <c r="Z2630">
        <v>1397715000</v>
      </c>
      <c r="AA2630">
        <v>35.861660000000001</v>
      </c>
      <c r="AB2630">
        <v>104.195397</v>
      </c>
    </row>
    <row r="2631" spans="1:28" hidden="1">
      <c r="A2631">
        <v>2540</v>
      </c>
      <c r="B2631">
        <v>1000</v>
      </c>
      <c r="C2631" t="s">
        <v>478</v>
      </c>
      <c r="D2631" t="s">
        <v>4827</v>
      </c>
      <c r="E2631">
        <v>51</v>
      </c>
      <c r="G2631" t="s">
        <v>339</v>
      </c>
      <c r="I2631" t="s">
        <v>478</v>
      </c>
      <c r="J2631" t="s">
        <v>478</v>
      </c>
      <c r="K2631" t="s">
        <v>189</v>
      </c>
      <c r="M2631" t="b">
        <v>1</v>
      </c>
      <c r="N2631" t="s">
        <v>192</v>
      </c>
      <c r="O2631" t="s">
        <v>33</v>
      </c>
      <c r="S2631" t="s">
        <v>343</v>
      </c>
      <c r="Z2631">
        <v>38964</v>
      </c>
      <c r="AA2631">
        <v>43.738417599999998</v>
      </c>
      <c r="AB2631">
        <v>7.4246157999999998</v>
      </c>
    </row>
    <row r="2632" spans="1:28" hidden="1">
      <c r="A2632">
        <v>2540</v>
      </c>
      <c r="B2632">
        <v>1000</v>
      </c>
      <c r="C2632" t="s">
        <v>217</v>
      </c>
      <c r="D2632" t="s">
        <v>4828</v>
      </c>
      <c r="E2632">
        <v>35</v>
      </c>
      <c r="I2632" t="s">
        <v>1252</v>
      </c>
      <c r="J2632" t="s">
        <v>217</v>
      </c>
      <c r="K2632" t="s">
        <v>148</v>
      </c>
      <c r="M2632" t="b">
        <v>0</v>
      </c>
      <c r="N2632" t="s">
        <v>42</v>
      </c>
      <c r="O2632" t="s">
        <v>88</v>
      </c>
    </row>
    <row r="2633" spans="1:28" hidden="1">
      <c r="A2633">
        <v>2540</v>
      </c>
      <c r="B2633">
        <v>1000</v>
      </c>
      <c r="C2633" t="s">
        <v>26</v>
      </c>
      <c r="D2633" t="s">
        <v>4829</v>
      </c>
      <c r="E2633">
        <v>54</v>
      </c>
      <c r="G2633" t="s">
        <v>103</v>
      </c>
      <c r="H2633" t="s">
        <v>489</v>
      </c>
      <c r="I2633" t="s">
        <v>940</v>
      </c>
      <c r="J2633" t="s">
        <v>26</v>
      </c>
      <c r="K2633" t="s">
        <v>103</v>
      </c>
      <c r="M2633" t="b">
        <v>1</v>
      </c>
      <c r="N2633" t="s">
        <v>192</v>
      </c>
      <c r="O2633" t="s">
        <v>33</v>
      </c>
      <c r="Q2633">
        <v>125.08</v>
      </c>
      <c r="R2633">
        <v>2.9</v>
      </c>
      <c r="S2633" t="s">
        <v>106</v>
      </c>
      <c r="T2633">
        <v>50.6</v>
      </c>
      <c r="V2633">
        <v>100.2</v>
      </c>
      <c r="W2633">
        <v>77</v>
      </c>
      <c r="X2633">
        <v>9.4</v>
      </c>
      <c r="Y2633">
        <v>59.2</v>
      </c>
      <c r="Z2633">
        <v>1397715000</v>
      </c>
      <c r="AA2633">
        <v>35.861660000000001</v>
      </c>
      <c r="AB2633">
        <v>104.195397</v>
      </c>
    </row>
    <row r="2634" spans="1:28" hidden="1">
      <c r="A2634">
        <v>2540</v>
      </c>
      <c r="B2634">
        <v>1000</v>
      </c>
      <c r="C2634" t="s">
        <v>217</v>
      </c>
      <c r="D2634" t="s">
        <v>4830</v>
      </c>
      <c r="E2634">
        <v>59</v>
      </c>
      <c r="G2634" t="s">
        <v>103</v>
      </c>
      <c r="H2634" t="s">
        <v>4053</v>
      </c>
      <c r="I2634" t="s">
        <v>287</v>
      </c>
      <c r="J2634" t="s">
        <v>217</v>
      </c>
      <c r="K2634" t="s">
        <v>103</v>
      </c>
      <c r="M2634" t="b">
        <v>1</v>
      </c>
      <c r="N2634" t="s">
        <v>42</v>
      </c>
      <c r="O2634" t="s">
        <v>33</v>
      </c>
      <c r="Q2634">
        <v>125.08</v>
      </c>
      <c r="R2634">
        <v>2.9</v>
      </c>
      <c r="S2634" t="s">
        <v>106</v>
      </c>
      <c r="T2634">
        <v>50.6</v>
      </c>
      <c r="V2634">
        <v>100.2</v>
      </c>
      <c r="W2634">
        <v>77</v>
      </c>
      <c r="X2634">
        <v>9.4</v>
      </c>
      <c r="Y2634">
        <v>59.2</v>
      </c>
      <c r="Z2634">
        <v>1397715000</v>
      </c>
      <c r="AA2634">
        <v>35.861660000000001</v>
      </c>
      <c r="AB2634">
        <v>104.195397</v>
      </c>
    </row>
    <row r="2635" spans="1:28" hidden="1">
      <c r="A2635">
        <v>2540</v>
      </c>
      <c r="B2635">
        <v>1000</v>
      </c>
      <c r="C2635" t="s">
        <v>217</v>
      </c>
      <c r="D2635" t="s">
        <v>4831</v>
      </c>
      <c r="E2635">
        <v>53</v>
      </c>
      <c r="G2635" t="s">
        <v>103</v>
      </c>
      <c r="H2635" t="s">
        <v>4832</v>
      </c>
      <c r="I2635" t="s">
        <v>217</v>
      </c>
      <c r="J2635" t="s">
        <v>217</v>
      </c>
      <c r="K2635" t="s">
        <v>103</v>
      </c>
      <c r="M2635" t="b">
        <v>1</v>
      </c>
      <c r="N2635" t="s">
        <v>42</v>
      </c>
      <c r="O2635" t="s">
        <v>33</v>
      </c>
      <c r="Q2635">
        <v>125.08</v>
      </c>
      <c r="R2635">
        <v>2.9</v>
      </c>
      <c r="S2635" t="s">
        <v>106</v>
      </c>
      <c r="T2635">
        <v>50.6</v>
      </c>
      <c r="V2635">
        <v>100.2</v>
      </c>
      <c r="W2635">
        <v>77</v>
      </c>
      <c r="X2635">
        <v>9.4</v>
      </c>
      <c r="Y2635">
        <v>59.2</v>
      </c>
      <c r="Z2635">
        <v>1397715000</v>
      </c>
      <c r="AA2635">
        <v>35.861660000000001</v>
      </c>
      <c r="AB2635">
        <v>104.195397</v>
      </c>
    </row>
    <row r="2636" spans="1:28" hidden="1">
      <c r="A2636">
        <v>2540</v>
      </c>
      <c r="B2636">
        <v>1000</v>
      </c>
      <c r="C2636" t="s">
        <v>288</v>
      </c>
      <c r="D2636" t="s">
        <v>4833</v>
      </c>
      <c r="E2636">
        <v>63</v>
      </c>
      <c r="G2636" t="s">
        <v>103</v>
      </c>
      <c r="H2636" t="s">
        <v>489</v>
      </c>
      <c r="I2636" t="s">
        <v>418</v>
      </c>
      <c r="J2636" t="s">
        <v>288</v>
      </c>
      <c r="K2636" t="s">
        <v>103</v>
      </c>
      <c r="M2636" t="b">
        <v>1</v>
      </c>
      <c r="N2636" t="s">
        <v>42</v>
      </c>
      <c r="O2636" t="s">
        <v>33</v>
      </c>
      <c r="Q2636">
        <v>125.08</v>
      </c>
      <c r="R2636">
        <v>2.9</v>
      </c>
      <c r="S2636" t="s">
        <v>106</v>
      </c>
      <c r="T2636">
        <v>50.6</v>
      </c>
      <c r="V2636">
        <v>100.2</v>
      </c>
      <c r="W2636">
        <v>77</v>
      </c>
      <c r="X2636">
        <v>9.4</v>
      </c>
      <c r="Y2636">
        <v>59.2</v>
      </c>
      <c r="Z2636">
        <v>1397715000</v>
      </c>
      <c r="AA2636">
        <v>35.861660000000001</v>
      </c>
      <c r="AB2636">
        <v>104.195397</v>
      </c>
    </row>
    <row r="2637" spans="1:28" hidden="1">
      <c r="A2637">
        <v>2540</v>
      </c>
      <c r="B2637">
        <v>1000</v>
      </c>
      <c r="C2637" t="s">
        <v>288</v>
      </c>
      <c r="D2637" t="s">
        <v>4834</v>
      </c>
      <c r="E2637">
        <v>51</v>
      </c>
      <c r="G2637" t="s">
        <v>103</v>
      </c>
      <c r="H2637" t="s">
        <v>215</v>
      </c>
      <c r="I2637" t="s">
        <v>4835</v>
      </c>
      <c r="J2637" t="s">
        <v>288</v>
      </c>
      <c r="K2637" t="s">
        <v>103</v>
      </c>
      <c r="M2637" t="b">
        <v>1</v>
      </c>
      <c r="N2637" t="s">
        <v>42</v>
      </c>
      <c r="O2637" t="s">
        <v>33</v>
      </c>
      <c r="Q2637">
        <v>125.08</v>
      </c>
      <c r="R2637">
        <v>2.9</v>
      </c>
      <c r="S2637" t="s">
        <v>106</v>
      </c>
      <c r="T2637">
        <v>50.6</v>
      </c>
      <c r="V2637">
        <v>100.2</v>
      </c>
      <c r="W2637">
        <v>77</v>
      </c>
      <c r="X2637">
        <v>9.4</v>
      </c>
      <c r="Y2637">
        <v>59.2</v>
      </c>
      <c r="Z2637">
        <v>1397715000</v>
      </c>
      <c r="AA2637">
        <v>35.861660000000001</v>
      </c>
      <c r="AB2637">
        <v>104.195397</v>
      </c>
    </row>
    <row r="2638" spans="1:28" hidden="1">
      <c r="A2638">
        <v>2540</v>
      </c>
      <c r="B2638">
        <v>1000</v>
      </c>
      <c r="C2638" t="s">
        <v>101</v>
      </c>
      <c r="D2638" t="s">
        <v>4836</v>
      </c>
      <c r="E2638">
        <v>80</v>
      </c>
      <c r="G2638" t="s">
        <v>38</v>
      </c>
      <c r="H2638" t="s">
        <v>4837</v>
      </c>
      <c r="I2638" t="s">
        <v>414</v>
      </c>
      <c r="J2638" t="s">
        <v>101</v>
      </c>
      <c r="K2638" t="s">
        <v>38</v>
      </c>
      <c r="M2638" t="b">
        <v>0</v>
      </c>
      <c r="N2638" t="s">
        <v>419</v>
      </c>
      <c r="O2638" t="s">
        <v>33</v>
      </c>
      <c r="Q2638">
        <v>117.24</v>
      </c>
      <c r="R2638">
        <v>7.5</v>
      </c>
      <c r="S2638" t="s">
        <v>44</v>
      </c>
      <c r="T2638">
        <v>88.2</v>
      </c>
      <c r="V2638">
        <v>101.8</v>
      </c>
      <c r="W2638">
        <v>78.5</v>
      </c>
      <c r="X2638">
        <v>9.6</v>
      </c>
      <c r="Y2638">
        <v>36.6</v>
      </c>
      <c r="Z2638">
        <v>328239523</v>
      </c>
      <c r="AA2638">
        <v>37.090240000000001</v>
      </c>
      <c r="AB2638">
        <v>-95.712890999999999</v>
      </c>
    </row>
    <row r="2639" spans="1:28" hidden="1">
      <c r="A2639">
        <v>2540</v>
      </c>
      <c r="B2639">
        <v>1000</v>
      </c>
      <c r="C2639" t="s">
        <v>217</v>
      </c>
      <c r="D2639" t="s">
        <v>4838</v>
      </c>
      <c r="E2639">
        <v>60</v>
      </c>
      <c r="G2639" t="s">
        <v>103</v>
      </c>
      <c r="H2639" t="s">
        <v>4839</v>
      </c>
      <c r="I2639" t="s">
        <v>4840</v>
      </c>
      <c r="J2639" t="s">
        <v>217</v>
      </c>
      <c r="K2639" t="s">
        <v>103</v>
      </c>
      <c r="M2639" t="b">
        <v>1</v>
      </c>
      <c r="N2639" t="s">
        <v>853</v>
      </c>
      <c r="O2639" t="s">
        <v>33</v>
      </c>
      <c r="Q2639">
        <v>125.08</v>
      </c>
      <c r="R2639">
        <v>2.9</v>
      </c>
      <c r="S2639" t="s">
        <v>106</v>
      </c>
      <c r="T2639">
        <v>50.6</v>
      </c>
      <c r="V2639">
        <v>100.2</v>
      </c>
      <c r="W2639">
        <v>77</v>
      </c>
      <c r="X2639">
        <v>9.4</v>
      </c>
      <c r="Y2639">
        <v>59.2</v>
      </c>
      <c r="Z2639">
        <v>1397715000</v>
      </c>
      <c r="AA2639">
        <v>35.861660000000001</v>
      </c>
      <c r="AB2639">
        <v>104.195397</v>
      </c>
    </row>
    <row r="2640" spans="1:28" hidden="1">
      <c r="A2640">
        <v>2540</v>
      </c>
      <c r="B2640">
        <v>1000</v>
      </c>
      <c r="C2640" t="s">
        <v>221</v>
      </c>
      <c r="D2640" t="s">
        <v>4841</v>
      </c>
      <c r="E2640">
        <v>71</v>
      </c>
      <c r="G2640" t="s">
        <v>103</v>
      </c>
      <c r="H2640" t="s">
        <v>2663</v>
      </c>
      <c r="I2640" t="s">
        <v>223</v>
      </c>
      <c r="J2640" t="s">
        <v>221</v>
      </c>
      <c r="K2640" t="s">
        <v>103</v>
      </c>
      <c r="M2640" t="b">
        <v>1</v>
      </c>
      <c r="N2640" t="s">
        <v>42</v>
      </c>
      <c r="O2640" t="s">
        <v>33</v>
      </c>
      <c r="Q2640">
        <v>125.08</v>
      </c>
      <c r="R2640">
        <v>2.9</v>
      </c>
      <c r="S2640" t="s">
        <v>106</v>
      </c>
      <c r="T2640">
        <v>50.6</v>
      </c>
      <c r="V2640">
        <v>100.2</v>
      </c>
      <c r="W2640">
        <v>77</v>
      </c>
      <c r="X2640">
        <v>9.4</v>
      </c>
      <c r="Y2640">
        <v>59.2</v>
      </c>
      <c r="Z2640">
        <v>1397715000</v>
      </c>
      <c r="AA2640">
        <v>35.861660000000001</v>
      </c>
      <c r="AB2640">
        <v>104.195397</v>
      </c>
    </row>
    <row r="2641" spans="1:28" hidden="1">
      <c r="A2641">
        <v>2540</v>
      </c>
      <c r="B2641">
        <v>1000</v>
      </c>
      <c r="C2641" t="s">
        <v>75</v>
      </c>
      <c r="D2641" t="s">
        <v>4842</v>
      </c>
      <c r="E2641">
        <v>66</v>
      </c>
      <c r="G2641" t="s">
        <v>726</v>
      </c>
      <c r="H2641" t="s">
        <v>4843</v>
      </c>
      <c r="I2641" t="s">
        <v>75</v>
      </c>
      <c r="J2641" t="s">
        <v>75</v>
      </c>
      <c r="K2641" t="s">
        <v>726</v>
      </c>
      <c r="M2641" t="b">
        <v>0</v>
      </c>
      <c r="N2641" t="s">
        <v>853</v>
      </c>
      <c r="O2641" t="s">
        <v>33</v>
      </c>
      <c r="Q2641">
        <v>129.61000000000001</v>
      </c>
      <c r="R2641">
        <v>2.5</v>
      </c>
      <c r="S2641" t="s">
        <v>728</v>
      </c>
      <c r="T2641">
        <v>35.5</v>
      </c>
      <c r="V2641">
        <v>107.5</v>
      </c>
      <c r="W2641">
        <v>71.099999999999994</v>
      </c>
      <c r="X2641">
        <v>14</v>
      </c>
      <c r="Y2641">
        <v>43.1</v>
      </c>
      <c r="Z2641">
        <v>108116615</v>
      </c>
      <c r="AA2641">
        <v>12.879721</v>
      </c>
      <c r="AB2641">
        <v>121.774017</v>
      </c>
    </row>
  </sheetData>
  <autoFilter ref="A1:AB2641">
    <filterColumn colId="11">
      <customFilters>
        <customFilter operator="notEqual" val=" "/>
      </customFilters>
    </filterColumn>
    <filterColumn colId="17">
      <customFilters>
        <customFilter operator="notEqual" val=" "/>
      </customFilters>
    </filterColumn>
    <filterColumn colId="20"/>
    <sortState ref="A2:AA2610">
      <sortCondition descending="1" ref="B1:B264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6"/>
  <sheetViews>
    <sheetView topLeftCell="B5" zoomScale="73" zoomScaleNormal="130" workbookViewId="0">
      <selection activeCell="H15" sqref="H15"/>
    </sheetView>
  </sheetViews>
  <sheetFormatPr defaultRowHeight="14.4"/>
  <cols>
    <col min="2" max="2" width="21.21875" customWidth="1"/>
    <col min="3" max="3" width="10" bestFit="1" customWidth="1"/>
    <col min="4" max="4" width="7.88671875" customWidth="1"/>
    <col min="5" max="5" width="8.88671875" customWidth="1"/>
    <col min="6" max="6" width="11.88671875" customWidth="1"/>
    <col min="7" max="7" width="17.44140625" bestFit="1" customWidth="1"/>
    <col min="8" max="8" width="31.6640625" bestFit="1" customWidth="1"/>
    <col min="9" max="9" width="10.6640625" customWidth="1"/>
    <col min="11" max="11" width="20.21875" bestFit="1" customWidth="1"/>
    <col min="16" max="16" width="13.77734375" customWidth="1"/>
  </cols>
  <sheetData>
    <row r="1" spans="1:27">
      <c r="A1" t="s">
        <v>4863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4844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>
        <v>1</v>
      </c>
      <c r="B2">
        <v>211000</v>
      </c>
      <c r="C2" t="s">
        <v>26</v>
      </c>
      <c r="D2" t="s">
        <v>27</v>
      </c>
      <c r="E2">
        <v>74</v>
      </c>
      <c r="F2" t="str">
        <f t="shared" ref="F2:F11" si="0">IF(E2&gt;=90,"90-100",IF(E2&gt;=80,"80-90",IF(E2&gt;=70,"70-80",IF(E2&gt;=60,"60-70",IF(E2&gt;=50,"50-60",IF(E2&gt;=40,"40-50",IF(E2&gt;=30,"30-40","20-30")))))))</f>
        <v>70-80</v>
      </c>
      <c r="G2" t="s">
        <v>28</v>
      </c>
      <c r="H2" t="s">
        <v>29</v>
      </c>
      <c r="I2" t="s">
        <v>30</v>
      </c>
      <c r="J2" t="s">
        <v>26</v>
      </c>
      <c r="K2" t="s">
        <v>28</v>
      </c>
      <c r="L2" t="s">
        <v>31</v>
      </c>
      <c r="M2" t="b">
        <v>0</v>
      </c>
      <c r="N2" t="s">
        <v>32</v>
      </c>
      <c r="O2" t="s">
        <v>33</v>
      </c>
      <c r="P2" t="s">
        <v>34</v>
      </c>
      <c r="Q2">
        <v>110.05</v>
      </c>
      <c r="R2">
        <v>1.1000000000000001</v>
      </c>
      <c r="S2" t="s">
        <v>35</v>
      </c>
      <c r="T2">
        <v>65.599999999999994</v>
      </c>
      <c r="U2">
        <v>102.5</v>
      </c>
      <c r="V2">
        <v>82.5</v>
      </c>
      <c r="W2">
        <v>24.2</v>
      </c>
      <c r="X2">
        <v>60.7</v>
      </c>
      <c r="Y2">
        <v>67059887</v>
      </c>
      <c r="Z2">
        <v>46.227637999999999</v>
      </c>
      <c r="AA2">
        <v>2.213749</v>
      </c>
    </row>
    <row r="3" spans="1:27">
      <c r="A3">
        <v>2</v>
      </c>
      <c r="B3">
        <v>180000</v>
      </c>
      <c r="C3" t="s">
        <v>36</v>
      </c>
      <c r="D3" t="s">
        <v>37</v>
      </c>
      <c r="E3">
        <v>51</v>
      </c>
      <c r="F3" t="str">
        <f t="shared" si="0"/>
        <v>50-60</v>
      </c>
      <c r="G3" t="s">
        <v>38</v>
      </c>
      <c r="H3" t="s">
        <v>39</v>
      </c>
      <c r="I3" t="s">
        <v>40</v>
      </c>
      <c r="J3" t="s">
        <v>36</v>
      </c>
      <c r="K3" t="s">
        <v>38</v>
      </c>
      <c r="L3" t="s">
        <v>41</v>
      </c>
      <c r="M3" t="b">
        <v>1</v>
      </c>
      <c r="N3" t="s">
        <v>42</v>
      </c>
      <c r="O3" t="s">
        <v>33</v>
      </c>
      <c r="P3" t="s">
        <v>43</v>
      </c>
      <c r="Q3">
        <v>117.24</v>
      </c>
      <c r="R3">
        <v>7.5</v>
      </c>
      <c r="S3" t="s">
        <v>44</v>
      </c>
      <c r="T3">
        <v>88.2</v>
      </c>
      <c r="U3">
        <v>101.8</v>
      </c>
      <c r="V3">
        <v>78.5</v>
      </c>
      <c r="W3">
        <v>9.6</v>
      </c>
      <c r="X3">
        <v>36.6</v>
      </c>
      <c r="Y3">
        <v>328239523</v>
      </c>
      <c r="Z3">
        <v>37.090240000000001</v>
      </c>
      <c r="AA3">
        <v>-95.712890999999999</v>
      </c>
    </row>
    <row r="4" spans="1:27">
      <c r="A4">
        <v>3</v>
      </c>
      <c r="B4">
        <v>114000</v>
      </c>
      <c r="C4" t="s">
        <v>45</v>
      </c>
      <c r="D4" t="s">
        <v>46</v>
      </c>
      <c r="E4">
        <v>59</v>
      </c>
      <c r="F4" t="str">
        <f t="shared" si="0"/>
        <v>50-60</v>
      </c>
      <c r="G4" t="s">
        <v>38</v>
      </c>
      <c r="H4" t="s">
        <v>47</v>
      </c>
      <c r="I4" t="s">
        <v>48</v>
      </c>
      <c r="J4" t="s">
        <v>45</v>
      </c>
      <c r="K4" t="s">
        <v>38</v>
      </c>
      <c r="L4" t="s">
        <v>48</v>
      </c>
      <c r="M4" t="b">
        <v>1</v>
      </c>
      <c r="N4" t="s">
        <v>42</v>
      </c>
      <c r="O4" t="s">
        <v>33</v>
      </c>
      <c r="P4" t="s">
        <v>49</v>
      </c>
      <c r="Q4">
        <v>117.24</v>
      </c>
      <c r="R4">
        <v>7.5</v>
      </c>
      <c r="S4" t="s">
        <v>44</v>
      </c>
      <c r="T4">
        <v>88.2</v>
      </c>
      <c r="U4">
        <v>101.8</v>
      </c>
      <c r="V4">
        <v>78.5</v>
      </c>
      <c r="W4">
        <v>9.6</v>
      </c>
      <c r="X4">
        <v>36.6</v>
      </c>
      <c r="Y4">
        <v>328239523</v>
      </c>
      <c r="Z4">
        <v>37.090240000000001</v>
      </c>
      <c r="AA4">
        <v>-95.712890999999999</v>
      </c>
    </row>
    <row r="5" spans="1:27">
      <c r="A5">
        <v>4</v>
      </c>
      <c r="B5">
        <v>107000</v>
      </c>
      <c r="C5" t="s">
        <v>45</v>
      </c>
      <c r="D5" t="s">
        <v>50</v>
      </c>
      <c r="E5">
        <v>78</v>
      </c>
      <c r="F5" t="str">
        <f t="shared" si="0"/>
        <v>70-80</v>
      </c>
      <c r="G5" t="s">
        <v>38</v>
      </c>
      <c r="H5" t="s">
        <v>51</v>
      </c>
      <c r="I5" t="s">
        <v>52</v>
      </c>
      <c r="J5" t="s">
        <v>45</v>
      </c>
      <c r="K5" t="s">
        <v>38</v>
      </c>
      <c r="L5" t="s">
        <v>52</v>
      </c>
      <c r="M5" t="b">
        <v>1</v>
      </c>
      <c r="N5" t="s">
        <v>32</v>
      </c>
      <c r="O5" t="s">
        <v>33</v>
      </c>
      <c r="P5" t="s">
        <v>53</v>
      </c>
      <c r="Q5">
        <v>117.24</v>
      </c>
      <c r="R5">
        <v>7.5</v>
      </c>
      <c r="S5" t="s">
        <v>44</v>
      </c>
      <c r="T5">
        <v>88.2</v>
      </c>
      <c r="U5">
        <v>101.8</v>
      </c>
      <c r="V5">
        <v>78.5</v>
      </c>
      <c r="W5">
        <v>9.6</v>
      </c>
      <c r="X5">
        <v>36.6</v>
      </c>
      <c r="Y5">
        <v>328239523</v>
      </c>
      <c r="Z5">
        <v>37.090240000000001</v>
      </c>
      <c r="AA5">
        <v>-95.712890999999999</v>
      </c>
    </row>
    <row r="6" spans="1:27">
      <c r="A6">
        <v>5</v>
      </c>
      <c r="B6">
        <v>106000</v>
      </c>
      <c r="C6" t="s">
        <v>54</v>
      </c>
      <c r="D6" t="s">
        <v>55</v>
      </c>
      <c r="E6">
        <v>92</v>
      </c>
      <c r="F6" t="str">
        <f t="shared" si="0"/>
        <v>90-100</v>
      </c>
      <c r="G6" t="s">
        <v>38</v>
      </c>
      <c r="H6" t="s">
        <v>56</v>
      </c>
      <c r="I6" t="s">
        <v>57</v>
      </c>
      <c r="J6" t="s">
        <v>54</v>
      </c>
      <c r="K6" t="s">
        <v>38</v>
      </c>
      <c r="L6" t="s">
        <v>58</v>
      </c>
      <c r="M6" t="b">
        <v>1</v>
      </c>
      <c r="N6" t="s">
        <v>42</v>
      </c>
      <c r="O6" t="s">
        <v>33</v>
      </c>
      <c r="P6" t="s">
        <v>43</v>
      </c>
      <c r="Q6">
        <v>117.24</v>
      </c>
      <c r="R6">
        <v>7.5</v>
      </c>
      <c r="S6" t="s">
        <v>44</v>
      </c>
      <c r="T6">
        <v>88.2</v>
      </c>
      <c r="U6">
        <v>101.8</v>
      </c>
      <c r="V6">
        <v>78.5</v>
      </c>
      <c r="W6">
        <v>9.6</v>
      </c>
      <c r="X6">
        <v>36.6</v>
      </c>
      <c r="Y6">
        <v>328239523</v>
      </c>
      <c r="Z6">
        <v>37.090240000000001</v>
      </c>
      <c r="AA6">
        <v>-95.712890999999999</v>
      </c>
    </row>
    <row r="7" spans="1:27">
      <c r="A7">
        <v>6</v>
      </c>
      <c r="B7">
        <v>104000</v>
      </c>
      <c r="C7" t="s">
        <v>45</v>
      </c>
      <c r="D7" t="s">
        <v>59</v>
      </c>
      <c r="E7">
        <v>67</v>
      </c>
      <c r="F7" t="str">
        <f t="shared" si="0"/>
        <v>60-70</v>
      </c>
      <c r="G7" t="s">
        <v>38</v>
      </c>
      <c r="H7" t="s">
        <v>47</v>
      </c>
      <c r="I7" t="s">
        <v>60</v>
      </c>
      <c r="J7" t="s">
        <v>45</v>
      </c>
      <c r="K7" t="s">
        <v>38</v>
      </c>
      <c r="L7" t="s">
        <v>61</v>
      </c>
      <c r="M7" t="b">
        <v>1</v>
      </c>
      <c r="N7" t="s">
        <v>42</v>
      </c>
      <c r="O7" t="s">
        <v>33</v>
      </c>
      <c r="P7" t="s">
        <v>62</v>
      </c>
      <c r="Q7">
        <v>117.24</v>
      </c>
      <c r="R7">
        <v>7.5</v>
      </c>
      <c r="S7" t="s">
        <v>44</v>
      </c>
      <c r="T7">
        <v>88.2</v>
      </c>
      <c r="U7">
        <v>101.8</v>
      </c>
      <c r="V7">
        <v>78.5</v>
      </c>
      <c r="W7">
        <v>9.6</v>
      </c>
      <c r="X7">
        <v>36.6</v>
      </c>
      <c r="Y7">
        <v>328239523</v>
      </c>
      <c r="Z7">
        <v>37.090240000000001</v>
      </c>
      <c r="AA7">
        <v>-95.712890999999999</v>
      </c>
    </row>
    <row r="8" spans="1:27">
      <c r="A8">
        <v>7</v>
      </c>
      <c r="B8">
        <v>94500</v>
      </c>
      <c r="C8" t="s">
        <v>63</v>
      </c>
      <c r="D8" t="s">
        <v>64</v>
      </c>
      <c r="E8">
        <v>81</v>
      </c>
      <c r="F8" t="str">
        <f t="shared" si="0"/>
        <v>80-90</v>
      </c>
      <c r="G8" t="s">
        <v>38</v>
      </c>
      <c r="H8" t="s">
        <v>65</v>
      </c>
      <c r="I8" t="s">
        <v>66</v>
      </c>
      <c r="J8" t="s">
        <v>63</v>
      </c>
      <c r="K8" t="s">
        <v>38</v>
      </c>
      <c r="L8" t="s">
        <v>67</v>
      </c>
      <c r="M8" t="b">
        <v>1</v>
      </c>
      <c r="N8" t="s">
        <v>32</v>
      </c>
      <c r="O8" t="s">
        <v>33</v>
      </c>
      <c r="P8" t="s">
        <v>43</v>
      </c>
      <c r="Q8">
        <v>117.24</v>
      </c>
      <c r="R8">
        <v>7.5</v>
      </c>
      <c r="S8" t="s">
        <v>44</v>
      </c>
      <c r="T8">
        <v>88.2</v>
      </c>
      <c r="U8">
        <v>101.8</v>
      </c>
      <c r="V8">
        <v>78.5</v>
      </c>
      <c r="W8">
        <v>9.6</v>
      </c>
      <c r="X8">
        <v>36.6</v>
      </c>
      <c r="Y8">
        <v>328239523</v>
      </c>
      <c r="Z8">
        <v>37.090240000000001</v>
      </c>
      <c r="AA8">
        <v>-95.712890999999999</v>
      </c>
    </row>
    <row r="9" spans="1:27">
      <c r="A9">
        <v>8</v>
      </c>
      <c r="B9">
        <v>93000</v>
      </c>
      <c r="C9" t="s">
        <v>68</v>
      </c>
      <c r="D9" t="s">
        <v>69</v>
      </c>
      <c r="E9">
        <v>83</v>
      </c>
      <c r="F9" t="str">
        <f t="shared" si="0"/>
        <v>80-90</v>
      </c>
      <c r="G9" t="s">
        <v>70</v>
      </c>
      <c r="H9" t="s">
        <v>71</v>
      </c>
      <c r="I9" t="s">
        <v>68</v>
      </c>
      <c r="J9" t="s">
        <v>68</v>
      </c>
      <c r="K9" t="s">
        <v>70</v>
      </c>
      <c r="L9" t="s">
        <v>72</v>
      </c>
      <c r="M9" t="b">
        <v>1</v>
      </c>
      <c r="N9" t="s">
        <v>32</v>
      </c>
      <c r="O9" t="s">
        <v>33</v>
      </c>
      <c r="P9" t="s">
        <v>73</v>
      </c>
      <c r="Q9">
        <v>141.54</v>
      </c>
      <c r="R9">
        <v>3.6</v>
      </c>
      <c r="S9" t="s">
        <v>74</v>
      </c>
      <c r="T9">
        <v>40.200000000000003</v>
      </c>
      <c r="U9">
        <v>105.8</v>
      </c>
      <c r="V9">
        <v>75</v>
      </c>
      <c r="W9">
        <v>13.1</v>
      </c>
      <c r="X9">
        <v>55.1</v>
      </c>
      <c r="Y9">
        <v>126014024</v>
      </c>
      <c r="Z9">
        <v>23.634501</v>
      </c>
      <c r="AA9">
        <v>-102.552784</v>
      </c>
    </row>
    <row r="10" spans="1:27">
      <c r="A10">
        <v>9</v>
      </c>
      <c r="B10">
        <v>83400</v>
      </c>
      <c r="C10" t="s">
        <v>75</v>
      </c>
      <c r="D10" t="s">
        <v>76</v>
      </c>
      <c r="E10">
        <v>65</v>
      </c>
      <c r="F10" t="str">
        <f t="shared" si="0"/>
        <v>60-70</v>
      </c>
      <c r="G10" t="s">
        <v>77</v>
      </c>
      <c r="H10" t="s">
        <v>78</v>
      </c>
      <c r="I10" t="s">
        <v>75</v>
      </c>
      <c r="J10" t="s">
        <v>75</v>
      </c>
      <c r="K10" t="s">
        <v>77</v>
      </c>
      <c r="L10" t="s">
        <v>79</v>
      </c>
      <c r="M10" t="b">
        <v>0</v>
      </c>
      <c r="N10" t="s">
        <v>42</v>
      </c>
      <c r="O10" t="s">
        <v>33</v>
      </c>
      <c r="P10" t="s">
        <v>80</v>
      </c>
      <c r="Q10">
        <v>180.44</v>
      </c>
      <c r="R10">
        <v>7.7</v>
      </c>
      <c r="S10" t="s">
        <v>81</v>
      </c>
      <c r="T10">
        <v>28.1</v>
      </c>
      <c r="U10">
        <v>113</v>
      </c>
      <c r="V10">
        <v>69.400000000000006</v>
      </c>
      <c r="W10">
        <v>11.2</v>
      </c>
      <c r="X10">
        <v>49.7</v>
      </c>
      <c r="Y10">
        <v>1366417754</v>
      </c>
      <c r="Z10">
        <v>20.593684</v>
      </c>
      <c r="AA10">
        <v>78.962879999999998</v>
      </c>
    </row>
    <row r="11" spans="1:27">
      <c r="A11">
        <v>10</v>
      </c>
      <c r="B11">
        <v>80700</v>
      </c>
      <c r="C11" t="s">
        <v>45</v>
      </c>
      <c r="D11" t="s">
        <v>82</v>
      </c>
      <c r="E11">
        <v>67</v>
      </c>
      <c r="F11" t="str">
        <f t="shared" si="0"/>
        <v>60-70</v>
      </c>
      <c r="G11" t="s">
        <v>38</v>
      </c>
      <c r="H11" t="s">
        <v>83</v>
      </c>
      <c r="I11" t="s">
        <v>60</v>
      </c>
      <c r="J11" t="s">
        <v>45</v>
      </c>
      <c r="K11" t="s">
        <v>38</v>
      </c>
      <c r="L11" t="s">
        <v>84</v>
      </c>
      <c r="M11" t="b">
        <v>1</v>
      </c>
      <c r="N11" t="s">
        <v>42</v>
      </c>
      <c r="O11" t="s">
        <v>33</v>
      </c>
      <c r="P11" t="s">
        <v>85</v>
      </c>
      <c r="Q11">
        <v>117.24</v>
      </c>
      <c r="R11">
        <v>7.5</v>
      </c>
      <c r="S11" t="s">
        <v>44</v>
      </c>
      <c r="T11">
        <v>88.2</v>
      </c>
      <c r="U11">
        <v>101.8</v>
      </c>
      <c r="V11">
        <v>78.5</v>
      </c>
      <c r="W11">
        <v>9.6</v>
      </c>
      <c r="X11">
        <v>36.6</v>
      </c>
      <c r="Y11">
        <v>328239523</v>
      </c>
      <c r="Z11">
        <v>37.090240000000001</v>
      </c>
      <c r="AA11">
        <v>-95.712890999999999</v>
      </c>
    </row>
    <row r="16" spans="1:27">
      <c r="B16" s="1" t="s">
        <v>3</v>
      </c>
      <c r="C16" s="1" t="s">
        <v>13</v>
      </c>
      <c r="D16" s="1" t="s">
        <v>5</v>
      </c>
      <c r="E16" s="1" t="s">
        <v>4862</v>
      </c>
      <c r="F16" s="1" t="s">
        <v>7</v>
      </c>
      <c r="G16" s="1" t="s">
        <v>8</v>
      </c>
      <c r="H16" s="1" t="s">
        <v>10</v>
      </c>
      <c r="I16" s="1" t="s">
        <v>1</v>
      </c>
    </row>
    <row r="17" spans="2:9">
      <c r="B17" t="s">
        <v>27</v>
      </c>
      <c r="C17" t="s">
        <v>33</v>
      </c>
      <c r="D17" t="s">
        <v>28</v>
      </c>
      <c r="E17" t="b">
        <v>0</v>
      </c>
      <c r="F17" t="s">
        <v>30</v>
      </c>
      <c r="G17" t="s">
        <v>26</v>
      </c>
      <c r="H17" t="s">
        <v>31</v>
      </c>
      <c r="I17">
        <v>211000</v>
      </c>
    </row>
    <row r="18" spans="2:9">
      <c r="B18" t="s">
        <v>37</v>
      </c>
      <c r="C18" t="s">
        <v>33</v>
      </c>
      <c r="D18" t="s">
        <v>4864</v>
      </c>
      <c r="E18" t="b">
        <v>1</v>
      </c>
      <c r="F18" t="s">
        <v>40</v>
      </c>
      <c r="G18" t="s">
        <v>36</v>
      </c>
      <c r="H18" t="s">
        <v>41</v>
      </c>
      <c r="I18">
        <v>180000</v>
      </c>
    </row>
    <row r="19" spans="2:9">
      <c r="B19" t="s">
        <v>46</v>
      </c>
      <c r="C19" t="s">
        <v>33</v>
      </c>
      <c r="D19" t="s">
        <v>4864</v>
      </c>
      <c r="E19" t="b">
        <v>1</v>
      </c>
      <c r="F19" t="s">
        <v>48</v>
      </c>
      <c r="G19" t="s">
        <v>45</v>
      </c>
      <c r="H19" t="s">
        <v>48</v>
      </c>
      <c r="I19">
        <v>114000</v>
      </c>
    </row>
    <row r="20" spans="2:9">
      <c r="B20" t="s">
        <v>50</v>
      </c>
      <c r="C20" t="s">
        <v>33</v>
      </c>
      <c r="D20" t="s">
        <v>4864</v>
      </c>
      <c r="E20" t="b">
        <v>1</v>
      </c>
      <c r="F20" t="s">
        <v>52</v>
      </c>
      <c r="G20" t="s">
        <v>45</v>
      </c>
      <c r="H20" t="s">
        <v>52</v>
      </c>
      <c r="I20">
        <v>107000</v>
      </c>
    </row>
    <row r="21" spans="2:9">
      <c r="B21" t="s">
        <v>55</v>
      </c>
      <c r="C21" t="s">
        <v>33</v>
      </c>
      <c r="D21" t="s">
        <v>4864</v>
      </c>
      <c r="E21" t="b">
        <v>1</v>
      </c>
      <c r="F21" t="s">
        <v>57</v>
      </c>
      <c r="G21" t="s">
        <v>54</v>
      </c>
      <c r="H21" t="s">
        <v>58</v>
      </c>
      <c r="I21">
        <v>106000</v>
      </c>
    </row>
    <row r="22" spans="2:9">
      <c r="B22" t="s">
        <v>59</v>
      </c>
      <c r="C22" t="s">
        <v>33</v>
      </c>
      <c r="D22" t="s">
        <v>4864</v>
      </c>
      <c r="E22" t="b">
        <v>1</v>
      </c>
      <c r="F22" t="s">
        <v>60</v>
      </c>
      <c r="G22" t="s">
        <v>45</v>
      </c>
      <c r="H22" t="s">
        <v>61</v>
      </c>
      <c r="I22">
        <v>104000</v>
      </c>
    </row>
    <row r="23" spans="2:9">
      <c r="B23" t="s">
        <v>64</v>
      </c>
      <c r="C23" t="s">
        <v>33</v>
      </c>
      <c r="D23" t="s">
        <v>4864</v>
      </c>
      <c r="E23" t="b">
        <v>1</v>
      </c>
      <c r="F23" t="s">
        <v>66</v>
      </c>
      <c r="G23" t="s">
        <v>63</v>
      </c>
      <c r="H23" t="s">
        <v>67</v>
      </c>
      <c r="I23">
        <v>94500</v>
      </c>
    </row>
    <row r="24" spans="2:9">
      <c r="B24" t="s">
        <v>69</v>
      </c>
      <c r="C24" t="s">
        <v>33</v>
      </c>
      <c r="D24" t="s">
        <v>70</v>
      </c>
      <c r="E24" t="b">
        <v>1</v>
      </c>
      <c r="F24" t="s">
        <v>68</v>
      </c>
      <c r="G24" t="s">
        <v>68</v>
      </c>
      <c r="H24" t="s">
        <v>72</v>
      </c>
      <c r="I24">
        <v>93000</v>
      </c>
    </row>
    <row r="25" spans="2:9">
      <c r="B25" t="s">
        <v>76</v>
      </c>
      <c r="C25" t="s">
        <v>33</v>
      </c>
      <c r="D25" t="s">
        <v>77</v>
      </c>
      <c r="E25" t="b">
        <v>0</v>
      </c>
      <c r="F25" t="s">
        <v>75</v>
      </c>
      <c r="G25" t="s">
        <v>75</v>
      </c>
      <c r="H25" t="s">
        <v>79</v>
      </c>
      <c r="I25">
        <v>83400</v>
      </c>
    </row>
    <row r="26" spans="2:9">
      <c r="B26" t="s">
        <v>82</v>
      </c>
      <c r="C26" t="s">
        <v>33</v>
      </c>
      <c r="D26" t="s">
        <v>4864</v>
      </c>
      <c r="E26" t="b">
        <v>1</v>
      </c>
      <c r="F26" t="s">
        <v>60</v>
      </c>
      <c r="G26" t="s">
        <v>45</v>
      </c>
      <c r="H26" t="s">
        <v>84</v>
      </c>
      <c r="I26">
        <v>80700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AA13"/>
  <sheetViews>
    <sheetView workbookViewId="0">
      <selection activeCell="H15" sqref="H15"/>
    </sheetView>
  </sheetViews>
  <sheetFormatPr defaultRowHeight="14.4"/>
  <cols>
    <col min="1" max="1" width="13.77734375" bestFit="1" customWidth="1"/>
    <col min="3" max="3" width="12.77734375" customWidth="1"/>
    <col min="4" max="4" width="19.5546875" bestFit="1" customWidth="1"/>
    <col min="5" max="5" width="11.88671875" customWidth="1"/>
    <col min="6" max="6" width="11.77734375" bestFit="1" customWidth="1"/>
    <col min="7" max="7" width="11.8867187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4844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>
        <v>2405</v>
      </c>
      <c r="B2">
        <v>1100</v>
      </c>
      <c r="C2" t="s">
        <v>45</v>
      </c>
      <c r="D2" t="s">
        <v>4504</v>
      </c>
      <c r="E2">
        <v>28</v>
      </c>
      <c r="F2" t="s">
        <v>4860</v>
      </c>
      <c r="G2" t="s">
        <v>38</v>
      </c>
      <c r="H2" t="s">
        <v>184</v>
      </c>
      <c r="I2" t="s">
        <v>4505</v>
      </c>
      <c r="J2" t="s">
        <v>45</v>
      </c>
      <c r="K2" t="s">
        <v>38</v>
      </c>
      <c r="L2" t="s">
        <v>4506</v>
      </c>
      <c r="M2" t="b">
        <v>1</v>
      </c>
      <c r="N2" t="s">
        <v>42</v>
      </c>
      <c r="O2" t="s">
        <v>33</v>
      </c>
      <c r="P2" t="s">
        <v>110</v>
      </c>
      <c r="Q2">
        <v>117.24</v>
      </c>
      <c r="R2">
        <v>7.5</v>
      </c>
      <c r="S2" t="s">
        <v>44</v>
      </c>
      <c r="T2">
        <v>88.2</v>
      </c>
      <c r="U2">
        <v>101.8</v>
      </c>
      <c r="V2">
        <v>78.5</v>
      </c>
      <c r="W2">
        <v>9.6</v>
      </c>
      <c r="X2">
        <v>36.6</v>
      </c>
      <c r="Y2">
        <v>328239523</v>
      </c>
      <c r="Z2">
        <v>37.090240000000001</v>
      </c>
      <c r="AA2">
        <v>-95.712890999999999</v>
      </c>
    </row>
    <row r="3" spans="1:27">
      <c r="A3">
        <v>1368</v>
      </c>
      <c r="B3">
        <v>2200</v>
      </c>
      <c r="C3" t="s">
        <v>54</v>
      </c>
      <c r="D3" t="s">
        <v>2878</v>
      </c>
      <c r="E3">
        <v>99</v>
      </c>
      <c r="F3" t="s">
        <v>4847</v>
      </c>
      <c r="G3" t="s">
        <v>38</v>
      </c>
      <c r="H3" t="s">
        <v>635</v>
      </c>
      <c r="I3" t="s">
        <v>57</v>
      </c>
      <c r="J3" t="s">
        <v>54</v>
      </c>
      <c r="K3" t="s">
        <v>38</v>
      </c>
      <c r="L3" t="s">
        <v>58</v>
      </c>
      <c r="M3" t="b">
        <v>1</v>
      </c>
      <c r="N3" t="s">
        <v>42</v>
      </c>
      <c r="O3" t="s">
        <v>33</v>
      </c>
      <c r="P3" t="s">
        <v>2879</v>
      </c>
      <c r="Q3">
        <v>117.24</v>
      </c>
      <c r="R3">
        <v>7.5</v>
      </c>
      <c r="S3" t="s">
        <v>44</v>
      </c>
      <c r="T3">
        <v>88.2</v>
      </c>
      <c r="U3">
        <v>101.8</v>
      </c>
      <c r="V3">
        <v>78.5</v>
      </c>
      <c r="W3">
        <v>9.6</v>
      </c>
      <c r="X3">
        <v>36.6</v>
      </c>
      <c r="Y3">
        <v>328239523</v>
      </c>
      <c r="Z3">
        <v>37.090240000000001</v>
      </c>
      <c r="AA3">
        <v>-95.712890999999999</v>
      </c>
    </row>
    <row r="7" spans="1:27">
      <c r="A7" s="1"/>
      <c r="B7" s="1"/>
      <c r="C7" s="1"/>
      <c r="D7" s="1"/>
      <c r="E7" s="1"/>
    </row>
    <row r="11" spans="1:27">
      <c r="A11" s="1" t="s">
        <v>3</v>
      </c>
      <c r="B11" s="1" t="s">
        <v>4</v>
      </c>
      <c r="C11" s="1" t="s">
        <v>5</v>
      </c>
      <c r="D11" s="1" t="s">
        <v>2</v>
      </c>
      <c r="E11" s="1" t="s">
        <v>1</v>
      </c>
    </row>
    <row r="12" spans="1:27">
      <c r="A12" t="s">
        <v>4504</v>
      </c>
      <c r="B12">
        <v>28</v>
      </c>
      <c r="C12" t="s">
        <v>38</v>
      </c>
      <c r="D12" t="s">
        <v>45</v>
      </c>
      <c r="E12">
        <v>1100</v>
      </c>
    </row>
    <row r="13" spans="1:27">
      <c r="A13" t="s">
        <v>2878</v>
      </c>
      <c r="B13">
        <v>99</v>
      </c>
      <c r="C13" t="s">
        <v>38</v>
      </c>
      <c r="D13" t="s">
        <v>54</v>
      </c>
      <c r="E13">
        <v>2200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Y43"/>
  <sheetViews>
    <sheetView showGridLines="0" zoomScale="70" zoomScaleNormal="70" workbookViewId="0">
      <selection activeCell="M3" sqref="M3"/>
    </sheetView>
  </sheetViews>
  <sheetFormatPr defaultRowHeight="14.4"/>
  <sheetData>
    <row r="1" spans="1: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category and Final worth</vt:lpstr>
      <vt:lpstr>Self made proportion</vt:lpstr>
      <vt:lpstr>Industries &amp; final worth</vt:lpstr>
      <vt:lpstr>Dominant age range</vt:lpstr>
      <vt:lpstr>Gender </vt:lpstr>
      <vt:lpstr>Sheet1</vt:lpstr>
      <vt:lpstr>Sheet2</vt:lpstr>
      <vt:lpstr>DATA</vt:lpstr>
      <vt:lpstr>Top 10</vt:lpstr>
      <vt:lpstr>oldest &amp; youngest billionnaires</vt:lpstr>
      <vt:lpstr>DASHBORAD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USERJYOTI</dc:creator>
  <cp:lastModifiedBy>USERJYOTI</cp:lastModifiedBy>
  <dcterms:created xsi:type="dcterms:W3CDTF">2024-09-23T09:46:38Z</dcterms:created>
  <dcterms:modified xsi:type="dcterms:W3CDTF">2024-09-26T10:27:55Z</dcterms:modified>
</cp:coreProperties>
</file>